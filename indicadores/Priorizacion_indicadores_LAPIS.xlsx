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iterios" sheetId="1" state="visible" r:id="rId3"/>
    <sheet name="Indicadores" sheetId="2" state="visible" r:id="rId4"/>
    <sheet name="Resumen por dimensión" sheetId="3" state="visible" r:id="rId5"/>
  </sheets>
  <definedNames>
    <definedName function="false" hidden="true" localSheetId="1" name="_xlnm._FilterDatabase" vbProcedure="false">Indicadores!$A$1:$I$105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<sst xmlns="http://schemas.openxmlformats.org/spreadsheetml/2006/main" count="786" uniqueCount="288">
  <si>
    <t xml:space="preserve">Criterios de priorización</t>
  </si>
  <si>
    <t xml:space="preserve">Prioritario</t>
  </si>
  <si>
    <t xml:space="preserve">Se reporta siempre. Cumple los cuatro criterios: (1) mide un resultado central de LAPIS para la primera infancia y sus personas cuidadoras; (2) es sensible a la intervención, es decir, se espera que cambie entre la medición antes y después; (3) no repite lo que mide otro indicador prioritario; (4) es robusto con el tamaño de muestra previsto.</t>
  </si>
  <si>
    <t xml:space="preserve">Complementario</t>
  </si>
  <si>
    <t xml:space="preserve">Se levanta y se usa para explicar o triangular resultados, pero no es obligatorio reportarlo. Incluye indicadores redundantes, de detalle técnico, sobre población fuera de la primera infancia (6 a 12 años o personas adultas) o con conteos muy bajos.</t>
  </si>
  <si>
    <t xml:space="preserve">Contexto</t>
  </si>
  <si>
    <t xml:space="preserve">No mide impacto. Sirve para describir la muestra y verificar que las mediciones antes y después sean comparables (perfil, número de niñas y niños, motivo, modo de llegada).</t>
  </si>
  <si>
    <t xml:space="preserve">Ajuste por intervención</t>
  </si>
  <si>
    <t xml:space="preserve">Algunos complementarios pasan a prioritarios si la intervención incluye ese componente (por ejemplo, lactario, juegos inclusivos, captación de agua, iluminación o techumbre para lluvia). Lo indica la justificación.</t>
  </si>
  <si>
    <t xml:space="preserve">Equilibrio</t>
  </si>
  <si>
    <t xml:space="preserve">Dentro de cada dimensión se buscó al menos un indicador de condición del espacio y uno de uso o percepción, para poder contar la cadena de cambio completa.</t>
  </si>
  <si>
    <t xml:space="preserve">#</t>
  </si>
  <si>
    <t xml:space="preserve">Instrumento</t>
  </si>
  <si>
    <t xml:space="preserve">Dimensión</t>
  </si>
  <si>
    <t xml:space="preserve">Temática</t>
  </si>
  <si>
    <t xml:space="preserve">Tipo de indicador</t>
  </si>
  <si>
    <t xml:space="preserve">Nombre del indicador</t>
  </si>
  <si>
    <t xml:space="preserve">Priorización</t>
  </si>
  <si>
    <t xml:space="preserve">Justificación</t>
  </si>
  <si>
    <t xml:space="preserve">Observación de clasificación</t>
  </si>
  <si>
    <t xml:space="preserve">Calidad de las interacciones</t>
  </si>
  <si>
    <t xml:space="preserve">Juego e interacción</t>
  </si>
  <si>
    <t xml:space="preserve">Diversidad y adecuación del juego ofrecido</t>
  </si>
  <si>
    <t xml:space="preserve">Cambio de comportamiento observado</t>
  </si>
  <si>
    <t xml:space="preserve">Distribución de las actividades lúdicas durante la interacción entre personas cuidadoras e infancias</t>
  </si>
  <si>
    <t xml:space="preserve">Detalle del tipo de juego en la interacción; útil para el análisis a profundidad.</t>
  </si>
  <si>
    <t xml:space="preserve">Interacción cuidador - infancia</t>
  </si>
  <si>
    <t xml:space="preserve">Nivel de interacción entre personas cuidadoras e infancias</t>
  </si>
  <si>
    <t xml:space="preserve">Medición directa (observada) de la interacción persona cuidadora–infancia, objetivo central de LAPIS.</t>
  </si>
  <si>
    <t xml:space="preserve">Uso compartido de los juegos entre personas cuidadoras e infancias</t>
  </si>
  <si>
    <t xml:space="preserve">Redundante con el nivel de interacción (2); aporta detalle.</t>
  </si>
  <si>
    <t xml:space="preserve">Conteo de personas usuarias y usos</t>
  </si>
  <si>
    <t xml:space="preserve">Inclusión y cuidado</t>
  </si>
  <si>
    <t xml:space="preserve">Accesibilidad para diversidad de edades y PcD</t>
  </si>
  <si>
    <t xml:space="preserve">Promedio por hora de infancias menores de 6 años con alguna discapacidad percibida.</t>
  </si>
  <si>
    <t xml:space="preserve">Conteos muy bajos y difíciles de observar de forma confiable; reportar como contexto de inclusión.</t>
  </si>
  <si>
    <t xml:space="preserve">Promedio por hora de personas de 6 años o más con alguna discapacidad percibida</t>
  </si>
  <si>
    <t xml:space="preserve">Fuera de la población objetivo y con conteos bajos.</t>
  </si>
  <si>
    <t xml:space="preserve">Usos y actividades</t>
  </si>
  <si>
    <t xml:space="preserve">Beneficiarios directos</t>
  </si>
  <si>
    <t xml:space="preserve">Promedio por hora de personas observadas</t>
  </si>
  <si>
    <t xml:space="preserve">Total de personas; menos específico que el indicador de menores de 6 años (8).</t>
  </si>
  <si>
    <t xml:space="preserve">Promedio por hora de personas observadas de 6 años o más</t>
  </si>
  <si>
    <t xml:space="preserve">Personas de 6 años o más; secundario para el objetivo de primera infancia.</t>
  </si>
  <si>
    <t xml:space="preserve">Promedio por hora de niñas y niños menores de 6 años observados</t>
  </si>
  <si>
    <t xml:space="preserve">Indicador base de uso: cuántas niñas y niños menores de 6 años usan el espacio. Muy sensible a la intervención.</t>
  </si>
  <si>
    <t xml:space="preserve">Distribución porcentual por grupo de edad de personas de 6 años en adelante.</t>
  </si>
  <si>
    <t xml:space="preserve">Composición por edad; descriptivo.</t>
  </si>
  <si>
    <t xml:space="preserve">Distribución porcentual por grupo de edad de niñas y niños menores de 6 años.</t>
  </si>
  <si>
    <t xml:space="preserve">Composición por edad de menores de 6; descriptivo, complementa al 8.</t>
  </si>
  <si>
    <t xml:space="preserve">Distribución porcentual de niñas o niños menores de 6 años y personas de 6 años o más</t>
  </si>
  <si>
    <t xml:space="preserve">Proporción menores/mayores; derivable del 6 y 8.</t>
  </si>
  <si>
    <t xml:space="preserve">Beneficiarios indirectos</t>
  </si>
  <si>
    <t xml:space="preserve">Porcentaje de personas de 6 años o más que no son cuidadoras</t>
  </si>
  <si>
    <t xml:space="preserve">Beneficiarios indirectos; secundario para el objetivo de primera infancia.</t>
  </si>
  <si>
    <t xml:space="preserve">Diversidad de actividades</t>
  </si>
  <si>
    <t xml:space="preserve">Distribución porcentual por tipo de actividad realizada por personas de 6 años o más</t>
  </si>
  <si>
    <t xml:space="preserve">Actividades de personas de 6 años o más; secundario.</t>
  </si>
  <si>
    <t xml:space="preserve">Distribución porcentual por tipo de actividad realizada por niñas y niños menores de 6 años</t>
  </si>
  <si>
    <t xml:space="preserve">Muestra si el nuevo espacio diversifica el juego de la población objetivo (observado).</t>
  </si>
  <si>
    <t xml:space="preserve">Equidad de género espacial</t>
  </si>
  <si>
    <t xml:space="preserve">Distribución porcentual por género de infancias menores de 6 años</t>
  </si>
  <si>
    <t xml:space="preserve">Equidad de género en el uso por niñas y niños menores de 6 años; observado y comparable antes/después.</t>
  </si>
  <si>
    <t xml:space="preserve">Distribución porcentual por género de personas de 6 años en adelante.</t>
  </si>
  <si>
    <t xml:space="preserve">Género de personas de 6 años o más; útil para analizar corresponsabilidad en el cuidado.</t>
  </si>
  <si>
    <t xml:space="preserve">Porcentaje de niñas y niños menores de 6 años interactuando con la persona cuidadora</t>
  </si>
  <si>
    <t xml:space="preserve">Mide lo mismo que el 2 desde otro instrumento; usar para triangular.</t>
  </si>
  <si>
    <t xml:space="preserve">Interacción entre pares</t>
  </si>
  <si>
    <t xml:space="preserve">Porcentaje de niñas y niños menores de 6 años interactuando con otra niña o niño</t>
  </si>
  <si>
    <t xml:space="preserve">Interacción entre pares observada en menores de 6 años; resultado esperado del diseño de juego.</t>
  </si>
  <si>
    <t xml:space="preserve">Porcentaje de personas cuidadoras interactuando con la niña o el niño</t>
  </si>
  <si>
    <t xml:space="preserve">Mide lo mismo que el 2 desde la persona cuidadora; usar para triangular.</t>
  </si>
  <si>
    <t xml:space="preserve">Revisar temática: mide interacción cuidador–infancia, no entre pares.</t>
  </si>
  <si>
    <t xml:space="preserve">Porcentaje de personas cuidadoras supervisando el juego de la niña o niño</t>
  </si>
  <si>
    <t xml:space="preserve">Supervisión del juego; complementa la interacción cuidador–infancia.</t>
  </si>
  <si>
    <t xml:space="preserve">Revisar temática: mide supervisión cuidador–infancia, no entre pares.</t>
  </si>
  <si>
    <t xml:space="preserve">Calidad y funcionalidad del espacio</t>
  </si>
  <si>
    <t xml:space="preserve">Mobiliario de juego</t>
  </si>
  <si>
    <t xml:space="preserve">Porcentaje de personas de 6 años o más que usan los juegos</t>
  </si>
  <si>
    <t xml:space="preserve">Uso de juegos por personas de 6 años o más; secundario.</t>
  </si>
  <si>
    <t xml:space="preserve">Porcentaje de infancias menores de 6 años que usan los juegos</t>
  </si>
  <si>
    <t xml:space="preserve">Uso efectivo del mobiliario de juego por la población objetivo; vincula condición física con uso.</t>
  </si>
  <si>
    <t xml:space="preserve">Mobiliario urbano</t>
  </si>
  <si>
    <t xml:space="preserve">Porcentaje de personas de 6 años o más que usan las bancas</t>
  </si>
  <si>
    <t xml:space="preserve">Uso de bancas por personas de 6 años o más; secundario.</t>
  </si>
  <si>
    <t xml:space="preserve">Porcentaje de infancias menores de 6 años que usan las bancas</t>
  </si>
  <si>
    <t xml:space="preserve">Poco relevante para menores de 6 años.</t>
  </si>
  <si>
    <t xml:space="preserve">Dinámica en movimiento con infancias</t>
  </si>
  <si>
    <t xml:space="preserve">Acompañamiento y redes de cuidado</t>
  </si>
  <si>
    <t xml:space="preserve">Cambio en la percepción</t>
  </si>
  <si>
    <t xml:space="preserve">Distribución de las personas acompañantes de infancias de 3 a 5 años</t>
  </si>
  <si>
    <t xml:space="preserve">Redes de cuidado desde la voz infantil; detalle.</t>
  </si>
  <si>
    <t xml:space="preserve">Distribución de las personas acompañantes de infancias de 6 a 12 años</t>
  </si>
  <si>
    <t xml:space="preserve">Infancias de 6 a 12 años: fuera de la población objetivo de primera infancia.</t>
  </si>
  <si>
    <t xml:space="preserve">Distribución de las personas con quienes juegan las infancias de 3 a 5 años</t>
  </si>
  <si>
    <t xml:space="preserve">Con quién juegan las infancias de 3 a 5 años; detalle.</t>
  </si>
  <si>
    <t xml:space="preserve">Distribución de las personas con quienes juegan las infancias de 6 a 12 años</t>
  </si>
  <si>
    <t xml:space="preserve">Medio ambiente y resiliencia climática</t>
  </si>
  <si>
    <t xml:space="preserve">Percepción infantil de resiliencia climática</t>
  </si>
  <si>
    <t xml:space="preserve">Distribución de los lugares identificados como más frescos por infancias de 6 a 12 años</t>
  </si>
  <si>
    <t xml:space="preserve">Distribución de los lugares identificados como refugio de lluvia por infancias de 3 a 5 años</t>
  </si>
  <si>
    <t xml:space="preserve">Percepción infantil de lluvia; complementa la condición física (100).</t>
  </si>
  <si>
    <t xml:space="preserve">Distribución de los lugares identificados como refugio de lluvia por infancias de 6 a 12 años</t>
  </si>
  <si>
    <t xml:space="preserve">Seguridad y protección</t>
  </si>
  <si>
    <t xml:space="preserve">Percepción infantil de seguridad</t>
  </si>
  <si>
    <t xml:space="preserve">Distribución de los lugares percibidos como desagradables o inseguros por infancias de 3 a 5 años</t>
  </si>
  <si>
    <t xml:space="preserve">Voz de las propias infancias (3 a 5 años) sobre seguridad; único indicador de seguridad desde su perspectiva.</t>
  </si>
  <si>
    <t xml:space="preserve">Distribución de los lugares percibidos como desagradables o inseguros por infancias de 6 a 12 años</t>
  </si>
  <si>
    <t xml:space="preserve">Percepción infantil sobre el juego</t>
  </si>
  <si>
    <t xml:space="preserve">Distribución de los lugares de juego preferidos por infancias de 3 a 5 años</t>
  </si>
  <si>
    <t xml:space="preserve">Lugares de juego preferidos; útil para diseño y análisis cualitativo.</t>
  </si>
  <si>
    <t xml:space="preserve">Distribución de los lugares de juego preferidos por infancias de 6 a 12 años</t>
  </si>
  <si>
    <t xml:space="preserve">Satisfacción y valoración general</t>
  </si>
  <si>
    <t xml:space="preserve">Satisfacción general del espacio  entre infancias de 3 a 5 años</t>
  </si>
  <si>
    <t xml:space="preserve">Satisfacción reportada por las propias infancias de 3 a 5 años; resultado final desde su voz.</t>
  </si>
  <si>
    <t xml:space="preserve">Satisfacción general del espacio entre infancias de 6 a 12 años</t>
  </si>
  <si>
    <t xml:space="preserve">Encuesta a personas cuidadoras</t>
  </si>
  <si>
    <t xml:space="preserve">Inclusión en edad y capacidades percibida en el espacio</t>
  </si>
  <si>
    <t xml:space="preserve">Percepción de inclusión por edad y capacidades; cubre la dimensión de inclusión desde la persona cuidadora.</t>
  </si>
  <si>
    <t xml:space="preserve">Facilidad percibida para el juego autónomo de niñas y niños menores de 6 años</t>
  </si>
  <si>
    <t xml:space="preserve">Juego autónomo percibido; complementa el 57.</t>
  </si>
  <si>
    <t xml:space="preserve">Revisar temática: es juego autónomo (Juego e interacción), no accesibilidad.</t>
  </si>
  <si>
    <t xml:space="preserve">Cambio de comportamiento reportado</t>
  </si>
  <si>
    <t xml:space="preserve">Número de niñas y niños menores de 6 años que acompañan a la persona cuidadora</t>
  </si>
  <si>
    <t xml:space="preserve">Contexto: caracteriza la muestra y permite verificar que antes y después sean comparables.</t>
  </si>
  <si>
    <t xml:space="preserve">Perfil de las personas cuidadoras</t>
  </si>
  <si>
    <t xml:space="preserve">Bienestar general</t>
  </si>
  <si>
    <t xml:space="preserve">Valoración del impacto personal percibido por la persona cuidadora</t>
  </si>
  <si>
    <t xml:space="preserve">Impacto en el bienestar de la persona cuidadora: resultado final del programa.</t>
  </si>
  <si>
    <t xml:space="preserve">Valoración del impacto percibido por la persona cuidadora para la niña o niño que le acompaña</t>
  </si>
  <si>
    <t xml:space="preserve">Impacto percibido en la niña o niño: resultado final del programa.</t>
  </si>
  <si>
    <t xml:space="preserve">Accesibilidad y conectividad</t>
  </si>
  <si>
    <t xml:space="preserve">Caminabilidad</t>
  </si>
  <si>
    <t xml:space="preserve">Facilidad de desplazamiento percibida con carriola y/o niñas y niños menores de 6 años</t>
  </si>
  <si>
    <t xml:space="preserve">Accesibilidad vivida por quien cuida (carriola, de la mano); muy sensible a obras de caminabilidad.</t>
  </si>
  <si>
    <t xml:space="preserve">Valoración percibida de los caminos, banquetas y accesos</t>
  </si>
  <si>
    <t xml:space="preserve">Similar al 44; usar para triangular.</t>
  </si>
  <si>
    <t xml:space="preserve">Revisar dimensión: los demás de caminabilidad están en Accesibilidad y conectividad.</t>
  </si>
  <si>
    <t xml:space="preserve">Cobertura vegetal y arbolado</t>
  </si>
  <si>
    <t xml:space="preserve">Valoración percibida  de la vegetación y arbolado</t>
  </si>
  <si>
    <t xml:space="preserve">Percepción de vegetación; complementa la condición física (74).</t>
  </si>
  <si>
    <t xml:space="preserve">Comodidad e infraestructura de apoyo al cuidado</t>
  </si>
  <si>
    <t xml:space="preserve">Facilidad de cuidado percibida</t>
  </si>
  <si>
    <t xml:space="preserve">Facilidad de cuidado percibida: núcleo del enfoque de cuidado de LAPIS.</t>
  </si>
  <si>
    <t xml:space="preserve">Confort térmico</t>
  </si>
  <si>
    <t xml:space="preserve">Valoración percibida de los espacios con sombra</t>
  </si>
  <si>
    <t xml:space="preserve">Percepción de sombra; el confort térmico es determinante para el uso por menores de 6 años.</t>
  </si>
  <si>
    <t xml:space="preserve">Contacto con la naturaleza</t>
  </si>
  <si>
    <t xml:space="preserve">Facilidad de interacción percibida de niñas y niños menores de 6 años con la naturaleza</t>
  </si>
  <si>
    <t xml:space="preserve">Contacto con naturaleza percibido; complementa el 74.</t>
  </si>
  <si>
    <t xml:space="preserve">Duración y frecuencia de uso</t>
  </si>
  <si>
    <t xml:space="preserve">Tiempo de permanencia en el espacio</t>
  </si>
  <si>
    <t xml:space="preserve">Tiempo de permanencia: aproximación robusta a la calidad del espacio.</t>
  </si>
  <si>
    <t xml:space="preserve">Patrones de visita según día y horario</t>
  </si>
  <si>
    <t xml:space="preserve">Patrones de visita; descriptivo.</t>
  </si>
  <si>
    <t xml:space="preserve">Frecuencia de visita al espacio</t>
  </si>
  <si>
    <t xml:space="preserve">Frecuencia de visita: muestra si el espacio se integra a la rutina de cuidado.</t>
  </si>
  <si>
    <t xml:space="preserve">Iluminación</t>
  </si>
  <si>
    <t xml:space="preserve">Valoración percibida de la iluminación</t>
  </si>
  <si>
    <t xml:space="preserve">Percepción de iluminación; complementa la condición (87).</t>
  </si>
  <si>
    <t xml:space="preserve">Grado de interacción entre personas cuidadoras e infancias</t>
  </si>
  <si>
    <t xml:space="preserve">Interacción reportada; triangula el indicador observado (2).</t>
  </si>
  <si>
    <t xml:space="preserve">Interacción entre personas cuidadoras</t>
  </si>
  <si>
    <t xml:space="preserve">Interacción entre personas cuidadoras; redes de cuidado, secundario.</t>
  </si>
  <si>
    <t xml:space="preserve">Interacción entre niñas y niños</t>
  </si>
  <si>
    <t xml:space="preserve">Interacción entre niñas y niños reportada; triangula el 18.</t>
  </si>
  <si>
    <t xml:space="preserve">Facilidad percibida para el juego de niñas y niños menores de 6 años</t>
  </si>
  <si>
    <t xml:space="preserve">Percepción de facilidad para el juego; complementa los indicadores observados de juego.</t>
  </si>
  <si>
    <t xml:space="preserve">Mantenimiento y limpieza</t>
  </si>
  <si>
    <t xml:space="preserve">Valoración percibida de la limpieza y mantenimiento general  en el espacio</t>
  </si>
  <si>
    <t xml:space="preserve">Percepción de mantenimiento; complementa el 89.</t>
  </si>
  <si>
    <t xml:space="preserve">Valoración percibida de las áreas de juego</t>
  </si>
  <si>
    <t xml:space="preserve">Percepción de áreas de juego; complementa el 92.</t>
  </si>
  <si>
    <t xml:space="preserve">Valoración percibida del estado físico de los espacios para sentarse</t>
  </si>
  <si>
    <t xml:space="preserve">Percepción de bancas; complementa el 94.</t>
  </si>
  <si>
    <t xml:space="preserve">Modo de llegada al espacio</t>
  </si>
  <si>
    <t xml:space="preserve">Medio de transporte principal utilizado para llegar al espacio</t>
  </si>
  <si>
    <t xml:space="preserve">Contexto: describe cómo se llega al espacio; útil para interpretar cambios, no para medir impacto.</t>
  </si>
  <si>
    <t xml:space="preserve">Percepción de seguridad</t>
  </si>
  <si>
    <t xml:space="preserve">Seguridad percibida en el espacio</t>
  </si>
  <si>
    <t xml:space="preserve">Seguridad percibida general; condición previa para que las familias usen el espacio.</t>
  </si>
  <si>
    <t xml:space="preserve">Percepción de seguridad para el juego</t>
  </si>
  <si>
    <t xml:space="preserve">Seguridad percibida durante el juego de niñas y niños menores de 6 años</t>
  </si>
  <si>
    <t xml:space="preserve">Seguridad durante el juego; complementa el 62 y el 88.</t>
  </si>
  <si>
    <t xml:space="preserve">Procedencia de personas usuarias</t>
  </si>
  <si>
    <t xml:space="preserve">Amplitud de procedencia</t>
  </si>
  <si>
    <t xml:space="preserve">Amplitud de procedencia; muestra alcance territorial, secundario.</t>
  </si>
  <si>
    <t xml:space="preserve">Propósito de la visita</t>
  </si>
  <si>
    <t xml:space="preserve">Motivo principal de visita al espacio</t>
  </si>
  <si>
    <t xml:space="preserve">Contexto: motivo de visita; útil para interpretar cambios, no para medir impacto.</t>
  </si>
  <si>
    <t xml:space="preserve">Protección ante la lluvia</t>
  </si>
  <si>
    <t xml:space="preserve">Valoración percibida de los espacios para protegerse de la lluvia</t>
  </si>
  <si>
    <t xml:space="preserve">Percepción de protección ante lluvia; complementa el 100.</t>
  </si>
  <si>
    <t xml:space="preserve">Valoración de la calidad del espacio para niñas y niños menores de 6 años percibida por las personas cuidadoras</t>
  </si>
  <si>
    <t xml:space="preserve">Valoración general (escala 1 a 10): indicador síntesis, muy fácil de comparar antes/después.</t>
  </si>
  <si>
    <t xml:space="preserve">Servicios básicos de higiene y cuidado</t>
  </si>
  <si>
    <t xml:space="preserve">Valoración percibida de los baños, cambiadores y espacios para lactancia</t>
  </si>
  <si>
    <t xml:space="preserve">Prioritario solo si la intervención incluye baños, cambiadores o lactario.</t>
  </si>
  <si>
    <t xml:space="preserve">Evaluación del lugar</t>
  </si>
  <si>
    <t xml:space="preserve">Cambio en las condiciones del espacio</t>
  </si>
  <si>
    <t xml:space="preserve">Condiciones físicas de los juegos para infancias con discapacidad</t>
  </si>
  <si>
    <t xml:space="preserve">Prioritario si la intervención incluye juegos inclusivos para infancias con discapacidad.</t>
  </si>
  <si>
    <t xml:space="preserve">Condiciones físicas para el juego de infancias menores de 6 años</t>
  </si>
  <si>
    <t xml:space="preserve">Verifica que existan condiciones físicas de juego adecuadas para menores de 6 años (condición base).</t>
  </si>
  <si>
    <t xml:space="preserve">Condiciones del espacio para el juego de infancias de distintas edades</t>
  </si>
  <si>
    <t xml:space="preserve">Complementa el 70.</t>
  </si>
  <si>
    <t xml:space="preserve">Condiciones físicas de acceso peatonal al espacio público</t>
  </si>
  <si>
    <t xml:space="preserve">Condición física de acceso peatonal: la llegada segura es requisito para el uso.</t>
  </si>
  <si>
    <t xml:space="preserve">Condiciones físicas de caminos o senderos internos</t>
  </si>
  <si>
    <t xml:space="preserve">Caminos internos; complementa el 72.</t>
  </si>
  <si>
    <t xml:space="preserve">Existencia y diversidad de la vegetación en el espacio</t>
  </si>
  <si>
    <t xml:space="preserve">Vegetación y diversidad: condición base para contacto con la naturaleza y confort climático.</t>
  </si>
  <si>
    <t xml:space="preserve">Ubicación de los lugares para sentarse que faclita el cuidado durante el juego</t>
  </si>
  <si>
    <t xml:space="preserve">Bancas con visibilidad hacia el juego: elemento de diseño distintivo para el cuidado.</t>
  </si>
  <si>
    <t xml:space="preserve">Condiciones del espacio para lactar y/o cambiar el pañal</t>
  </si>
  <si>
    <t xml:space="preserve">Prioritario solo si la intervención incluye espacio de lactancia o cambiador.</t>
  </si>
  <si>
    <t xml:space="preserve">Adecuación térmica de los materiales</t>
  </si>
  <si>
    <t xml:space="preserve">Detalle técnico de confort térmico.</t>
  </si>
  <si>
    <t xml:space="preserve">Disponibilidad de elementos de enfriamiento</t>
  </si>
  <si>
    <t xml:space="preserve">Cobertura de sombra en el espacio</t>
  </si>
  <si>
    <t xml:space="preserve">Sombra en todo el espacio; el 80 (área de juego) es más específico.</t>
  </si>
  <si>
    <t xml:space="preserve">Cobertura de sombra en el área de juego</t>
  </si>
  <si>
    <t xml:space="preserve">Sombra en el área de juego: la condición climática con más efecto sobre el juego infantil.</t>
  </si>
  <si>
    <t xml:space="preserve">Principal fuente de sombra en el espacio</t>
  </si>
  <si>
    <t xml:space="preserve">Descriptivo; explica el 79.</t>
  </si>
  <si>
    <t xml:space="preserve">Principal fuente de sombra en áreas de juego</t>
  </si>
  <si>
    <t xml:space="preserve">Descriptivo; explica el 80.</t>
  </si>
  <si>
    <t xml:space="preserve">Existencia de elementos y espacios culturales</t>
  </si>
  <si>
    <t xml:space="preserve">Elementos culturales; secundario para primera infancia.</t>
  </si>
  <si>
    <t xml:space="preserve">Diversidad de actividades que permiten los elementos en el espacio</t>
  </si>
  <si>
    <t xml:space="preserve">Diversidad de juego que permite el diseño (condición); explica cambios en el juego observado.</t>
  </si>
  <si>
    <t xml:space="preserve">Distribución de niñas y niños en los espacios de juego</t>
  </si>
  <si>
    <t xml:space="preserve">Coincide con el 15 (observado en el conteo); usar para triangular.</t>
  </si>
  <si>
    <t xml:space="preserve">Revisar instrumento: es un dato observado, parecido al 15 del conteo.</t>
  </si>
  <si>
    <t xml:space="preserve">Gestión del agua de lluvia</t>
  </si>
  <si>
    <t xml:space="preserve">Estrategias para la captación, infiltración y almacenamiento del agua de lluvia</t>
  </si>
  <si>
    <t xml:space="preserve">Prioritario solo si la intervención incluye infraestructura verde o captación de agua.</t>
  </si>
  <si>
    <t xml:space="preserve">Condiciones de las luminarias en el espacio</t>
  </si>
  <si>
    <t xml:space="preserve">Condición de luminarias; prioritario si la intervención incluye iluminación.</t>
  </si>
  <si>
    <t xml:space="preserve">Juego seguro</t>
  </si>
  <si>
    <t xml:space="preserve">Separación del área de juego riesgos físicos</t>
  </si>
  <si>
    <t xml:space="preserve">Separación del área de juego de riesgos físicos: seguridad para el juego de la primera infancia.</t>
  </si>
  <si>
    <t xml:space="preserve">Mantenimiento del espacio</t>
  </si>
  <si>
    <t xml:space="preserve">Mantenimiento: indispensable para atribuir y sostener los cambios en el tiempo.</t>
  </si>
  <si>
    <t xml:space="preserve">Servicios de apoyo al cuidado</t>
  </si>
  <si>
    <t xml:space="preserve">Servicios de apoyo al cuidado; complementa el 68 y el 76.</t>
  </si>
  <si>
    <t xml:space="preserve">Revisar temática: servicios de apoyo al cuidado no es mantenimiento.</t>
  </si>
  <si>
    <t xml:space="preserve">Condiciones de ruido y olores en el espacio</t>
  </si>
  <si>
    <t xml:space="preserve">Ruido y olores; secundario.</t>
  </si>
  <si>
    <t xml:space="preserve">Condiciones físicas de los juegos infantiles</t>
  </si>
  <si>
    <t xml:space="preserve">Estado físico de los juegos infantiles: condición directa del componente principal de la intervención.</t>
  </si>
  <si>
    <t xml:space="preserve">Material del piso del área de juego</t>
  </si>
  <si>
    <t xml:space="preserve">Material de piso; detalle del 88 y el 92.</t>
  </si>
  <si>
    <t xml:space="preserve">Condiciones físicas y de uso de las bancas o lugares para sentarse</t>
  </si>
  <si>
    <t xml:space="preserve">Estado de bancas; complementa el 75.</t>
  </si>
  <si>
    <t xml:space="preserve">Condiciones físicas de las canchas y ejercitadores</t>
  </si>
  <si>
    <t xml:space="preserve">Canchas y ejercitadores; fuera del foco de primera infancia.</t>
  </si>
  <si>
    <t xml:space="preserve">Suficiencia de los juegos infantiles</t>
  </si>
  <si>
    <t xml:space="preserve">Suficiencia de juegos; complementa el 92.</t>
  </si>
  <si>
    <t xml:space="preserve">Suficiencia de las bancas o lugares para sentarse</t>
  </si>
  <si>
    <t xml:space="preserve">Suficiencia de bancas; complementa el 75.</t>
  </si>
  <si>
    <t xml:space="preserve">Suficiencia de las canchas o ejercitadores</t>
  </si>
  <si>
    <t xml:space="preserve">Canchas o ejercitadores; fuera del foco de primera infancia.</t>
  </si>
  <si>
    <t xml:space="preserve">Revisar temática: canchas están en Mobiliario urbano en el indicador 95.</t>
  </si>
  <si>
    <t xml:space="preserve">Suficiencia de los servicios en el espacio</t>
  </si>
  <si>
    <t xml:space="preserve">Suficiencia de servicios; complementa el 90.</t>
  </si>
  <si>
    <t xml:space="preserve">Revisar temática: servicios no son mobiliario urbano.</t>
  </si>
  <si>
    <t xml:space="preserve">Elementos para protegerse de la lluvia</t>
  </si>
  <si>
    <t xml:space="preserve">Prioritario si la intervención incluye protección ante lluvia.</t>
  </si>
  <si>
    <t xml:space="preserve">Valoración general del espacio para personas cuidadoras</t>
  </si>
  <si>
    <t xml:space="preserve">Valoración técnica para personas cuidadoras; complementa el 102.</t>
  </si>
  <si>
    <t xml:space="preserve">Valoración general del espacio para infancias menores de 6 años</t>
  </si>
  <si>
    <t xml:space="preserve">Valoración técnica síntesis del espacio para menores de 6 años; contraparte de la valoración de cuidadoras.</t>
  </si>
  <si>
    <t xml:space="preserve">Visibilidad y frentes activos</t>
  </si>
  <si>
    <t xml:space="preserve">Actividad en el entorno inmediato</t>
  </si>
  <si>
    <t xml:space="preserve">Actividad en el entorno; depende poco de la intervención.</t>
  </si>
  <si>
    <t xml:space="preserve">Condiciones de seguridad y visibilidad en el espacio</t>
  </si>
  <si>
    <t xml:space="preserve">Seguridad y visibilidad del espacio: condición física de la seguridad percibida.</t>
  </si>
  <si>
    <t xml:space="preserve">Resumen de la priorización por dimensión</t>
  </si>
  <si>
    <t xml:space="preserve">Se calcula con fórmulas a partir de la hoja Indicadores: si cambias la priorización ahí, el resumen se actualiza.</t>
  </si>
  <si>
    <t xml:space="preserve">Total</t>
  </si>
  <si>
    <t xml:space="preserve">% prioritario</t>
  </si>
  <si>
    <t xml:space="preserve">Indicadores prioritarios por dimensión y tipo de evidencia</t>
  </si>
  <si>
    <t xml:space="preserve">Condiciones del espacio</t>
  </si>
  <si>
    <t xml:space="preserve">Comportamiento observado</t>
  </si>
  <si>
    <t xml:space="preserve">Comportamiento reportado</t>
  </si>
  <si>
    <t xml:space="preserve">Percepción</t>
  </si>
  <si>
    <t xml:space="preserve">Lectura: cada dimensión debería tener al menos una condición del espacio y un uso o percepción, para poder explicar el cambio (se modificó el espacio → cambió el uso → cambió la percepción).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</si>
</sst>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26262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62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4" t="s">
        <v>3</v>
      </c>
      <c r="B3" s="3" t="s">
        <v>4</v>
      </c>
    </row>
    <row r="4" customFormat="false" ht="23.85" hidden="false" customHeight="false" outlineLevel="0" collapsed="false">
      <c r="A4" s="5" t="s">
        <v>5</v>
      </c>
      <c r="B4" s="3" t="s">
        <v>6</v>
      </c>
    </row>
    <row r="5" customFormat="false" ht="23.85" hidden="false" customHeight="false" outlineLevel="0" collapsed="false">
      <c r="A5" s="6" t="s">
        <v>7</v>
      </c>
      <c r="B5" s="3" t="s">
        <v>8</v>
      </c>
    </row>
    <row r="6" customFormat="false" ht="23.85" hidden="false" customHeight="false" outlineLevel="0" collapsed="false">
      <c r="A6" s="6" t="s">
        <v>9</v>
      </c>
      <c r="B6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48"/>
    <col collapsed="false" customWidth="true" hidden="false" outlineLevel="0" max="7" min="7" style="0" width="15"/>
    <col collapsed="false" customWidth="true" hidden="false" outlineLevel="0" max="8" min="8" style="0" width="55"/>
    <col collapsed="false" customWidth="true" hidden="false" outlineLevel="0" max="9" min="9" style="0" width="38"/>
  </cols>
  <sheetData>
    <row r="1" customFormat="false" ht="15" hidden="false" customHeight="fals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</row>
    <row r="2" customFormat="false" ht="22.35" hidden="false" customHeight="false" outlineLevel="0" collapsed="false">
      <c r="A2" s="8" t="n">
        <v>1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9" t="s">
        <v>3</v>
      </c>
      <c r="H2" s="8" t="s">
        <v>25</v>
      </c>
      <c r="I2" s="10"/>
    </row>
    <row r="3" customFormat="false" ht="22.35" hidden="false" customHeight="false" outlineLevel="0" collapsed="false">
      <c r="A3" s="8" t="n">
        <v>2</v>
      </c>
      <c r="B3" s="8" t="s">
        <v>20</v>
      </c>
      <c r="C3" s="8" t="s">
        <v>21</v>
      </c>
      <c r="D3" s="8" t="s">
        <v>26</v>
      </c>
      <c r="E3" s="8" t="s">
        <v>23</v>
      </c>
      <c r="F3" s="8" t="s">
        <v>27</v>
      </c>
      <c r="G3" s="9" t="s">
        <v>1</v>
      </c>
      <c r="H3" s="8" t="s">
        <v>28</v>
      </c>
      <c r="I3" s="10"/>
    </row>
    <row r="4" customFormat="false" ht="22.35" hidden="false" customHeight="false" outlineLevel="0" collapsed="false">
      <c r="A4" s="8" t="n">
        <v>3</v>
      </c>
      <c r="B4" s="8" t="s">
        <v>20</v>
      </c>
      <c r="C4" s="8" t="s">
        <v>21</v>
      </c>
      <c r="D4" s="8" t="s">
        <v>26</v>
      </c>
      <c r="E4" s="8" t="s">
        <v>23</v>
      </c>
      <c r="F4" s="8" t="s">
        <v>29</v>
      </c>
      <c r="G4" s="9" t="s">
        <v>3</v>
      </c>
      <c r="H4" s="8" t="s">
        <v>30</v>
      </c>
      <c r="I4" s="10"/>
    </row>
    <row r="5" customFormat="false" ht="22.35" hidden="false" customHeight="false" outlineLevel="0" collapsed="false">
      <c r="A5" s="8" t="n">
        <v>4</v>
      </c>
      <c r="B5" s="8" t="s">
        <v>31</v>
      </c>
      <c r="C5" s="8" t="s">
        <v>32</v>
      </c>
      <c r="D5" s="8" t="s">
        <v>33</v>
      </c>
      <c r="E5" s="8" t="s">
        <v>23</v>
      </c>
      <c r="F5" s="8" t="s">
        <v>34</v>
      </c>
      <c r="G5" s="9" t="s">
        <v>3</v>
      </c>
      <c r="H5" s="8" t="s">
        <v>35</v>
      </c>
      <c r="I5" s="10"/>
    </row>
    <row r="6" customFormat="false" ht="22.35" hidden="false" customHeight="false" outlineLevel="0" collapsed="false">
      <c r="A6" s="8" t="n">
        <v>5</v>
      </c>
      <c r="B6" s="8" t="s">
        <v>31</v>
      </c>
      <c r="C6" s="8" t="s">
        <v>32</v>
      </c>
      <c r="D6" s="8" t="s">
        <v>33</v>
      </c>
      <c r="E6" s="8" t="s">
        <v>23</v>
      </c>
      <c r="F6" s="8" t="s">
        <v>36</v>
      </c>
      <c r="G6" s="9" t="s">
        <v>3</v>
      </c>
      <c r="H6" s="8" t="s">
        <v>37</v>
      </c>
      <c r="I6" s="10"/>
    </row>
    <row r="7" customFormat="false" ht="22.35" hidden="false" customHeight="false" outlineLevel="0" collapsed="false">
      <c r="A7" s="8" t="n">
        <v>6</v>
      </c>
      <c r="B7" s="8" t="s">
        <v>31</v>
      </c>
      <c r="C7" s="8" t="s">
        <v>38</v>
      </c>
      <c r="D7" s="8" t="s">
        <v>39</v>
      </c>
      <c r="E7" s="8" t="s">
        <v>23</v>
      </c>
      <c r="F7" s="8" t="s">
        <v>40</v>
      </c>
      <c r="G7" s="9" t="s">
        <v>3</v>
      </c>
      <c r="H7" s="8" t="s">
        <v>41</v>
      </c>
      <c r="I7" s="10"/>
    </row>
    <row r="8" customFormat="false" ht="22.35" hidden="false" customHeight="false" outlineLevel="0" collapsed="false">
      <c r="A8" s="8" t="n">
        <v>7</v>
      </c>
      <c r="B8" s="8" t="s">
        <v>31</v>
      </c>
      <c r="C8" s="8" t="s">
        <v>38</v>
      </c>
      <c r="D8" s="8" t="s">
        <v>39</v>
      </c>
      <c r="E8" s="8" t="s">
        <v>23</v>
      </c>
      <c r="F8" s="8" t="s">
        <v>42</v>
      </c>
      <c r="G8" s="9" t="s">
        <v>3</v>
      </c>
      <c r="H8" s="8" t="s">
        <v>43</v>
      </c>
      <c r="I8" s="10"/>
    </row>
    <row r="9" customFormat="false" ht="22.35" hidden="false" customHeight="false" outlineLevel="0" collapsed="false">
      <c r="A9" s="8" t="n">
        <v>8</v>
      </c>
      <c r="B9" s="8" t="s">
        <v>31</v>
      </c>
      <c r="C9" s="8" t="s">
        <v>38</v>
      </c>
      <c r="D9" s="8" t="s">
        <v>39</v>
      </c>
      <c r="E9" s="8" t="s">
        <v>23</v>
      </c>
      <c r="F9" s="8" t="s">
        <v>44</v>
      </c>
      <c r="G9" s="9" t="s">
        <v>1</v>
      </c>
      <c r="H9" s="8" t="s">
        <v>45</v>
      </c>
      <c r="I9" s="10"/>
    </row>
    <row r="10" customFormat="false" ht="22.35" hidden="false" customHeight="false" outlineLevel="0" collapsed="false">
      <c r="A10" s="8" t="n">
        <v>9</v>
      </c>
      <c r="B10" s="8" t="s">
        <v>31</v>
      </c>
      <c r="C10" s="8" t="s">
        <v>38</v>
      </c>
      <c r="D10" s="8" t="s">
        <v>39</v>
      </c>
      <c r="E10" s="8" t="s">
        <v>23</v>
      </c>
      <c r="F10" s="8" t="s">
        <v>46</v>
      </c>
      <c r="G10" s="9" t="s">
        <v>3</v>
      </c>
      <c r="H10" s="8" t="s">
        <v>47</v>
      </c>
      <c r="I10" s="10"/>
    </row>
    <row r="11" customFormat="false" ht="22.35" hidden="false" customHeight="false" outlineLevel="0" collapsed="false">
      <c r="A11" s="8" t="n">
        <v>10</v>
      </c>
      <c r="B11" s="8" t="s">
        <v>31</v>
      </c>
      <c r="C11" s="8" t="s">
        <v>38</v>
      </c>
      <c r="D11" s="8" t="s">
        <v>39</v>
      </c>
      <c r="E11" s="8" t="s">
        <v>23</v>
      </c>
      <c r="F11" s="8" t="s">
        <v>48</v>
      </c>
      <c r="G11" s="9" t="s">
        <v>3</v>
      </c>
      <c r="H11" s="8" t="s">
        <v>49</v>
      </c>
      <c r="I11" s="10"/>
    </row>
    <row r="12" customFormat="false" ht="22.35" hidden="false" customHeight="false" outlineLevel="0" collapsed="false">
      <c r="A12" s="8" t="n">
        <v>11</v>
      </c>
      <c r="B12" s="8" t="s">
        <v>31</v>
      </c>
      <c r="C12" s="8" t="s">
        <v>38</v>
      </c>
      <c r="D12" s="8" t="s">
        <v>39</v>
      </c>
      <c r="E12" s="8" t="s">
        <v>23</v>
      </c>
      <c r="F12" s="8" t="s">
        <v>50</v>
      </c>
      <c r="G12" s="9" t="s">
        <v>3</v>
      </c>
      <c r="H12" s="8" t="s">
        <v>51</v>
      </c>
      <c r="I12" s="10"/>
    </row>
    <row r="13" customFormat="false" ht="22.35" hidden="false" customHeight="false" outlineLevel="0" collapsed="false">
      <c r="A13" s="8" t="n">
        <v>12</v>
      </c>
      <c r="B13" s="8" t="s">
        <v>31</v>
      </c>
      <c r="C13" s="8" t="s">
        <v>38</v>
      </c>
      <c r="D13" s="8" t="s">
        <v>52</v>
      </c>
      <c r="E13" s="8" t="s">
        <v>23</v>
      </c>
      <c r="F13" s="8" t="s">
        <v>53</v>
      </c>
      <c r="G13" s="9" t="s">
        <v>3</v>
      </c>
      <c r="H13" s="8" t="s">
        <v>54</v>
      </c>
      <c r="I13" s="10"/>
    </row>
    <row r="14" customFormat="false" ht="22.35" hidden="false" customHeight="false" outlineLevel="0" collapsed="false">
      <c r="A14" s="8" t="n">
        <v>13</v>
      </c>
      <c r="B14" s="8" t="s">
        <v>31</v>
      </c>
      <c r="C14" s="8" t="s">
        <v>38</v>
      </c>
      <c r="D14" s="8" t="s">
        <v>55</v>
      </c>
      <c r="E14" s="8" t="s">
        <v>23</v>
      </c>
      <c r="F14" s="8" t="s">
        <v>56</v>
      </c>
      <c r="G14" s="9" t="s">
        <v>3</v>
      </c>
      <c r="H14" s="8" t="s">
        <v>57</v>
      </c>
      <c r="I14" s="10"/>
    </row>
    <row r="15" customFormat="false" ht="22.35" hidden="false" customHeight="false" outlineLevel="0" collapsed="false">
      <c r="A15" s="8" t="n">
        <v>14</v>
      </c>
      <c r="B15" s="8" t="s">
        <v>31</v>
      </c>
      <c r="C15" s="8" t="s">
        <v>21</v>
      </c>
      <c r="D15" s="8" t="s">
        <v>22</v>
      </c>
      <c r="E15" s="8" t="s">
        <v>23</v>
      </c>
      <c r="F15" s="8" t="s">
        <v>58</v>
      </c>
      <c r="G15" s="9" t="s">
        <v>1</v>
      </c>
      <c r="H15" s="8" t="s">
        <v>59</v>
      </c>
      <c r="I15" s="10"/>
    </row>
    <row r="16" customFormat="false" ht="22.35" hidden="false" customHeight="false" outlineLevel="0" collapsed="false">
      <c r="A16" s="8" t="n">
        <v>15</v>
      </c>
      <c r="B16" s="8" t="s">
        <v>31</v>
      </c>
      <c r="C16" s="8" t="s">
        <v>32</v>
      </c>
      <c r="D16" s="8" t="s">
        <v>60</v>
      </c>
      <c r="E16" s="8" t="s">
        <v>23</v>
      </c>
      <c r="F16" s="8" t="s">
        <v>61</v>
      </c>
      <c r="G16" s="9" t="s">
        <v>1</v>
      </c>
      <c r="H16" s="8" t="s">
        <v>62</v>
      </c>
      <c r="I16" s="10"/>
    </row>
    <row r="17" customFormat="false" ht="22.35" hidden="false" customHeight="false" outlineLevel="0" collapsed="false">
      <c r="A17" s="8" t="n">
        <v>16</v>
      </c>
      <c r="B17" s="8" t="s">
        <v>31</v>
      </c>
      <c r="C17" s="8" t="s">
        <v>32</v>
      </c>
      <c r="D17" s="8" t="s">
        <v>60</v>
      </c>
      <c r="E17" s="8" t="s">
        <v>23</v>
      </c>
      <c r="F17" s="8" t="s">
        <v>63</v>
      </c>
      <c r="G17" s="9" t="s">
        <v>3</v>
      </c>
      <c r="H17" s="8" t="s">
        <v>64</v>
      </c>
      <c r="I17" s="10"/>
    </row>
    <row r="18" customFormat="false" ht="22.35" hidden="false" customHeight="false" outlineLevel="0" collapsed="false">
      <c r="A18" s="8" t="n">
        <v>17</v>
      </c>
      <c r="B18" s="8" t="s">
        <v>31</v>
      </c>
      <c r="C18" s="8" t="s">
        <v>21</v>
      </c>
      <c r="D18" s="8" t="s">
        <v>26</v>
      </c>
      <c r="E18" s="8" t="s">
        <v>23</v>
      </c>
      <c r="F18" s="8" t="s">
        <v>65</v>
      </c>
      <c r="G18" s="9" t="s">
        <v>3</v>
      </c>
      <c r="H18" s="8" t="s">
        <v>66</v>
      </c>
      <c r="I18" s="10"/>
    </row>
    <row r="19" customFormat="false" ht="22.35" hidden="false" customHeight="false" outlineLevel="0" collapsed="false">
      <c r="A19" s="8" t="n">
        <v>18</v>
      </c>
      <c r="B19" s="8" t="s">
        <v>31</v>
      </c>
      <c r="C19" s="8" t="s">
        <v>21</v>
      </c>
      <c r="D19" s="8" t="s">
        <v>67</v>
      </c>
      <c r="E19" s="8" t="s">
        <v>23</v>
      </c>
      <c r="F19" s="8" t="s">
        <v>68</v>
      </c>
      <c r="G19" s="9" t="s">
        <v>1</v>
      </c>
      <c r="H19" s="8" t="s">
        <v>69</v>
      </c>
      <c r="I19" s="10"/>
    </row>
    <row r="20" customFormat="false" ht="22.35" hidden="false" customHeight="false" outlineLevel="0" collapsed="false">
      <c r="A20" s="8" t="n">
        <v>19</v>
      </c>
      <c r="B20" s="8" t="s">
        <v>31</v>
      </c>
      <c r="C20" s="8" t="s">
        <v>21</v>
      </c>
      <c r="D20" s="8" t="s">
        <v>67</v>
      </c>
      <c r="E20" s="8" t="s">
        <v>23</v>
      </c>
      <c r="F20" s="8" t="s">
        <v>70</v>
      </c>
      <c r="G20" s="9" t="s">
        <v>3</v>
      </c>
      <c r="H20" s="8" t="s">
        <v>71</v>
      </c>
      <c r="I20" s="10" t="s">
        <v>72</v>
      </c>
    </row>
    <row r="21" customFormat="false" ht="22.35" hidden="false" customHeight="false" outlineLevel="0" collapsed="false">
      <c r="A21" s="8" t="n">
        <v>20</v>
      </c>
      <c r="B21" s="8" t="s">
        <v>31</v>
      </c>
      <c r="C21" s="8" t="s">
        <v>21</v>
      </c>
      <c r="D21" s="8" t="s">
        <v>67</v>
      </c>
      <c r="E21" s="8" t="s">
        <v>23</v>
      </c>
      <c r="F21" s="8" t="s">
        <v>73</v>
      </c>
      <c r="G21" s="9" t="s">
        <v>3</v>
      </c>
      <c r="H21" s="8" t="s">
        <v>74</v>
      </c>
      <c r="I21" s="10" t="s">
        <v>75</v>
      </c>
    </row>
    <row r="22" customFormat="false" ht="22.35" hidden="false" customHeight="false" outlineLevel="0" collapsed="false">
      <c r="A22" s="8" t="n">
        <v>21</v>
      </c>
      <c r="B22" s="8" t="s">
        <v>31</v>
      </c>
      <c r="C22" s="8" t="s">
        <v>76</v>
      </c>
      <c r="D22" s="8" t="s">
        <v>77</v>
      </c>
      <c r="E22" s="8" t="s">
        <v>23</v>
      </c>
      <c r="F22" s="8" t="s">
        <v>78</v>
      </c>
      <c r="G22" s="9" t="s">
        <v>3</v>
      </c>
      <c r="H22" s="8" t="s">
        <v>79</v>
      </c>
      <c r="I22" s="10"/>
    </row>
    <row r="23" customFormat="false" ht="22.35" hidden="false" customHeight="false" outlineLevel="0" collapsed="false">
      <c r="A23" s="8" t="n">
        <v>22</v>
      </c>
      <c r="B23" s="8" t="s">
        <v>31</v>
      </c>
      <c r="C23" s="8" t="s">
        <v>76</v>
      </c>
      <c r="D23" s="8" t="s">
        <v>77</v>
      </c>
      <c r="E23" s="8" t="s">
        <v>23</v>
      </c>
      <c r="F23" s="8" t="s">
        <v>80</v>
      </c>
      <c r="G23" s="9" t="s">
        <v>1</v>
      </c>
      <c r="H23" s="8" t="s">
        <v>81</v>
      </c>
      <c r="I23" s="10"/>
    </row>
    <row r="24" customFormat="false" ht="22.35" hidden="false" customHeight="false" outlineLevel="0" collapsed="false">
      <c r="A24" s="8" t="n">
        <v>23</v>
      </c>
      <c r="B24" s="8" t="s">
        <v>31</v>
      </c>
      <c r="C24" s="8" t="s">
        <v>76</v>
      </c>
      <c r="D24" s="8" t="s">
        <v>82</v>
      </c>
      <c r="E24" s="8" t="s">
        <v>23</v>
      </c>
      <c r="F24" s="8" t="s">
        <v>83</v>
      </c>
      <c r="G24" s="9" t="s">
        <v>3</v>
      </c>
      <c r="H24" s="8" t="s">
        <v>84</v>
      </c>
      <c r="I24" s="10"/>
    </row>
    <row r="25" customFormat="false" ht="22.35" hidden="false" customHeight="false" outlineLevel="0" collapsed="false">
      <c r="A25" s="8" t="n">
        <v>24</v>
      </c>
      <c r="B25" s="8" t="s">
        <v>31</v>
      </c>
      <c r="C25" s="8" t="s">
        <v>76</v>
      </c>
      <c r="D25" s="8" t="s">
        <v>82</v>
      </c>
      <c r="E25" s="8" t="s">
        <v>23</v>
      </c>
      <c r="F25" s="8" t="s">
        <v>85</v>
      </c>
      <c r="G25" s="9" t="s">
        <v>3</v>
      </c>
      <c r="H25" s="8" t="s">
        <v>86</v>
      </c>
      <c r="I25" s="10"/>
    </row>
    <row r="26" customFormat="false" ht="22.35" hidden="false" customHeight="false" outlineLevel="0" collapsed="false">
      <c r="A26" s="8" t="n">
        <v>25</v>
      </c>
      <c r="B26" s="8" t="s">
        <v>87</v>
      </c>
      <c r="C26" s="8" t="s">
        <v>32</v>
      </c>
      <c r="D26" s="8" t="s">
        <v>88</v>
      </c>
      <c r="E26" s="8" t="s">
        <v>89</v>
      </c>
      <c r="F26" s="8" t="s">
        <v>90</v>
      </c>
      <c r="G26" s="9" t="s">
        <v>3</v>
      </c>
      <c r="H26" s="8" t="s">
        <v>91</v>
      </c>
      <c r="I26" s="10"/>
    </row>
    <row r="27" customFormat="false" ht="22.35" hidden="false" customHeight="false" outlineLevel="0" collapsed="false">
      <c r="A27" s="8" t="n">
        <v>26</v>
      </c>
      <c r="B27" s="8" t="s">
        <v>87</v>
      </c>
      <c r="C27" s="8" t="s">
        <v>32</v>
      </c>
      <c r="D27" s="8" t="s">
        <v>88</v>
      </c>
      <c r="E27" s="8" t="s">
        <v>89</v>
      </c>
      <c r="F27" s="8" t="s">
        <v>92</v>
      </c>
      <c r="G27" s="9" t="s">
        <v>3</v>
      </c>
      <c r="H27" s="8" t="s">
        <v>93</v>
      </c>
      <c r="I27" s="10"/>
    </row>
    <row r="28" customFormat="false" ht="22.35" hidden="false" customHeight="false" outlineLevel="0" collapsed="false">
      <c r="A28" s="8" t="n">
        <v>27</v>
      </c>
      <c r="B28" s="8" t="s">
        <v>87</v>
      </c>
      <c r="C28" s="8" t="s">
        <v>32</v>
      </c>
      <c r="D28" s="8" t="s">
        <v>88</v>
      </c>
      <c r="E28" s="8" t="s">
        <v>89</v>
      </c>
      <c r="F28" s="8" t="s">
        <v>94</v>
      </c>
      <c r="G28" s="9" t="s">
        <v>3</v>
      </c>
      <c r="H28" s="8" t="s">
        <v>95</v>
      </c>
      <c r="I28" s="10"/>
    </row>
    <row r="29" customFormat="false" ht="22.35" hidden="false" customHeight="false" outlineLevel="0" collapsed="false">
      <c r="A29" s="8" t="n">
        <v>28</v>
      </c>
      <c r="B29" s="8" t="s">
        <v>87</v>
      </c>
      <c r="C29" s="8" t="s">
        <v>32</v>
      </c>
      <c r="D29" s="8" t="s">
        <v>88</v>
      </c>
      <c r="E29" s="8" t="s">
        <v>89</v>
      </c>
      <c r="F29" s="8" t="s">
        <v>96</v>
      </c>
      <c r="G29" s="9" t="s">
        <v>3</v>
      </c>
      <c r="H29" s="8" t="s">
        <v>93</v>
      </c>
      <c r="I29" s="10"/>
    </row>
    <row r="30" customFormat="false" ht="22.35" hidden="false" customHeight="false" outlineLevel="0" collapsed="false">
      <c r="A30" s="8" t="n">
        <v>29</v>
      </c>
      <c r="B30" s="8" t="s">
        <v>87</v>
      </c>
      <c r="C30" s="8" t="s">
        <v>97</v>
      </c>
      <c r="D30" s="8" t="s">
        <v>98</v>
      </c>
      <c r="E30" s="8" t="s">
        <v>89</v>
      </c>
      <c r="F30" s="8" t="s">
        <v>99</v>
      </c>
      <c r="G30" s="9" t="s">
        <v>3</v>
      </c>
      <c r="H30" s="8" t="s">
        <v>93</v>
      </c>
      <c r="I30" s="10"/>
    </row>
    <row r="31" customFormat="false" ht="22.35" hidden="false" customHeight="false" outlineLevel="0" collapsed="false">
      <c r="A31" s="8" t="n">
        <v>30</v>
      </c>
      <c r="B31" s="8" t="s">
        <v>87</v>
      </c>
      <c r="C31" s="8" t="s">
        <v>97</v>
      </c>
      <c r="D31" s="8" t="s">
        <v>98</v>
      </c>
      <c r="E31" s="8" t="s">
        <v>89</v>
      </c>
      <c r="F31" s="8" t="s">
        <v>100</v>
      </c>
      <c r="G31" s="9" t="s">
        <v>3</v>
      </c>
      <c r="H31" s="8" t="s">
        <v>101</v>
      </c>
      <c r="I31" s="10"/>
    </row>
    <row r="32" customFormat="false" ht="22.35" hidden="false" customHeight="false" outlineLevel="0" collapsed="false">
      <c r="A32" s="8" t="n">
        <v>31</v>
      </c>
      <c r="B32" s="8" t="s">
        <v>87</v>
      </c>
      <c r="C32" s="8" t="s">
        <v>97</v>
      </c>
      <c r="D32" s="8" t="s">
        <v>98</v>
      </c>
      <c r="E32" s="8" t="s">
        <v>89</v>
      </c>
      <c r="F32" s="8" t="s">
        <v>102</v>
      </c>
      <c r="G32" s="9" t="s">
        <v>3</v>
      </c>
      <c r="H32" s="8" t="s">
        <v>93</v>
      </c>
      <c r="I32" s="10"/>
    </row>
    <row r="33" customFormat="false" ht="22.35" hidden="false" customHeight="false" outlineLevel="0" collapsed="false">
      <c r="A33" s="8" t="n">
        <v>32</v>
      </c>
      <c r="B33" s="8" t="s">
        <v>87</v>
      </c>
      <c r="C33" s="8" t="s">
        <v>103</v>
      </c>
      <c r="D33" s="8" t="s">
        <v>104</v>
      </c>
      <c r="E33" s="8" t="s">
        <v>89</v>
      </c>
      <c r="F33" s="8" t="s">
        <v>105</v>
      </c>
      <c r="G33" s="9" t="s">
        <v>1</v>
      </c>
      <c r="H33" s="8" t="s">
        <v>106</v>
      </c>
      <c r="I33" s="10"/>
    </row>
    <row r="34" customFormat="false" ht="22.35" hidden="false" customHeight="false" outlineLevel="0" collapsed="false">
      <c r="A34" s="8" t="n">
        <v>33</v>
      </c>
      <c r="B34" s="8" t="s">
        <v>87</v>
      </c>
      <c r="C34" s="8" t="s">
        <v>103</v>
      </c>
      <c r="D34" s="8" t="s">
        <v>104</v>
      </c>
      <c r="E34" s="8" t="s">
        <v>89</v>
      </c>
      <c r="F34" s="8" t="s">
        <v>107</v>
      </c>
      <c r="G34" s="9" t="s">
        <v>3</v>
      </c>
      <c r="H34" s="8" t="s">
        <v>93</v>
      </c>
      <c r="I34" s="10"/>
    </row>
    <row r="35" customFormat="false" ht="22.35" hidden="false" customHeight="false" outlineLevel="0" collapsed="false">
      <c r="A35" s="8" t="n">
        <v>34</v>
      </c>
      <c r="B35" s="8" t="s">
        <v>87</v>
      </c>
      <c r="C35" s="8" t="s">
        <v>21</v>
      </c>
      <c r="D35" s="8" t="s">
        <v>108</v>
      </c>
      <c r="E35" s="8" t="s">
        <v>89</v>
      </c>
      <c r="F35" s="8" t="s">
        <v>109</v>
      </c>
      <c r="G35" s="9" t="s">
        <v>3</v>
      </c>
      <c r="H35" s="8" t="s">
        <v>110</v>
      </c>
      <c r="I35" s="10"/>
    </row>
    <row r="36" customFormat="false" ht="22.35" hidden="false" customHeight="false" outlineLevel="0" collapsed="false">
      <c r="A36" s="8" t="n">
        <v>35</v>
      </c>
      <c r="B36" s="8" t="s">
        <v>87</v>
      </c>
      <c r="C36" s="8" t="s">
        <v>21</v>
      </c>
      <c r="D36" s="8" t="s">
        <v>108</v>
      </c>
      <c r="E36" s="8" t="s">
        <v>89</v>
      </c>
      <c r="F36" s="8" t="s">
        <v>111</v>
      </c>
      <c r="G36" s="9" t="s">
        <v>3</v>
      </c>
      <c r="H36" s="8" t="s">
        <v>93</v>
      </c>
      <c r="I36" s="10"/>
    </row>
    <row r="37" customFormat="false" ht="22.35" hidden="false" customHeight="false" outlineLevel="0" collapsed="false">
      <c r="A37" s="8" t="n">
        <v>36</v>
      </c>
      <c r="B37" s="8" t="s">
        <v>87</v>
      </c>
      <c r="C37" s="8" t="s">
        <v>76</v>
      </c>
      <c r="D37" s="8" t="s">
        <v>112</v>
      </c>
      <c r="E37" s="8" t="s">
        <v>89</v>
      </c>
      <c r="F37" s="8" t="s">
        <v>113</v>
      </c>
      <c r="G37" s="9" t="s">
        <v>1</v>
      </c>
      <c r="H37" s="8" t="s">
        <v>114</v>
      </c>
      <c r="I37" s="10"/>
    </row>
    <row r="38" customFormat="false" ht="22.35" hidden="false" customHeight="false" outlineLevel="0" collapsed="false">
      <c r="A38" s="8" t="n">
        <v>37</v>
      </c>
      <c r="B38" s="8" t="s">
        <v>87</v>
      </c>
      <c r="C38" s="8" t="s">
        <v>76</v>
      </c>
      <c r="D38" s="8" t="s">
        <v>112</v>
      </c>
      <c r="E38" s="8" t="s">
        <v>89</v>
      </c>
      <c r="F38" s="8" t="s">
        <v>115</v>
      </c>
      <c r="G38" s="9" t="s">
        <v>3</v>
      </c>
      <c r="H38" s="8" t="s">
        <v>93</v>
      </c>
      <c r="I38" s="10"/>
    </row>
    <row r="39" customFormat="false" ht="22.35" hidden="false" customHeight="false" outlineLevel="0" collapsed="false">
      <c r="A39" s="8" t="n">
        <v>38</v>
      </c>
      <c r="B39" s="8" t="s">
        <v>116</v>
      </c>
      <c r="C39" s="8" t="s">
        <v>32</v>
      </c>
      <c r="D39" s="8" t="s">
        <v>33</v>
      </c>
      <c r="E39" s="8" t="s">
        <v>89</v>
      </c>
      <c r="F39" s="8" t="s">
        <v>117</v>
      </c>
      <c r="G39" s="9" t="s">
        <v>1</v>
      </c>
      <c r="H39" s="8" t="s">
        <v>118</v>
      </c>
      <c r="I39" s="10"/>
    </row>
    <row r="40" customFormat="false" ht="22.35" hidden="false" customHeight="false" outlineLevel="0" collapsed="false">
      <c r="A40" s="8" t="n">
        <v>39</v>
      </c>
      <c r="B40" s="8" t="s">
        <v>116</v>
      </c>
      <c r="C40" s="8" t="s">
        <v>32</v>
      </c>
      <c r="D40" s="8" t="s">
        <v>33</v>
      </c>
      <c r="E40" s="8" t="s">
        <v>89</v>
      </c>
      <c r="F40" s="8" t="s">
        <v>119</v>
      </c>
      <c r="G40" s="9" t="s">
        <v>3</v>
      </c>
      <c r="H40" s="8" t="s">
        <v>120</v>
      </c>
      <c r="I40" s="10" t="s">
        <v>121</v>
      </c>
    </row>
    <row r="41" customFormat="false" ht="22.35" hidden="false" customHeight="false" outlineLevel="0" collapsed="false">
      <c r="A41" s="8" t="n">
        <v>40</v>
      </c>
      <c r="B41" s="8" t="s">
        <v>116</v>
      </c>
      <c r="C41" s="8" t="s">
        <v>38</v>
      </c>
      <c r="D41" s="8" t="s">
        <v>39</v>
      </c>
      <c r="E41" s="8" t="s">
        <v>122</v>
      </c>
      <c r="F41" s="8" t="s">
        <v>123</v>
      </c>
      <c r="G41" s="9" t="s">
        <v>5</v>
      </c>
      <c r="H41" s="8" t="s">
        <v>124</v>
      </c>
      <c r="I41" s="10"/>
    </row>
    <row r="42" customFormat="false" ht="22.35" hidden="false" customHeight="false" outlineLevel="0" collapsed="false">
      <c r="A42" s="8" t="n">
        <v>41</v>
      </c>
      <c r="B42" s="8" t="s">
        <v>116</v>
      </c>
      <c r="C42" s="8" t="s">
        <v>38</v>
      </c>
      <c r="D42" s="8" t="s">
        <v>39</v>
      </c>
      <c r="E42" s="8" t="s">
        <v>122</v>
      </c>
      <c r="F42" s="8" t="s">
        <v>125</v>
      </c>
      <c r="G42" s="9" t="s">
        <v>5</v>
      </c>
      <c r="H42" s="8" t="s">
        <v>124</v>
      </c>
      <c r="I42" s="10"/>
    </row>
    <row r="43" customFormat="false" ht="22.35" hidden="false" customHeight="false" outlineLevel="0" collapsed="false">
      <c r="A43" s="8" t="n">
        <v>42</v>
      </c>
      <c r="B43" s="8" t="s">
        <v>116</v>
      </c>
      <c r="C43" s="8" t="s">
        <v>32</v>
      </c>
      <c r="D43" s="8" t="s">
        <v>126</v>
      </c>
      <c r="E43" s="8" t="s">
        <v>89</v>
      </c>
      <c r="F43" s="8" t="s">
        <v>127</v>
      </c>
      <c r="G43" s="9" t="s">
        <v>1</v>
      </c>
      <c r="H43" s="8" t="s">
        <v>128</v>
      </c>
      <c r="I43" s="10"/>
    </row>
    <row r="44" customFormat="false" ht="22.35" hidden="false" customHeight="false" outlineLevel="0" collapsed="false">
      <c r="A44" s="8" t="n">
        <v>43</v>
      </c>
      <c r="B44" s="8" t="s">
        <v>116</v>
      </c>
      <c r="C44" s="8" t="s">
        <v>32</v>
      </c>
      <c r="D44" s="8" t="s">
        <v>126</v>
      </c>
      <c r="E44" s="8" t="s">
        <v>89</v>
      </c>
      <c r="F44" s="8" t="s">
        <v>129</v>
      </c>
      <c r="G44" s="9" t="s">
        <v>1</v>
      </c>
      <c r="H44" s="8" t="s">
        <v>130</v>
      </c>
      <c r="I44" s="10"/>
    </row>
    <row r="45" customFormat="false" ht="22.35" hidden="false" customHeight="false" outlineLevel="0" collapsed="false">
      <c r="A45" s="8" t="n">
        <v>44</v>
      </c>
      <c r="B45" s="8" t="s">
        <v>116</v>
      </c>
      <c r="C45" s="8" t="s">
        <v>131</v>
      </c>
      <c r="D45" s="8" t="s">
        <v>132</v>
      </c>
      <c r="E45" s="8" t="s">
        <v>89</v>
      </c>
      <c r="F45" s="8" t="s">
        <v>133</v>
      </c>
      <c r="G45" s="9" t="s">
        <v>1</v>
      </c>
      <c r="H45" s="8" t="s">
        <v>134</v>
      </c>
      <c r="I45" s="10"/>
    </row>
    <row r="46" customFormat="false" ht="22.35" hidden="false" customHeight="false" outlineLevel="0" collapsed="false">
      <c r="A46" s="8" t="n">
        <v>45</v>
      </c>
      <c r="B46" s="8" t="s">
        <v>116</v>
      </c>
      <c r="C46" s="8" t="s">
        <v>76</v>
      </c>
      <c r="D46" s="8" t="s">
        <v>132</v>
      </c>
      <c r="E46" s="8" t="s">
        <v>89</v>
      </c>
      <c r="F46" s="8" t="s">
        <v>135</v>
      </c>
      <c r="G46" s="9" t="s">
        <v>3</v>
      </c>
      <c r="H46" s="8" t="s">
        <v>136</v>
      </c>
      <c r="I46" s="10" t="s">
        <v>137</v>
      </c>
    </row>
    <row r="47" customFormat="false" ht="22.35" hidden="false" customHeight="false" outlineLevel="0" collapsed="false">
      <c r="A47" s="8" t="n">
        <v>46</v>
      </c>
      <c r="B47" s="8" t="s">
        <v>116</v>
      </c>
      <c r="C47" s="8" t="s">
        <v>97</v>
      </c>
      <c r="D47" s="8" t="s">
        <v>138</v>
      </c>
      <c r="E47" s="8" t="s">
        <v>89</v>
      </c>
      <c r="F47" s="8" t="s">
        <v>139</v>
      </c>
      <c r="G47" s="9" t="s">
        <v>3</v>
      </c>
      <c r="H47" s="8" t="s">
        <v>140</v>
      </c>
      <c r="I47" s="10"/>
    </row>
    <row r="48" customFormat="false" ht="22.35" hidden="false" customHeight="false" outlineLevel="0" collapsed="false">
      <c r="A48" s="8" t="n">
        <v>47</v>
      </c>
      <c r="B48" s="8" t="s">
        <v>116</v>
      </c>
      <c r="C48" s="8" t="s">
        <v>32</v>
      </c>
      <c r="D48" s="8" t="s">
        <v>141</v>
      </c>
      <c r="E48" s="8" t="s">
        <v>89</v>
      </c>
      <c r="F48" s="8" t="s">
        <v>142</v>
      </c>
      <c r="G48" s="9" t="s">
        <v>1</v>
      </c>
      <c r="H48" s="8" t="s">
        <v>143</v>
      </c>
      <c r="I48" s="10"/>
    </row>
    <row r="49" customFormat="false" ht="22.35" hidden="false" customHeight="false" outlineLevel="0" collapsed="false">
      <c r="A49" s="8" t="n">
        <v>48</v>
      </c>
      <c r="B49" s="8" t="s">
        <v>116</v>
      </c>
      <c r="C49" s="8" t="s">
        <v>97</v>
      </c>
      <c r="D49" s="8" t="s">
        <v>144</v>
      </c>
      <c r="E49" s="8" t="s">
        <v>89</v>
      </c>
      <c r="F49" s="8" t="s">
        <v>145</v>
      </c>
      <c r="G49" s="9" t="s">
        <v>1</v>
      </c>
      <c r="H49" s="8" t="s">
        <v>146</v>
      </c>
      <c r="I49" s="10"/>
    </row>
    <row r="50" customFormat="false" ht="22.35" hidden="false" customHeight="false" outlineLevel="0" collapsed="false">
      <c r="A50" s="8" t="n">
        <v>49</v>
      </c>
      <c r="B50" s="8" t="s">
        <v>116</v>
      </c>
      <c r="C50" s="8" t="s">
        <v>21</v>
      </c>
      <c r="D50" s="8" t="s">
        <v>147</v>
      </c>
      <c r="E50" s="8" t="s">
        <v>89</v>
      </c>
      <c r="F50" s="8" t="s">
        <v>148</v>
      </c>
      <c r="G50" s="9" t="s">
        <v>3</v>
      </c>
      <c r="H50" s="8" t="s">
        <v>149</v>
      </c>
      <c r="I50" s="10"/>
    </row>
    <row r="51" customFormat="false" ht="22.35" hidden="false" customHeight="false" outlineLevel="0" collapsed="false">
      <c r="A51" s="8" t="n">
        <v>50</v>
      </c>
      <c r="B51" s="8" t="s">
        <v>116</v>
      </c>
      <c r="C51" s="8" t="s">
        <v>38</v>
      </c>
      <c r="D51" s="8" t="s">
        <v>150</v>
      </c>
      <c r="E51" s="8" t="s">
        <v>122</v>
      </c>
      <c r="F51" s="8" t="s">
        <v>151</v>
      </c>
      <c r="G51" s="9" t="s">
        <v>1</v>
      </c>
      <c r="H51" s="8" t="s">
        <v>152</v>
      </c>
      <c r="I51" s="10"/>
    </row>
    <row r="52" customFormat="false" ht="22.35" hidden="false" customHeight="false" outlineLevel="0" collapsed="false">
      <c r="A52" s="8" t="n">
        <v>51</v>
      </c>
      <c r="B52" s="8" t="s">
        <v>116</v>
      </c>
      <c r="C52" s="8" t="s">
        <v>38</v>
      </c>
      <c r="D52" s="8" t="s">
        <v>150</v>
      </c>
      <c r="E52" s="8" t="s">
        <v>122</v>
      </c>
      <c r="F52" s="8" t="s">
        <v>153</v>
      </c>
      <c r="G52" s="9" t="s">
        <v>3</v>
      </c>
      <c r="H52" s="8" t="s">
        <v>154</v>
      </c>
      <c r="I52" s="10"/>
    </row>
    <row r="53" customFormat="false" ht="22.35" hidden="false" customHeight="false" outlineLevel="0" collapsed="false">
      <c r="A53" s="8" t="n">
        <v>52</v>
      </c>
      <c r="B53" s="8" t="s">
        <v>116</v>
      </c>
      <c r="C53" s="8" t="s">
        <v>38</v>
      </c>
      <c r="D53" s="8" t="s">
        <v>150</v>
      </c>
      <c r="E53" s="8" t="s">
        <v>122</v>
      </c>
      <c r="F53" s="8" t="s">
        <v>155</v>
      </c>
      <c r="G53" s="9" t="s">
        <v>1</v>
      </c>
      <c r="H53" s="8" t="s">
        <v>156</v>
      </c>
      <c r="I53" s="10"/>
    </row>
    <row r="54" customFormat="false" ht="22.35" hidden="false" customHeight="false" outlineLevel="0" collapsed="false">
      <c r="A54" s="8" t="n">
        <v>53</v>
      </c>
      <c r="B54" s="8" t="s">
        <v>116</v>
      </c>
      <c r="C54" s="8" t="s">
        <v>103</v>
      </c>
      <c r="D54" s="8" t="s">
        <v>157</v>
      </c>
      <c r="E54" s="8" t="s">
        <v>89</v>
      </c>
      <c r="F54" s="8" t="s">
        <v>158</v>
      </c>
      <c r="G54" s="9" t="s">
        <v>3</v>
      </c>
      <c r="H54" s="8" t="s">
        <v>159</v>
      </c>
      <c r="I54" s="10"/>
    </row>
    <row r="55" customFormat="false" ht="22.35" hidden="false" customHeight="false" outlineLevel="0" collapsed="false">
      <c r="A55" s="8" t="n">
        <v>54</v>
      </c>
      <c r="B55" s="8" t="s">
        <v>116</v>
      </c>
      <c r="C55" s="8" t="s">
        <v>21</v>
      </c>
      <c r="D55" s="8" t="s">
        <v>26</v>
      </c>
      <c r="E55" s="8" t="s">
        <v>122</v>
      </c>
      <c r="F55" s="8" t="s">
        <v>160</v>
      </c>
      <c r="G55" s="9" t="s">
        <v>3</v>
      </c>
      <c r="H55" s="8" t="s">
        <v>161</v>
      </c>
      <c r="I55" s="10"/>
    </row>
    <row r="56" customFormat="false" ht="22.35" hidden="false" customHeight="false" outlineLevel="0" collapsed="false">
      <c r="A56" s="8" t="n">
        <v>55</v>
      </c>
      <c r="B56" s="8" t="s">
        <v>116</v>
      </c>
      <c r="C56" s="8" t="s">
        <v>21</v>
      </c>
      <c r="D56" s="8" t="s">
        <v>67</v>
      </c>
      <c r="E56" s="8" t="s">
        <v>122</v>
      </c>
      <c r="F56" s="8" t="s">
        <v>162</v>
      </c>
      <c r="G56" s="9" t="s">
        <v>3</v>
      </c>
      <c r="H56" s="8" t="s">
        <v>163</v>
      </c>
      <c r="I56" s="10"/>
    </row>
    <row r="57" customFormat="false" ht="22.35" hidden="false" customHeight="false" outlineLevel="0" collapsed="false">
      <c r="A57" s="8" t="n">
        <v>56</v>
      </c>
      <c r="B57" s="8" t="s">
        <v>116</v>
      </c>
      <c r="C57" s="8" t="s">
        <v>21</v>
      </c>
      <c r="D57" s="8" t="s">
        <v>67</v>
      </c>
      <c r="E57" s="8" t="s">
        <v>122</v>
      </c>
      <c r="F57" s="8" t="s">
        <v>164</v>
      </c>
      <c r="G57" s="9" t="s">
        <v>3</v>
      </c>
      <c r="H57" s="8" t="s">
        <v>165</v>
      </c>
      <c r="I57" s="10"/>
    </row>
    <row r="58" customFormat="false" ht="22.35" hidden="false" customHeight="false" outlineLevel="0" collapsed="false">
      <c r="A58" s="8" t="n">
        <v>57</v>
      </c>
      <c r="B58" s="8" t="s">
        <v>116</v>
      </c>
      <c r="C58" s="8" t="s">
        <v>21</v>
      </c>
      <c r="D58" s="8" t="s">
        <v>67</v>
      </c>
      <c r="E58" s="8" t="s">
        <v>89</v>
      </c>
      <c r="F58" s="8" t="s">
        <v>166</v>
      </c>
      <c r="G58" s="9" t="s">
        <v>1</v>
      </c>
      <c r="H58" s="8" t="s">
        <v>167</v>
      </c>
      <c r="I58" s="10"/>
    </row>
    <row r="59" customFormat="false" ht="22.35" hidden="false" customHeight="false" outlineLevel="0" collapsed="false">
      <c r="A59" s="8" t="n">
        <v>58</v>
      </c>
      <c r="B59" s="8" t="s">
        <v>116</v>
      </c>
      <c r="C59" s="8" t="s">
        <v>76</v>
      </c>
      <c r="D59" s="8" t="s">
        <v>168</v>
      </c>
      <c r="E59" s="8" t="s">
        <v>89</v>
      </c>
      <c r="F59" s="8" t="s">
        <v>169</v>
      </c>
      <c r="G59" s="9" t="s">
        <v>3</v>
      </c>
      <c r="H59" s="8" t="s">
        <v>170</v>
      </c>
      <c r="I59" s="10"/>
    </row>
    <row r="60" customFormat="false" ht="22.35" hidden="false" customHeight="false" outlineLevel="0" collapsed="false">
      <c r="A60" s="8" t="n">
        <v>59</v>
      </c>
      <c r="B60" s="8" t="s">
        <v>116</v>
      </c>
      <c r="C60" s="8" t="s">
        <v>76</v>
      </c>
      <c r="D60" s="8" t="s">
        <v>77</v>
      </c>
      <c r="E60" s="8" t="s">
        <v>89</v>
      </c>
      <c r="F60" s="8" t="s">
        <v>171</v>
      </c>
      <c r="G60" s="9" t="s">
        <v>3</v>
      </c>
      <c r="H60" s="8" t="s">
        <v>172</v>
      </c>
      <c r="I60" s="10"/>
    </row>
    <row r="61" customFormat="false" ht="22.35" hidden="false" customHeight="false" outlineLevel="0" collapsed="false">
      <c r="A61" s="8" t="n">
        <v>60</v>
      </c>
      <c r="B61" s="8" t="s">
        <v>116</v>
      </c>
      <c r="C61" s="8" t="s">
        <v>76</v>
      </c>
      <c r="D61" s="8" t="s">
        <v>82</v>
      </c>
      <c r="E61" s="8" t="s">
        <v>89</v>
      </c>
      <c r="F61" s="8" t="s">
        <v>173</v>
      </c>
      <c r="G61" s="9" t="s">
        <v>3</v>
      </c>
      <c r="H61" s="8" t="s">
        <v>174</v>
      </c>
      <c r="I61" s="10"/>
    </row>
    <row r="62" customFormat="false" ht="22.35" hidden="false" customHeight="false" outlineLevel="0" collapsed="false">
      <c r="A62" s="8" t="n">
        <v>61</v>
      </c>
      <c r="B62" s="8" t="s">
        <v>116</v>
      </c>
      <c r="C62" s="8" t="s">
        <v>131</v>
      </c>
      <c r="D62" s="8" t="s">
        <v>175</v>
      </c>
      <c r="E62" s="8" t="s">
        <v>122</v>
      </c>
      <c r="F62" s="8" t="s">
        <v>176</v>
      </c>
      <c r="G62" s="9" t="s">
        <v>5</v>
      </c>
      <c r="H62" s="8" t="s">
        <v>177</v>
      </c>
      <c r="I62" s="10"/>
    </row>
    <row r="63" customFormat="false" ht="22.35" hidden="false" customHeight="false" outlineLevel="0" collapsed="false">
      <c r="A63" s="8" t="n">
        <v>62</v>
      </c>
      <c r="B63" s="8" t="s">
        <v>116</v>
      </c>
      <c r="C63" s="8" t="s">
        <v>103</v>
      </c>
      <c r="D63" s="8" t="s">
        <v>178</v>
      </c>
      <c r="E63" s="8" t="s">
        <v>89</v>
      </c>
      <c r="F63" s="8" t="s">
        <v>179</v>
      </c>
      <c r="G63" s="9" t="s">
        <v>1</v>
      </c>
      <c r="H63" s="8" t="s">
        <v>180</v>
      </c>
      <c r="I63" s="10"/>
    </row>
    <row r="64" customFormat="false" ht="22.35" hidden="false" customHeight="false" outlineLevel="0" collapsed="false">
      <c r="A64" s="8" t="n">
        <v>63</v>
      </c>
      <c r="B64" s="8" t="s">
        <v>116</v>
      </c>
      <c r="C64" s="8" t="s">
        <v>103</v>
      </c>
      <c r="D64" s="8" t="s">
        <v>181</v>
      </c>
      <c r="E64" s="8" t="s">
        <v>89</v>
      </c>
      <c r="F64" s="8" t="s">
        <v>182</v>
      </c>
      <c r="G64" s="9" t="s">
        <v>3</v>
      </c>
      <c r="H64" s="8" t="s">
        <v>183</v>
      </c>
      <c r="I64" s="10"/>
    </row>
    <row r="65" customFormat="false" ht="22.35" hidden="false" customHeight="false" outlineLevel="0" collapsed="false">
      <c r="A65" s="8" t="n">
        <v>64</v>
      </c>
      <c r="B65" s="8" t="s">
        <v>116</v>
      </c>
      <c r="C65" s="8" t="s">
        <v>131</v>
      </c>
      <c r="D65" s="8" t="s">
        <v>184</v>
      </c>
      <c r="E65" s="8" t="s">
        <v>122</v>
      </c>
      <c r="F65" s="8" t="s">
        <v>185</v>
      </c>
      <c r="G65" s="9" t="s">
        <v>3</v>
      </c>
      <c r="H65" s="8" t="s">
        <v>186</v>
      </c>
      <c r="I65" s="10"/>
    </row>
    <row r="66" customFormat="false" ht="22.35" hidden="false" customHeight="false" outlineLevel="0" collapsed="false">
      <c r="A66" s="8" t="n">
        <v>65</v>
      </c>
      <c r="B66" s="8" t="s">
        <v>116</v>
      </c>
      <c r="C66" s="8" t="s">
        <v>38</v>
      </c>
      <c r="D66" s="8" t="s">
        <v>187</v>
      </c>
      <c r="E66" s="8" t="s">
        <v>122</v>
      </c>
      <c r="F66" s="8" t="s">
        <v>188</v>
      </c>
      <c r="G66" s="9" t="s">
        <v>5</v>
      </c>
      <c r="H66" s="8" t="s">
        <v>189</v>
      </c>
      <c r="I66" s="10"/>
    </row>
    <row r="67" customFormat="false" ht="22.35" hidden="false" customHeight="false" outlineLevel="0" collapsed="false">
      <c r="A67" s="8" t="n">
        <v>66</v>
      </c>
      <c r="B67" s="8" t="s">
        <v>116</v>
      </c>
      <c r="C67" s="8" t="s">
        <v>97</v>
      </c>
      <c r="D67" s="8" t="s">
        <v>190</v>
      </c>
      <c r="E67" s="8" t="s">
        <v>89</v>
      </c>
      <c r="F67" s="8" t="s">
        <v>191</v>
      </c>
      <c r="G67" s="9" t="s">
        <v>3</v>
      </c>
      <c r="H67" s="8" t="s">
        <v>192</v>
      </c>
      <c r="I67" s="10"/>
    </row>
    <row r="68" customFormat="false" ht="22.35" hidden="false" customHeight="false" outlineLevel="0" collapsed="false">
      <c r="A68" s="8" t="n">
        <v>67</v>
      </c>
      <c r="B68" s="8" t="s">
        <v>116</v>
      </c>
      <c r="C68" s="8" t="s">
        <v>76</v>
      </c>
      <c r="D68" s="8" t="s">
        <v>112</v>
      </c>
      <c r="E68" s="8" t="s">
        <v>89</v>
      </c>
      <c r="F68" s="8" t="s">
        <v>193</v>
      </c>
      <c r="G68" s="9" t="s">
        <v>1</v>
      </c>
      <c r="H68" s="8" t="s">
        <v>194</v>
      </c>
      <c r="I68" s="10"/>
    </row>
    <row r="69" customFormat="false" ht="22.35" hidden="false" customHeight="false" outlineLevel="0" collapsed="false">
      <c r="A69" s="8" t="n">
        <v>68</v>
      </c>
      <c r="B69" s="8" t="s">
        <v>116</v>
      </c>
      <c r="C69" s="8" t="s">
        <v>32</v>
      </c>
      <c r="D69" s="8" t="s">
        <v>195</v>
      </c>
      <c r="E69" s="8" t="s">
        <v>89</v>
      </c>
      <c r="F69" s="8" t="s">
        <v>196</v>
      </c>
      <c r="G69" s="9" t="s">
        <v>3</v>
      </c>
      <c r="H69" s="8" t="s">
        <v>197</v>
      </c>
      <c r="I69" s="10"/>
    </row>
    <row r="70" customFormat="false" ht="22.35" hidden="false" customHeight="false" outlineLevel="0" collapsed="false">
      <c r="A70" s="8" t="n">
        <v>69</v>
      </c>
      <c r="B70" s="8" t="s">
        <v>198</v>
      </c>
      <c r="C70" s="8" t="s">
        <v>32</v>
      </c>
      <c r="D70" s="8" t="s">
        <v>33</v>
      </c>
      <c r="E70" s="8" t="s">
        <v>199</v>
      </c>
      <c r="F70" s="8" t="s">
        <v>200</v>
      </c>
      <c r="G70" s="9" t="s">
        <v>3</v>
      </c>
      <c r="H70" s="8" t="s">
        <v>201</v>
      </c>
      <c r="I70" s="10"/>
    </row>
    <row r="71" customFormat="false" ht="22.35" hidden="false" customHeight="false" outlineLevel="0" collapsed="false">
      <c r="A71" s="8" t="n">
        <v>70</v>
      </c>
      <c r="B71" s="8" t="s">
        <v>198</v>
      </c>
      <c r="C71" s="8" t="s">
        <v>32</v>
      </c>
      <c r="D71" s="8" t="s">
        <v>33</v>
      </c>
      <c r="E71" s="8" t="s">
        <v>199</v>
      </c>
      <c r="F71" s="8" t="s">
        <v>202</v>
      </c>
      <c r="G71" s="9" t="s">
        <v>1</v>
      </c>
      <c r="H71" s="8" t="s">
        <v>203</v>
      </c>
      <c r="I71" s="10"/>
    </row>
    <row r="72" customFormat="false" ht="22.35" hidden="false" customHeight="false" outlineLevel="0" collapsed="false">
      <c r="A72" s="8" t="n">
        <v>71</v>
      </c>
      <c r="B72" s="8" t="s">
        <v>198</v>
      </c>
      <c r="C72" s="8" t="s">
        <v>32</v>
      </c>
      <c r="D72" s="8" t="s">
        <v>33</v>
      </c>
      <c r="E72" s="8" t="s">
        <v>199</v>
      </c>
      <c r="F72" s="8" t="s">
        <v>204</v>
      </c>
      <c r="G72" s="9" t="s">
        <v>3</v>
      </c>
      <c r="H72" s="8" t="s">
        <v>205</v>
      </c>
      <c r="I72" s="10"/>
    </row>
    <row r="73" customFormat="false" ht="22.35" hidden="false" customHeight="false" outlineLevel="0" collapsed="false">
      <c r="A73" s="8" t="n">
        <v>72</v>
      </c>
      <c r="B73" s="8" t="s">
        <v>198</v>
      </c>
      <c r="C73" s="8" t="s">
        <v>131</v>
      </c>
      <c r="D73" s="8" t="s">
        <v>132</v>
      </c>
      <c r="E73" s="8" t="s">
        <v>199</v>
      </c>
      <c r="F73" s="8" t="s">
        <v>206</v>
      </c>
      <c r="G73" s="9" t="s">
        <v>1</v>
      </c>
      <c r="H73" s="8" t="s">
        <v>207</v>
      </c>
      <c r="I73" s="10"/>
    </row>
    <row r="74" customFormat="false" ht="22.35" hidden="false" customHeight="false" outlineLevel="0" collapsed="false">
      <c r="A74" s="8" t="n">
        <v>73</v>
      </c>
      <c r="B74" s="8" t="s">
        <v>198</v>
      </c>
      <c r="C74" s="8" t="s">
        <v>131</v>
      </c>
      <c r="D74" s="8" t="s">
        <v>132</v>
      </c>
      <c r="E74" s="8" t="s">
        <v>199</v>
      </c>
      <c r="F74" s="8" t="s">
        <v>208</v>
      </c>
      <c r="G74" s="9" t="s">
        <v>3</v>
      </c>
      <c r="H74" s="8" t="s">
        <v>209</v>
      </c>
      <c r="I74" s="10"/>
    </row>
    <row r="75" customFormat="false" ht="22.35" hidden="false" customHeight="false" outlineLevel="0" collapsed="false">
      <c r="A75" s="8" t="n">
        <v>74</v>
      </c>
      <c r="B75" s="8" t="s">
        <v>198</v>
      </c>
      <c r="C75" s="8" t="s">
        <v>97</v>
      </c>
      <c r="D75" s="8" t="s">
        <v>138</v>
      </c>
      <c r="E75" s="8" t="s">
        <v>199</v>
      </c>
      <c r="F75" s="8" t="s">
        <v>210</v>
      </c>
      <c r="G75" s="9" t="s">
        <v>1</v>
      </c>
      <c r="H75" s="8" t="s">
        <v>211</v>
      </c>
      <c r="I75" s="10"/>
    </row>
    <row r="76" customFormat="false" ht="22.35" hidden="false" customHeight="false" outlineLevel="0" collapsed="false">
      <c r="A76" s="8" t="n">
        <v>75</v>
      </c>
      <c r="B76" s="8" t="s">
        <v>198</v>
      </c>
      <c r="C76" s="8" t="s">
        <v>32</v>
      </c>
      <c r="D76" s="8" t="s">
        <v>141</v>
      </c>
      <c r="E76" s="8" t="s">
        <v>199</v>
      </c>
      <c r="F76" s="8" t="s">
        <v>212</v>
      </c>
      <c r="G76" s="9" t="s">
        <v>1</v>
      </c>
      <c r="H76" s="8" t="s">
        <v>213</v>
      </c>
      <c r="I76" s="10"/>
    </row>
    <row r="77" customFormat="false" ht="22.35" hidden="false" customHeight="false" outlineLevel="0" collapsed="false">
      <c r="A77" s="8" t="n">
        <v>76</v>
      </c>
      <c r="B77" s="8" t="s">
        <v>198</v>
      </c>
      <c r="C77" s="8" t="s">
        <v>32</v>
      </c>
      <c r="D77" s="8" t="s">
        <v>141</v>
      </c>
      <c r="E77" s="8" t="s">
        <v>199</v>
      </c>
      <c r="F77" s="8" t="s">
        <v>214</v>
      </c>
      <c r="G77" s="9" t="s">
        <v>3</v>
      </c>
      <c r="H77" s="8" t="s">
        <v>215</v>
      </c>
      <c r="I77" s="10"/>
    </row>
    <row r="78" customFormat="false" ht="22.35" hidden="false" customHeight="false" outlineLevel="0" collapsed="false">
      <c r="A78" s="8" t="n">
        <v>77</v>
      </c>
      <c r="B78" s="8" t="s">
        <v>198</v>
      </c>
      <c r="C78" s="8" t="s">
        <v>97</v>
      </c>
      <c r="D78" s="8" t="s">
        <v>144</v>
      </c>
      <c r="E78" s="8" t="s">
        <v>199</v>
      </c>
      <c r="F78" s="8" t="s">
        <v>216</v>
      </c>
      <c r="G78" s="9" t="s">
        <v>3</v>
      </c>
      <c r="H78" s="8" t="s">
        <v>217</v>
      </c>
      <c r="I78" s="10"/>
    </row>
    <row r="79" customFormat="false" ht="22.35" hidden="false" customHeight="false" outlineLevel="0" collapsed="false">
      <c r="A79" s="8" t="n">
        <v>78</v>
      </c>
      <c r="B79" s="8" t="s">
        <v>198</v>
      </c>
      <c r="C79" s="8" t="s">
        <v>97</v>
      </c>
      <c r="D79" s="8" t="s">
        <v>144</v>
      </c>
      <c r="E79" s="8" t="s">
        <v>199</v>
      </c>
      <c r="F79" s="8" t="s">
        <v>218</v>
      </c>
      <c r="G79" s="9" t="s">
        <v>3</v>
      </c>
      <c r="H79" s="8" t="s">
        <v>217</v>
      </c>
      <c r="I79" s="10"/>
    </row>
    <row r="80" customFormat="false" ht="22.35" hidden="false" customHeight="false" outlineLevel="0" collapsed="false">
      <c r="A80" s="8" t="n">
        <v>79</v>
      </c>
      <c r="B80" s="8" t="s">
        <v>198</v>
      </c>
      <c r="C80" s="8" t="s">
        <v>97</v>
      </c>
      <c r="D80" s="8" t="s">
        <v>144</v>
      </c>
      <c r="E80" s="8" t="s">
        <v>199</v>
      </c>
      <c r="F80" s="8" t="s">
        <v>219</v>
      </c>
      <c r="G80" s="9" t="s">
        <v>3</v>
      </c>
      <c r="H80" s="8" t="s">
        <v>220</v>
      </c>
      <c r="I80" s="10"/>
    </row>
    <row r="81" customFormat="false" ht="22.35" hidden="false" customHeight="false" outlineLevel="0" collapsed="false">
      <c r="A81" s="8" t="n">
        <v>80</v>
      </c>
      <c r="B81" s="8" t="s">
        <v>198</v>
      </c>
      <c r="C81" s="8" t="s">
        <v>97</v>
      </c>
      <c r="D81" s="8" t="s">
        <v>144</v>
      </c>
      <c r="E81" s="8" t="s">
        <v>199</v>
      </c>
      <c r="F81" s="8" t="s">
        <v>221</v>
      </c>
      <c r="G81" s="9" t="s">
        <v>1</v>
      </c>
      <c r="H81" s="8" t="s">
        <v>222</v>
      </c>
      <c r="I81" s="10"/>
    </row>
    <row r="82" customFormat="false" ht="22.35" hidden="false" customHeight="false" outlineLevel="0" collapsed="false">
      <c r="A82" s="8" t="n">
        <v>81</v>
      </c>
      <c r="B82" s="8" t="s">
        <v>198</v>
      </c>
      <c r="C82" s="8" t="s">
        <v>97</v>
      </c>
      <c r="D82" s="8" t="s">
        <v>144</v>
      </c>
      <c r="E82" s="8" t="s">
        <v>199</v>
      </c>
      <c r="F82" s="8" t="s">
        <v>223</v>
      </c>
      <c r="G82" s="9" t="s">
        <v>3</v>
      </c>
      <c r="H82" s="8" t="s">
        <v>224</v>
      </c>
      <c r="I82" s="10"/>
    </row>
    <row r="83" customFormat="false" ht="22.35" hidden="false" customHeight="false" outlineLevel="0" collapsed="false">
      <c r="A83" s="8" t="n">
        <v>82</v>
      </c>
      <c r="B83" s="8" t="s">
        <v>198</v>
      </c>
      <c r="C83" s="8" t="s">
        <v>97</v>
      </c>
      <c r="D83" s="8" t="s">
        <v>144</v>
      </c>
      <c r="E83" s="8" t="s">
        <v>199</v>
      </c>
      <c r="F83" s="8" t="s">
        <v>225</v>
      </c>
      <c r="G83" s="9" t="s">
        <v>3</v>
      </c>
      <c r="H83" s="8" t="s">
        <v>226</v>
      </c>
      <c r="I83" s="10"/>
    </row>
    <row r="84" customFormat="false" ht="22.35" hidden="false" customHeight="false" outlineLevel="0" collapsed="false">
      <c r="A84" s="8" t="n">
        <v>83</v>
      </c>
      <c r="B84" s="8" t="s">
        <v>198</v>
      </c>
      <c r="C84" s="8" t="s">
        <v>38</v>
      </c>
      <c r="D84" s="8" t="s">
        <v>55</v>
      </c>
      <c r="E84" s="8" t="s">
        <v>199</v>
      </c>
      <c r="F84" s="8" t="s">
        <v>227</v>
      </c>
      <c r="G84" s="9" t="s">
        <v>3</v>
      </c>
      <c r="H84" s="8" t="s">
        <v>228</v>
      </c>
      <c r="I84" s="10"/>
    </row>
    <row r="85" customFormat="false" ht="22.35" hidden="false" customHeight="false" outlineLevel="0" collapsed="false">
      <c r="A85" s="8" t="n">
        <v>84</v>
      </c>
      <c r="B85" s="8" t="s">
        <v>198</v>
      </c>
      <c r="C85" s="8" t="s">
        <v>21</v>
      </c>
      <c r="D85" s="8" t="s">
        <v>22</v>
      </c>
      <c r="E85" s="8" t="s">
        <v>199</v>
      </c>
      <c r="F85" s="8" t="s">
        <v>229</v>
      </c>
      <c r="G85" s="9" t="s">
        <v>1</v>
      </c>
      <c r="H85" s="8" t="s">
        <v>230</v>
      </c>
      <c r="I85" s="10"/>
    </row>
    <row r="86" customFormat="false" ht="22.35" hidden="false" customHeight="false" outlineLevel="0" collapsed="false">
      <c r="A86" s="8" t="n">
        <v>85</v>
      </c>
      <c r="B86" s="8" t="s">
        <v>198</v>
      </c>
      <c r="C86" s="8" t="s">
        <v>32</v>
      </c>
      <c r="D86" s="8" t="s">
        <v>60</v>
      </c>
      <c r="E86" s="8" t="s">
        <v>199</v>
      </c>
      <c r="F86" s="8" t="s">
        <v>231</v>
      </c>
      <c r="G86" s="9" t="s">
        <v>3</v>
      </c>
      <c r="H86" s="8" t="s">
        <v>232</v>
      </c>
      <c r="I86" s="10" t="s">
        <v>233</v>
      </c>
    </row>
    <row r="87" customFormat="false" ht="22.35" hidden="false" customHeight="false" outlineLevel="0" collapsed="false">
      <c r="A87" s="8" t="n">
        <v>86</v>
      </c>
      <c r="B87" s="8" t="s">
        <v>198</v>
      </c>
      <c r="C87" s="8" t="s">
        <v>97</v>
      </c>
      <c r="D87" s="8" t="s">
        <v>234</v>
      </c>
      <c r="E87" s="8" t="s">
        <v>199</v>
      </c>
      <c r="F87" s="8" t="s">
        <v>235</v>
      </c>
      <c r="G87" s="9" t="s">
        <v>3</v>
      </c>
      <c r="H87" s="8" t="s">
        <v>236</v>
      </c>
      <c r="I87" s="10"/>
    </row>
    <row r="88" customFormat="false" ht="22.35" hidden="false" customHeight="false" outlineLevel="0" collapsed="false">
      <c r="A88" s="8" t="n">
        <v>87</v>
      </c>
      <c r="B88" s="8" t="s">
        <v>198</v>
      </c>
      <c r="C88" s="8" t="s">
        <v>103</v>
      </c>
      <c r="D88" s="8" t="s">
        <v>157</v>
      </c>
      <c r="E88" s="8" t="s">
        <v>199</v>
      </c>
      <c r="F88" s="8" t="s">
        <v>237</v>
      </c>
      <c r="G88" s="9" t="s">
        <v>3</v>
      </c>
      <c r="H88" s="8" t="s">
        <v>238</v>
      </c>
      <c r="I88" s="10"/>
    </row>
    <row r="89" customFormat="false" ht="22.35" hidden="false" customHeight="false" outlineLevel="0" collapsed="false">
      <c r="A89" s="8" t="n">
        <v>88</v>
      </c>
      <c r="B89" s="8" t="s">
        <v>198</v>
      </c>
      <c r="C89" s="8" t="s">
        <v>103</v>
      </c>
      <c r="D89" s="8" t="s">
        <v>239</v>
      </c>
      <c r="E89" s="8" t="s">
        <v>199</v>
      </c>
      <c r="F89" s="8" t="s">
        <v>240</v>
      </c>
      <c r="G89" s="9" t="s">
        <v>1</v>
      </c>
      <c r="H89" s="8" t="s">
        <v>241</v>
      </c>
      <c r="I89" s="10"/>
    </row>
    <row r="90" customFormat="false" ht="22.35" hidden="false" customHeight="false" outlineLevel="0" collapsed="false">
      <c r="A90" s="8" t="n">
        <v>89</v>
      </c>
      <c r="B90" s="8" t="s">
        <v>198</v>
      </c>
      <c r="C90" s="8" t="s">
        <v>76</v>
      </c>
      <c r="D90" s="8" t="s">
        <v>168</v>
      </c>
      <c r="E90" s="8" t="s">
        <v>199</v>
      </c>
      <c r="F90" s="8" t="s">
        <v>242</v>
      </c>
      <c r="G90" s="9" t="s">
        <v>1</v>
      </c>
      <c r="H90" s="8" t="s">
        <v>243</v>
      </c>
      <c r="I90" s="10"/>
    </row>
    <row r="91" customFormat="false" ht="22.35" hidden="false" customHeight="false" outlineLevel="0" collapsed="false">
      <c r="A91" s="8" t="n">
        <v>90</v>
      </c>
      <c r="B91" s="8" t="s">
        <v>198</v>
      </c>
      <c r="C91" s="8" t="s">
        <v>76</v>
      </c>
      <c r="D91" s="8" t="s">
        <v>168</v>
      </c>
      <c r="E91" s="8" t="s">
        <v>199</v>
      </c>
      <c r="F91" s="8" t="s">
        <v>244</v>
      </c>
      <c r="G91" s="9" t="s">
        <v>3</v>
      </c>
      <c r="H91" s="8" t="s">
        <v>245</v>
      </c>
      <c r="I91" s="10" t="s">
        <v>246</v>
      </c>
    </row>
    <row r="92" customFormat="false" ht="22.35" hidden="false" customHeight="false" outlineLevel="0" collapsed="false">
      <c r="A92" s="8" t="n">
        <v>91</v>
      </c>
      <c r="B92" s="8" t="s">
        <v>198</v>
      </c>
      <c r="C92" s="8" t="s">
        <v>76</v>
      </c>
      <c r="D92" s="8" t="s">
        <v>168</v>
      </c>
      <c r="E92" s="8" t="s">
        <v>199</v>
      </c>
      <c r="F92" s="8" t="s">
        <v>247</v>
      </c>
      <c r="G92" s="9" t="s">
        <v>3</v>
      </c>
      <c r="H92" s="8" t="s">
        <v>248</v>
      </c>
      <c r="I92" s="10"/>
    </row>
    <row r="93" customFormat="false" ht="22.35" hidden="false" customHeight="false" outlineLevel="0" collapsed="false">
      <c r="A93" s="8" t="n">
        <v>92</v>
      </c>
      <c r="B93" s="8" t="s">
        <v>198</v>
      </c>
      <c r="C93" s="8" t="s">
        <v>76</v>
      </c>
      <c r="D93" s="8" t="s">
        <v>77</v>
      </c>
      <c r="E93" s="8" t="s">
        <v>199</v>
      </c>
      <c r="F93" s="8" t="s">
        <v>249</v>
      </c>
      <c r="G93" s="9" t="s">
        <v>1</v>
      </c>
      <c r="H93" s="8" t="s">
        <v>250</v>
      </c>
      <c r="I93" s="10"/>
    </row>
    <row r="94" customFormat="false" ht="22.35" hidden="false" customHeight="false" outlineLevel="0" collapsed="false">
      <c r="A94" s="8" t="n">
        <v>93</v>
      </c>
      <c r="B94" s="8" t="s">
        <v>198</v>
      </c>
      <c r="C94" s="8" t="s">
        <v>76</v>
      </c>
      <c r="D94" s="8" t="s">
        <v>77</v>
      </c>
      <c r="E94" s="8" t="s">
        <v>199</v>
      </c>
      <c r="F94" s="8" t="s">
        <v>251</v>
      </c>
      <c r="G94" s="9" t="s">
        <v>3</v>
      </c>
      <c r="H94" s="8" t="s">
        <v>252</v>
      </c>
      <c r="I94" s="10"/>
    </row>
    <row r="95" customFormat="false" ht="22.35" hidden="false" customHeight="false" outlineLevel="0" collapsed="false">
      <c r="A95" s="8" t="n">
        <v>94</v>
      </c>
      <c r="B95" s="8" t="s">
        <v>198</v>
      </c>
      <c r="C95" s="8" t="s">
        <v>76</v>
      </c>
      <c r="D95" s="8" t="s">
        <v>82</v>
      </c>
      <c r="E95" s="8" t="s">
        <v>199</v>
      </c>
      <c r="F95" s="8" t="s">
        <v>253</v>
      </c>
      <c r="G95" s="9" t="s">
        <v>3</v>
      </c>
      <c r="H95" s="8" t="s">
        <v>254</v>
      </c>
      <c r="I95" s="10"/>
    </row>
    <row r="96" customFormat="false" ht="22.35" hidden="false" customHeight="false" outlineLevel="0" collapsed="false">
      <c r="A96" s="8" t="n">
        <v>95</v>
      </c>
      <c r="B96" s="8" t="s">
        <v>198</v>
      </c>
      <c r="C96" s="8" t="s">
        <v>76</v>
      </c>
      <c r="D96" s="8" t="s">
        <v>82</v>
      </c>
      <c r="E96" s="8" t="s">
        <v>199</v>
      </c>
      <c r="F96" s="8" t="s">
        <v>255</v>
      </c>
      <c r="G96" s="9" t="s">
        <v>3</v>
      </c>
      <c r="H96" s="8" t="s">
        <v>256</v>
      </c>
      <c r="I96" s="10"/>
    </row>
    <row r="97" customFormat="false" ht="22.35" hidden="false" customHeight="false" outlineLevel="0" collapsed="false">
      <c r="A97" s="8" t="n">
        <v>96</v>
      </c>
      <c r="B97" s="8" t="s">
        <v>198</v>
      </c>
      <c r="C97" s="8" t="s">
        <v>76</v>
      </c>
      <c r="D97" s="8" t="s">
        <v>77</v>
      </c>
      <c r="E97" s="8" t="s">
        <v>199</v>
      </c>
      <c r="F97" s="8" t="s">
        <v>257</v>
      </c>
      <c r="G97" s="9" t="s">
        <v>3</v>
      </c>
      <c r="H97" s="8" t="s">
        <v>258</v>
      </c>
      <c r="I97" s="10"/>
    </row>
    <row r="98" customFormat="false" ht="22.35" hidden="false" customHeight="false" outlineLevel="0" collapsed="false">
      <c r="A98" s="8" t="n">
        <v>97</v>
      </c>
      <c r="B98" s="8" t="s">
        <v>198</v>
      </c>
      <c r="C98" s="8" t="s">
        <v>76</v>
      </c>
      <c r="D98" s="8" t="s">
        <v>82</v>
      </c>
      <c r="E98" s="8" t="s">
        <v>199</v>
      </c>
      <c r="F98" s="8" t="s">
        <v>259</v>
      </c>
      <c r="G98" s="9" t="s">
        <v>3</v>
      </c>
      <c r="H98" s="8" t="s">
        <v>260</v>
      </c>
      <c r="I98" s="10"/>
    </row>
    <row r="99" customFormat="false" ht="22.35" hidden="false" customHeight="false" outlineLevel="0" collapsed="false">
      <c r="A99" s="8" t="n">
        <v>98</v>
      </c>
      <c r="B99" s="8" t="s">
        <v>198</v>
      </c>
      <c r="C99" s="8" t="s">
        <v>76</v>
      </c>
      <c r="D99" s="8" t="s">
        <v>77</v>
      </c>
      <c r="E99" s="8" t="s">
        <v>199</v>
      </c>
      <c r="F99" s="8" t="s">
        <v>261</v>
      </c>
      <c r="G99" s="9" t="s">
        <v>3</v>
      </c>
      <c r="H99" s="8" t="s">
        <v>262</v>
      </c>
      <c r="I99" s="10" t="s">
        <v>263</v>
      </c>
    </row>
    <row r="100" customFormat="false" ht="22.35" hidden="false" customHeight="false" outlineLevel="0" collapsed="false">
      <c r="A100" s="8" t="n">
        <v>99</v>
      </c>
      <c r="B100" s="8" t="s">
        <v>198</v>
      </c>
      <c r="C100" s="8" t="s">
        <v>76</v>
      </c>
      <c r="D100" s="8" t="s">
        <v>82</v>
      </c>
      <c r="E100" s="8" t="s">
        <v>199</v>
      </c>
      <c r="F100" s="8" t="s">
        <v>264</v>
      </c>
      <c r="G100" s="9" t="s">
        <v>3</v>
      </c>
      <c r="H100" s="8" t="s">
        <v>265</v>
      </c>
      <c r="I100" s="10" t="s">
        <v>266</v>
      </c>
    </row>
    <row r="101" customFormat="false" ht="22.35" hidden="false" customHeight="false" outlineLevel="0" collapsed="false">
      <c r="A101" s="8" t="n">
        <v>100</v>
      </c>
      <c r="B101" s="8" t="s">
        <v>198</v>
      </c>
      <c r="C101" s="8" t="s">
        <v>97</v>
      </c>
      <c r="D101" s="8" t="s">
        <v>190</v>
      </c>
      <c r="E101" s="8" t="s">
        <v>199</v>
      </c>
      <c r="F101" s="8" t="s">
        <v>267</v>
      </c>
      <c r="G101" s="9" t="s">
        <v>3</v>
      </c>
      <c r="H101" s="8" t="s">
        <v>268</v>
      </c>
      <c r="I101" s="10"/>
    </row>
    <row r="102" customFormat="false" ht="22.35" hidden="false" customHeight="false" outlineLevel="0" collapsed="false">
      <c r="A102" s="8" t="n">
        <v>101</v>
      </c>
      <c r="B102" s="8" t="s">
        <v>198</v>
      </c>
      <c r="C102" s="8" t="s">
        <v>76</v>
      </c>
      <c r="D102" s="8" t="s">
        <v>112</v>
      </c>
      <c r="E102" s="8" t="s">
        <v>199</v>
      </c>
      <c r="F102" s="8" t="s">
        <v>269</v>
      </c>
      <c r="G102" s="9" t="s">
        <v>3</v>
      </c>
      <c r="H102" s="8" t="s">
        <v>270</v>
      </c>
      <c r="I102" s="10"/>
    </row>
    <row r="103" customFormat="false" ht="22.35" hidden="false" customHeight="false" outlineLevel="0" collapsed="false">
      <c r="A103" s="8" t="n">
        <v>102</v>
      </c>
      <c r="B103" s="8" t="s">
        <v>198</v>
      </c>
      <c r="C103" s="8" t="s">
        <v>76</v>
      </c>
      <c r="D103" s="8" t="s">
        <v>112</v>
      </c>
      <c r="E103" s="8" t="s">
        <v>199</v>
      </c>
      <c r="F103" s="8" t="s">
        <v>271</v>
      </c>
      <c r="G103" s="9" t="s">
        <v>1</v>
      </c>
      <c r="H103" s="8" t="s">
        <v>272</v>
      </c>
      <c r="I103" s="10"/>
    </row>
    <row r="104" customFormat="false" ht="22.35" hidden="false" customHeight="false" outlineLevel="0" collapsed="false">
      <c r="A104" s="8" t="n">
        <v>103</v>
      </c>
      <c r="B104" s="8" t="s">
        <v>198</v>
      </c>
      <c r="C104" s="8" t="s">
        <v>103</v>
      </c>
      <c r="D104" s="8" t="s">
        <v>273</v>
      </c>
      <c r="E104" s="8" t="s">
        <v>199</v>
      </c>
      <c r="F104" s="8" t="s">
        <v>274</v>
      </c>
      <c r="G104" s="9" t="s">
        <v>3</v>
      </c>
      <c r="H104" s="8" t="s">
        <v>275</v>
      </c>
      <c r="I104" s="10"/>
    </row>
    <row r="105" customFormat="false" ht="22.35" hidden="false" customHeight="false" outlineLevel="0" collapsed="false">
      <c r="A105" s="8" t="n">
        <v>104</v>
      </c>
      <c r="B105" s="8" t="s">
        <v>198</v>
      </c>
      <c r="C105" s="8" t="s">
        <v>103</v>
      </c>
      <c r="D105" s="8" t="s">
        <v>273</v>
      </c>
      <c r="E105" s="8" t="s">
        <v>199</v>
      </c>
      <c r="F105" s="8" t="s">
        <v>276</v>
      </c>
      <c r="G105" s="9" t="s">
        <v>1</v>
      </c>
      <c r="H105" s="8" t="s">
        <v>277</v>
      </c>
      <c r="I105" s="10"/>
    </row>
  </sheetData>
  <autoFilter ref="A1:I105"/>
  <conditionalFormatting sqref="G2:G105">
    <cfRule type="cellIs" priority="2" operator="equal" aboveAverage="0" equalAverage="0" bottom="0" percent="0" rank="0" text="" dxfId="7">
      <formula>"Prioritario"</formula>
    </cfRule>
    <cfRule type="cellIs" priority="3" operator="equal" aboveAverage="0" equalAverage="0" bottom="0" percent="0" rank="0" text="" dxfId="8">
      <formula>"Complementario"</formula>
    </cfRule>
    <cfRule type="cellIs" priority="4" operator="equal" aboveAverage="0" equalAverage="0" bottom="0" percent="0" rank="0" text="" dxfId="9">
      <formula>"Contexto"</formula>
    </cfRule>
  </conditionalFormatting>
  <dataValidations count="1">
    <dataValidation allowBlank="true" errorStyle="stop" operator="between" showDropDown="false" showErrorMessage="false" showInputMessage="false" sqref="G2:G105" type="list">
      <formula1>"Prioritario,Complementario,Contexto"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11" t="s">
        <v>279</v>
      </c>
    </row>
    <row r="4" customFormat="false" ht="15" hidden="false" customHeight="false" outlineLevel="0" collapsed="false">
      <c r="A4" s="12" t="s">
        <v>13</v>
      </c>
      <c r="B4" s="12" t="s">
        <v>280</v>
      </c>
      <c r="C4" s="12" t="s">
        <v>1</v>
      </c>
      <c r="D4" s="12" t="s">
        <v>3</v>
      </c>
      <c r="E4" s="12" t="s">
        <v>5</v>
      </c>
      <c r="F4" s="12" t="s">
        <v>281</v>
      </c>
    </row>
    <row r="5" customFormat="false" ht="15" hidden="false" customHeight="false" outlineLevel="0" collapsed="false">
      <c r="A5" s="13" t="s">
        <v>21</v>
      </c>
      <c r="B5" s="14" t="n">
        <f aca="false">COUNTIF(Indicadores!$C$2:$C$105,A5)</f>
        <v>16</v>
      </c>
      <c r="C5" s="14" t="n">
        <f aca="false">COUNTIFS(Indicadores!$C$2:$C$105,$A5,Indicadores!$G$2:$G$105,"Prioritario")</f>
        <v>5</v>
      </c>
      <c r="D5" s="14" t="n">
        <f aca="false">COUNTIFS(Indicadores!$C$2:$C$105,$A5,Indicadores!$G$2:$G$105,"Complementario")</f>
        <v>11</v>
      </c>
      <c r="E5" s="14" t="n">
        <f aca="false">COUNTIFS(Indicadores!$C$2:$C$105,$A5,Indicadores!$G$2:$G$105,"Contexto")</f>
        <v>0</v>
      </c>
      <c r="F5" s="15" t="n">
        <f aca="false">IF(B5=0,0,C5/B5)</f>
        <v>0.3125</v>
      </c>
    </row>
    <row r="6" customFormat="false" ht="15" hidden="false" customHeight="false" outlineLevel="0" collapsed="false">
      <c r="A6" s="13" t="s">
        <v>32</v>
      </c>
      <c r="B6" s="14" t="n">
        <f aca="false">COUNTIF(Indicadores!$C$2:$C$105,A6)</f>
        <v>20</v>
      </c>
      <c r="C6" s="14" t="n">
        <f aca="false">COUNTIFS(Indicadores!$C$2:$C$105,$A6,Indicadores!$G$2:$G$105,"Prioritario")</f>
        <v>7</v>
      </c>
      <c r="D6" s="14" t="n">
        <f aca="false">COUNTIFS(Indicadores!$C$2:$C$105,$A6,Indicadores!$G$2:$G$105,"Complementario")</f>
        <v>13</v>
      </c>
      <c r="E6" s="14" t="n">
        <f aca="false">COUNTIFS(Indicadores!$C$2:$C$105,$A6,Indicadores!$G$2:$G$105,"Contexto")</f>
        <v>0</v>
      </c>
      <c r="F6" s="15" t="n">
        <f aca="false">IF(B6=0,0,C6/B6)</f>
        <v>0.35</v>
      </c>
    </row>
    <row r="7" customFormat="false" ht="15" hidden="false" customHeight="false" outlineLevel="0" collapsed="false">
      <c r="A7" s="13" t="s">
        <v>38</v>
      </c>
      <c r="B7" s="14" t="n">
        <f aca="false">COUNTIF(Indicadores!$C$2:$C$105,A7)</f>
        <v>15</v>
      </c>
      <c r="C7" s="14" t="n">
        <f aca="false">COUNTIFS(Indicadores!$C$2:$C$105,$A7,Indicadores!$G$2:$G$105,"Prioritario")</f>
        <v>3</v>
      </c>
      <c r="D7" s="14" t="n">
        <f aca="false">COUNTIFS(Indicadores!$C$2:$C$105,$A7,Indicadores!$G$2:$G$105,"Complementario")</f>
        <v>9</v>
      </c>
      <c r="E7" s="14" t="n">
        <f aca="false">COUNTIFS(Indicadores!$C$2:$C$105,$A7,Indicadores!$G$2:$G$105,"Contexto")</f>
        <v>3</v>
      </c>
      <c r="F7" s="15" t="n">
        <f aca="false">IF(B7=0,0,C7/B7)</f>
        <v>0.2</v>
      </c>
    </row>
    <row r="8" customFormat="false" ht="15" hidden="false" customHeight="false" outlineLevel="0" collapsed="false">
      <c r="A8" s="13" t="s">
        <v>76</v>
      </c>
      <c r="B8" s="14" t="n">
        <f aca="false">COUNTIF(Indicadores!$C$2:$C$105,A8)</f>
        <v>24</v>
      </c>
      <c r="C8" s="14" t="n">
        <f aca="false">COUNTIFS(Indicadores!$C$2:$C$105,$A8,Indicadores!$G$2:$G$105,"Prioritario")</f>
        <v>6</v>
      </c>
      <c r="D8" s="14" t="n">
        <f aca="false">COUNTIFS(Indicadores!$C$2:$C$105,$A8,Indicadores!$G$2:$G$105,"Complementario")</f>
        <v>18</v>
      </c>
      <c r="E8" s="14" t="n">
        <f aca="false">COUNTIFS(Indicadores!$C$2:$C$105,$A8,Indicadores!$G$2:$G$105,"Contexto")</f>
        <v>0</v>
      </c>
      <c r="F8" s="15" t="n">
        <f aca="false">IF(B8=0,0,C8/B8)</f>
        <v>0.25</v>
      </c>
    </row>
    <row r="9" customFormat="false" ht="15" hidden="false" customHeight="false" outlineLevel="0" collapsed="false">
      <c r="A9" s="13" t="s">
        <v>97</v>
      </c>
      <c r="B9" s="14" t="n">
        <f aca="false">COUNTIF(Indicadores!$C$2:$C$105,A9)</f>
        <v>15</v>
      </c>
      <c r="C9" s="14" t="n">
        <f aca="false">COUNTIFS(Indicadores!$C$2:$C$105,$A9,Indicadores!$G$2:$G$105,"Prioritario")</f>
        <v>3</v>
      </c>
      <c r="D9" s="14" t="n">
        <f aca="false">COUNTIFS(Indicadores!$C$2:$C$105,$A9,Indicadores!$G$2:$G$105,"Complementario")</f>
        <v>12</v>
      </c>
      <c r="E9" s="14" t="n">
        <f aca="false">COUNTIFS(Indicadores!$C$2:$C$105,$A9,Indicadores!$G$2:$G$105,"Contexto")</f>
        <v>0</v>
      </c>
      <c r="F9" s="15" t="n">
        <f aca="false">IF(B9=0,0,C9/B9)</f>
        <v>0.2</v>
      </c>
    </row>
    <row r="10" customFormat="false" ht="15" hidden="false" customHeight="false" outlineLevel="0" collapsed="false">
      <c r="A10" s="13" t="s">
        <v>103</v>
      </c>
      <c r="B10" s="14" t="n">
        <f aca="false">COUNTIF(Indicadores!$C$2:$C$105,A10)</f>
        <v>9</v>
      </c>
      <c r="C10" s="14" t="n">
        <f aca="false">COUNTIFS(Indicadores!$C$2:$C$105,$A10,Indicadores!$G$2:$G$105,"Prioritario")</f>
        <v>4</v>
      </c>
      <c r="D10" s="14" t="n">
        <f aca="false">COUNTIFS(Indicadores!$C$2:$C$105,$A10,Indicadores!$G$2:$G$105,"Complementario")</f>
        <v>5</v>
      </c>
      <c r="E10" s="14" t="n">
        <f aca="false">COUNTIFS(Indicadores!$C$2:$C$105,$A10,Indicadores!$G$2:$G$105,"Contexto")</f>
        <v>0</v>
      </c>
      <c r="F10" s="15" t="n">
        <f aca="false">IF(B10=0,0,C10/B10)</f>
        <v>0.444444444444444</v>
      </c>
    </row>
    <row r="11" customFormat="false" ht="15" hidden="false" customHeight="false" outlineLevel="0" collapsed="false">
      <c r="A11" s="13" t="s">
        <v>131</v>
      </c>
      <c r="B11" s="14" t="n">
        <f aca="false">COUNTIF(Indicadores!$C$2:$C$105,A11)</f>
        <v>5</v>
      </c>
      <c r="C11" s="14" t="n">
        <f aca="false">COUNTIFS(Indicadores!$C$2:$C$105,$A11,Indicadores!$G$2:$G$105,"Prioritario")</f>
        <v>2</v>
      </c>
      <c r="D11" s="14" t="n">
        <f aca="false">COUNTIFS(Indicadores!$C$2:$C$105,$A11,Indicadores!$G$2:$G$105,"Complementario")</f>
        <v>2</v>
      </c>
      <c r="E11" s="14" t="n">
        <f aca="false">COUNTIFS(Indicadores!$C$2:$C$105,$A11,Indicadores!$G$2:$G$105,"Contexto")</f>
        <v>1</v>
      </c>
      <c r="F11" s="15" t="n">
        <f aca="false">IF(B11=0,0,C11/B11)</f>
        <v>0.4</v>
      </c>
    </row>
    <row r="12" customFormat="false" ht="15" hidden="false" customHeight="false" outlineLevel="0" collapsed="false">
      <c r="A12" s="16" t="s">
        <v>280</v>
      </c>
      <c r="B12" s="17" t="n">
        <f aca="false">SUM(B5:B11)</f>
        <v>104</v>
      </c>
      <c r="C12" s="17" t="n">
        <f aca="false">SUM(C5:C11)</f>
        <v>30</v>
      </c>
      <c r="D12" s="17" t="n">
        <f aca="false">SUM(D5:D11)</f>
        <v>70</v>
      </c>
      <c r="E12" s="17" t="n">
        <f aca="false">SUM(E5:E11)</f>
        <v>4</v>
      </c>
      <c r="F12" s="18" t="n">
        <f aca="false">IF(B12=0,0,C12/B12)</f>
        <v>0.288461538461538</v>
      </c>
    </row>
    <row r="14" customFormat="false" ht="15" hidden="false" customHeight="false" outlineLevel="0" collapsed="false">
      <c r="A14" s="19" t="s">
        <v>282</v>
      </c>
    </row>
    <row r="15" customFormat="false" ht="23.85" hidden="false" customHeight="false" outlineLevel="0" collapsed="false">
      <c r="A15" s="12" t="s">
        <v>13</v>
      </c>
      <c r="B15" s="12" t="s">
        <v>283</v>
      </c>
      <c r="C15" s="12" t="s">
        <v>284</v>
      </c>
      <c r="D15" s="12" t="s">
        <v>285</v>
      </c>
      <c r="E15" s="12" t="s">
        <v>286</v>
      </c>
    </row>
    <row r="16" customFormat="false" ht="15" hidden="false" customHeight="false" outlineLevel="0" collapsed="false">
      <c r="A16" s="13" t="s">
        <v>21</v>
      </c>
      <c r="B16" s="14" t="n">
        <f aca="false">COUNTIFS(Indicadores!$C$2:$C$105,$A16,Indicadores!$E$2:$E$105,"Cambio en las condiciones del espacio",Indicadores!$G$2:$G$105,"Prioritario")</f>
        <v>1</v>
      </c>
      <c r="C16" s="14" t="n">
        <f aca="false">COUNTIFS(Indicadores!$C$2:$C$105,$A16,Indicadores!$E$2:$E$105,"Cambio de comportamiento observado",Indicadores!$G$2:$G$105,"Prioritario")</f>
        <v>3</v>
      </c>
      <c r="D16" s="14" t="n">
        <f aca="false">COUNTIFS(Indicadores!$C$2:$C$105,$A16,Indicadores!$E$2:$E$105,"Cambio de comportamiento reportado",Indicadores!$G$2:$G$105,"Prioritario")</f>
        <v>0</v>
      </c>
      <c r="E16" s="14" t="n">
        <f aca="false">COUNTIFS(Indicadores!$C$2:$C$105,$A16,Indicadores!$E$2:$E$105,"Cambio en la percepción",Indicadores!$G$2:$G$105,"Prioritario")</f>
        <v>1</v>
      </c>
    </row>
    <row r="17" customFormat="false" ht="15" hidden="false" customHeight="false" outlineLevel="0" collapsed="false">
      <c r="A17" s="13" t="s">
        <v>32</v>
      </c>
      <c r="B17" s="14" t="n">
        <f aca="false">COUNTIFS(Indicadores!$C$2:$C$105,$A17,Indicadores!$E$2:$E$105,"Cambio en las condiciones del espacio",Indicadores!$G$2:$G$105,"Prioritario")</f>
        <v>2</v>
      </c>
      <c r="C17" s="14" t="n">
        <f aca="false">COUNTIFS(Indicadores!$C$2:$C$105,$A17,Indicadores!$E$2:$E$105,"Cambio de comportamiento observado",Indicadores!$G$2:$G$105,"Prioritario")</f>
        <v>1</v>
      </c>
      <c r="D17" s="14" t="n">
        <f aca="false">COUNTIFS(Indicadores!$C$2:$C$105,$A17,Indicadores!$E$2:$E$105,"Cambio de comportamiento reportado",Indicadores!$G$2:$G$105,"Prioritario")</f>
        <v>0</v>
      </c>
      <c r="E17" s="14" t="n">
        <f aca="false">COUNTIFS(Indicadores!$C$2:$C$105,$A17,Indicadores!$E$2:$E$105,"Cambio en la percepción",Indicadores!$G$2:$G$105,"Prioritario")</f>
        <v>4</v>
      </c>
    </row>
    <row r="18" customFormat="false" ht="15" hidden="false" customHeight="false" outlineLevel="0" collapsed="false">
      <c r="A18" s="13" t="s">
        <v>38</v>
      </c>
      <c r="B18" s="14" t="n">
        <f aca="false">COUNTIFS(Indicadores!$C$2:$C$105,$A18,Indicadores!$E$2:$E$105,"Cambio en las condiciones del espacio",Indicadores!$G$2:$G$105,"Prioritario")</f>
        <v>0</v>
      </c>
      <c r="C18" s="14" t="n">
        <f aca="false">COUNTIFS(Indicadores!$C$2:$C$105,$A18,Indicadores!$E$2:$E$105,"Cambio de comportamiento observado",Indicadores!$G$2:$G$105,"Prioritario")</f>
        <v>1</v>
      </c>
      <c r="D18" s="14" t="n">
        <f aca="false">COUNTIFS(Indicadores!$C$2:$C$105,$A18,Indicadores!$E$2:$E$105,"Cambio de comportamiento reportado",Indicadores!$G$2:$G$105,"Prioritario")</f>
        <v>2</v>
      </c>
      <c r="E18" s="14" t="n">
        <f aca="false">COUNTIFS(Indicadores!$C$2:$C$105,$A18,Indicadores!$E$2:$E$105,"Cambio en la percepción",Indicadores!$G$2:$G$105,"Prioritario")</f>
        <v>0</v>
      </c>
    </row>
    <row r="19" customFormat="false" ht="15" hidden="false" customHeight="false" outlineLevel="0" collapsed="false">
      <c r="A19" s="13" t="s">
        <v>76</v>
      </c>
      <c r="B19" s="14" t="n">
        <f aca="false">COUNTIFS(Indicadores!$C$2:$C$105,$A19,Indicadores!$E$2:$E$105,"Cambio en las condiciones del espacio",Indicadores!$G$2:$G$105,"Prioritario")</f>
        <v>3</v>
      </c>
      <c r="C19" s="14" t="n">
        <f aca="false">COUNTIFS(Indicadores!$C$2:$C$105,$A19,Indicadores!$E$2:$E$105,"Cambio de comportamiento observado",Indicadores!$G$2:$G$105,"Prioritario")</f>
        <v>1</v>
      </c>
      <c r="D19" s="14" t="n">
        <f aca="false">COUNTIFS(Indicadores!$C$2:$C$105,$A19,Indicadores!$E$2:$E$105,"Cambio de comportamiento reportado",Indicadores!$G$2:$G$105,"Prioritario")</f>
        <v>0</v>
      </c>
      <c r="E19" s="14" t="n">
        <f aca="false">COUNTIFS(Indicadores!$C$2:$C$105,$A19,Indicadores!$E$2:$E$105,"Cambio en la percepción",Indicadores!$G$2:$G$105,"Prioritario")</f>
        <v>2</v>
      </c>
    </row>
    <row r="20" customFormat="false" ht="15" hidden="false" customHeight="false" outlineLevel="0" collapsed="false">
      <c r="A20" s="13" t="s">
        <v>97</v>
      </c>
      <c r="B20" s="14" t="n">
        <f aca="false">COUNTIFS(Indicadores!$C$2:$C$105,$A20,Indicadores!$E$2:$E$105,"Cambio en las condiciones del espacio",Indicadores!$G$2:$G$105,"Prioritario")</f>
        <v>2</v>
      </c>
      <c r="C20" s="14" t="n">
        <f aca="false">COUNTIFS(Indicadores!$C$2:$C$105,$A20,Indicadores!$E$2:$E$105,"Cambio de comportamiento observado",Indicadores!$G$2:$G$105,"Prioritario")</f>
        <v>0</v>
      </c>
      <c r="D20" s="14" t="n">
        <f aca="false">COUNTIFS(Indicadores!$C$2:$C$105,$A20,Indicadores!$E$2:$E$105,"Cambio de comportamiento reportado",Indicadores!$G$2:$G$105,"Prioritario")</f>
        <v>0</v>
      </c>
      <c r="E20" s="14" t="n">
        <f aca="false">COUNTIFS(Indicadores!$C$2:$C$105,$A20,Indicadores!$E$2:$E$105,"Cambio en la percepción",Indicadores!$G$2:$G$105,"Prioritario")</f>
        <v>1</v>
      </c>
    </row>
    <row r="21" customFormat="false" ht="15" hidden="false" customHeight="false" outlineLevel="0" collapsed="false">
      <c r="A21" s="13" t="s">
        <v>103</v>
      </c>
      <c r="B21" s="14" t="n">
        <f aca="false">COUNTIFS(Indicadores!$C$2:$C$105,$A21,Indicadores!$E$2:$E$105,"Cambio en las condiciones del espacio",Indicadores!$G$2:$G$105,"Prioritario")</f>
        <v>2</v>
      </c>
      <c r="C21" s="14" t="n">
        <f aca="false">COUNTIFS(Indicadores!$C$2:$C$105,$A21,Indicadores!$E$2:$E$105,"Cambio de comportamiento observado",Indicadores!$G$2:$G$105,"Prioritario")</f>
        <v>0</v>
      </c>
      <c r="D21" s="14" t="n">
        <f aca="false">COUNTIFS(Indicadores!$C$2:$C$105,$A21,Indicadores!$E$2:$E$105,"Cambio de comportamiento reportado",Indicadores!$G$2:$G$105,"Prioritario")</f>
        <v>0</v>
      </c>
      <c r="E21" s="14" t="n">
        <f aca="false">COUNTIFS(Indicadores!$C$2:$C$105,$A21,Indicadores!$E$2:$E$105,"Cambio en la percepción",Indicadores!$G$2:$G$105,"Prioritario")</f>
        <v>2</v>
      </c>
    </row>
    <row r="22" customFormat="false" ht="15" hidden="false" customHeight="false" outlineLevel="0" collapsed="false">
      <c r="A22" s="13" t="s">
        <v>131</v>
      </c>
      <c r="B22" s="14" t="n">
        <f aca="false">COUNTIFS(Indicadores!$C$2:$C$105,$A22,Indicadores!$E$2:$E$105,"Cambio en las condiciones del espacio",Indicadores!$G$2:$G$105,"Prioritario")</f>
        <v>1</v>
      </c>
      <c r="C22" s="14" t="n">
        <f aca="false">COUNTIFS(Indicadores!$C$2:$C$105,$A22,Indicadores!$E$2:$E$105,"Cambio de comportamiento observado",Indicadores!$G$2:$G$105,"Prioritario")</f>
        <v>0</v>
      </c>
      <c r="D22" s="14" t="n">
        <f aca="false">COUNTIFS(Indicadores!$C$2:$C$105,$A22,Indicadores!$E$2:$E$105,"Cambio de comportamiento reportado",Indicadores!$G$2:$G$105,"Prioritario")</f>
        <v>0</v>
      </c>
      <c r="E22" s="14" t="n">
        <f aca="false">COUNTIFS(Indicadores!$C$2:$C$105,$A22,Indicadores!$E$2:$E$105,"Cambio en la percepción",Indicadores!$G$2:$G$105,"Prioritario")</f>
        <v>1</v>
      </c>
    </row>
    <row r="24" customFormat="false" ht="15" hidden="false" customHeight="false" outlineLevel="0" collapsed="false">
      <c r="A24" s="11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2026-10-26T23:17:18Z</dcterms:created>
  <dc:creator>openpyxl</dc:creator>
  <dc:description/>
  <dc:language>en-US</dc:language>
  <cp:lastModifiedBy/>
  <dcterms:modified xsi:type="dcterms:W3CDTF">2026-10-26T23:17:18Z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