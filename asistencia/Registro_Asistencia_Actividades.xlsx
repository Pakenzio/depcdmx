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Asistencia" sheetId="2" state="visible" r:id="rId4"/>
    <sheet name="Registro por hora" sheetId="3" state="visible" r:id="rId5"/>
    <sheet name="Metas" sheetId="4" state="visible" r:id="rId6"/>
    <sheet name="Personal" sheetId="5" state="visible" r:id="rId7"/>
    <sheet name="Resumen" sheetId="6" state="visible" r:id="rId8"/>
    <sheet name="Catálogos" sheetId="7" state="visible" r:id="rId9"/>
  </sheets>
  <definedNames>
    <definedName function="false" hidden="true" localSheetId="1" name="_xlnm._FilterDatabase" vbProcedure="false">Asistencia!$A$4:$M$504</definedName>
    <definedName function="false" hidden="true" localSheetId="3" name="_xlnm._FilterDatabase" vbProcedure="false">Metas!$A$4:$H$54</definedName>
    <definedName function="false" hidden="true" localSheetId="2" name="_xlnm._FilterDatabase" vbProcedure="false">'Registro por hora'!$A$4:$K$2004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Horas de comida o descanso que NO cuentan como trabajo (ej. 1 = una hora, 0.5 = media hora).</t>
        </r>
      </text>
    </comment>
    <comment ref="I4" authorId="0">
      <text>
        <r>
          <rPr>
            <sz val="10"/>
            <rFont val="Arial"/>
            <family val="2"/>
          </rPr>
          <t xml:space="preserve">Obligatorio cuando el estado es Ausente o Medio día.</t>
        </r>
      </text>
    </comment>
    <comment ref="L4" authorId="0">
      <text>
        <r>
          <rPr>
            <sz val="10"/>
            <rFont val="Arial"/>
            <family val="2"/>
          </rPr>
          <t xml:space="preserve">Suma automática de la pestaña 'Registro por hora' para esa persona y fecha. Debe igualar las horas trabajadas.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60" authorId="0">
      <text>
        <r>
          <rPr>
            <sz val="10"/>
            <rFont val="Arial"/>
            <family val="2"/>
          </rPr>
          <t xml:space="preserve">Horas reportadas sin ID de meta. Idealmente debe ser 0.</t>
        </r>
      </text>
    </comment>
  </commentList>
</comments>
</file>

<file path=xl/sharedStrings.xml><?xml version="1.0" encoding="utf-8"?>
<sst xmlns="http://schemas.openxmlformats.org/spreadsheetml/2006/main" count="206" uniqueCount="166">
  <si>
    <t xml:space="preserve">Registro de asistencia y actividades</t>
  </si>
  <si>
    <t xml:space="preserve">Control diario de asistencia, reporte hora por hora y alineación con las metas generales</t>
  </si>
  <si>
    <t xml:space="preserve">Cómo usar este archivo</t>
  </si>
  <si>
    <t xml:space="preserve">1. Metas</t>
  </si>
  <si>
    <t xml:space="preserve">Captura una vez las metas generales del equipo (ID + nombre). Cada actividad se ligará a una de ellas.</t>
  </si>
  <si>
    <t xml:space="preserve">2. Personal</t>
  </si>
  <si>
    <t xml:space="preserve">Da de alta a cada colaborador con su área y horario programado. Los nombres aparecen en las listas desplegables.</t>
  </si>
  <si>
    <t xml:space="preserve">3. Asistencia</t>
  </si>
  <si>
    <t xml:space="preserve">Una fila por persona por día: estado, hora de entrada, hora de salida y resumen del día. Si NO trabajó (o trabajó medio día), es obligatorio elegir el motivo y escribir la explicación.</t>
  </si>
  <si>
    <t xml:space="preserve">4. Registro por hora</t>
  </si>
  <si>
    <t xml:space="preserve">Una fila por cada hora (o bloque) trabajado (no registres la comida): qué hizo, a qué meta contribuye y qué resultado obtuvo. La suma de bloques debe cubrir las horas trabajadas del día.</t>
  </si>
  <si>
    <t xml:space="preserve">5. Resumen</t>
  </si>
  <si>
    <t xml:space="preserve">Elige el rango de fechas y revisa asistencia, horas reportadas por persona y horas dedicadas a cada meta.</t>
  </si>
  <si>
    <t xml:space="preserve">Código de colores</t>
  </si>
  <si>
    <t xml:space="preserve">Celda amarilla</t>
  </si>
  <si>
    <t xml:space="preserve">Captura (tú escribes aquí).</t>
  </si>
  <si>
    <t xml:space="preserve">Celda gris</t>
  </si>
  <si>
    <t xml:space="preserve">Fórmula automática. No escribir.</t>
  </si>
  <si>
    <t xml:space="preserve">⚠ en columna Alerta</t>
  </si>
  <si>
    <t xml:space="preserve">Falta información: motivo de ausencia, explicación, horas de entrada/salida u horas sin reportar.</t>
  </si>
  <si>
    <t xml:space="preserve">Ejemplos</t>
  </si>
  <si>
    <t xml:space="preserve">Filas en gris cursiva</t>
  </si>
  <si>
    <t xml:space="preserve">Son ejemplos para mostrar el formato. Bórralos (solo las celdas amarillas) antes de empezar a usar el archivo. Las metas y el personal de ejemplo también se deben reemplazar.</t>
  </si>
  <si>
    <t xml:space="preserve">Formato de hora</t>
  </si>
  <si>
    <t xml:space="preserve">Escribe horas en formato 24 h, p. ej. 09:00, 13:30, 18:00. Fechas como 07/10/2026.</t>
  </si>
  <si>
    <t xml:space="preserve">Asistencia diaria</t>
  </si>
  <si>
    <t xml:space="preserve">Una fila por persona por día. Si no trabajó: elige el motivo y escribe la explicación (obligatorio).</t>
  </si>
  <si>
    <t xml:space="preserve">Fecha</t>
  </si>
  <si>
    <t xml:space="preserve">Colaborador</t>
  </si>
  <si>
    <t xml:space="preserve">Área</t>
  </si>
  <si>
    <t xml:space="preserve">Estado</t>
  </si>
  <si>
    <t xml:space="preserve">Hora entrada</t>
  </si>
  <si>
    <t xml:space="preserve">Hora salida</t>
  </si>
  <si>
    <t xml:space="preserve">Comida / descanso (h)</t>
  </si>
  <si>
    <t xml:space="preserve">Horas trabajadas</t>
  </si>
  <si>
    <t xml:space="preserve">Motivo (si no trabajó o medio día)</t>
  </si>
  <si>
    <t xml:space="preserve">Explicación del motivo</t>
  </si>
  <si>
    <t xml:space="preserve">Resumen de lo que hizo en el día</t>
  </si>
  <si>
    <t xml:space="preserve">Horas reportadas hora por hora</t>
  </si>
  <si>
    <t xml:space="preserve">Alerta</t>
  </si>
  <si>
    <t xml:space="preserve">Ana López</t>
  </si>
  <si>
    <t xml:space="preserve">Asistió</t>
  </si>
  <si>
    <t xml:space="preserve">Llamadas de prospección, 2 reuniones con clientes, propuesta para cliente nuevo y cierre de pedido.</t>
  </si>
  <si>
    <t xml:space="preserve">Carlos Ruiz</t>
  </si>
  <si>
    <t xml:space="preserve">Ausente</t>
  </si>
  <si>
    <t xml:space="preserve">Enfermedad</t>
  </si>
  <si>
    <t xml:space="preserve">Infección estomacal; presenta receta médica el miércoles.</t>
  </si>
  <si>
    <t xml:space="preserve">Registro hora por hora</t>
  </si>
  <si>
    <t xml:space="preserve">Una fila por cada hora (o bloque) trabajado. Liga cada actividad a una meta (ID de la pestaña Metas).</t>
  </si>
  <si>
    <t xml:space="preserve">Hora inicio</t>
  </si>
  <si>
    <t xml:space="preserve">Hora fin</t>
  </si>
  <si>
    <t xml:space="preserve">Actividad realizada</t>
  </si>
  <si>
    <t xml:space="preserve">Meta (ID)</t>
  </si>
  <si>
    <t xml:space="preserve">Meta relacionada</t>
  </si>
  <si>
    <t xml:space="preserve">Duración (h)</t>
  </si>
  <si>
    <t xml:space="preserve">Resultado / entregable</t>
  </si>
  <si>
    <t xml:space="preserve">Estatus</t>
  </si>
  <si>
    <t xml:space="preserve">Comentarios / bloqueos</t>
  </si>
  <si>
    <t xml:space="preserve">Revisión de correos y agenda; seguimiento a 8 prospectos</t>
  </si>
  <si>
    <t xml:space="preserve">M1</t>
  </si>
  <si>
    <t xml:space="preserve">8 prospectos contactados</t>
  </si>
  <si>
    <t xml:space="preserve">Completada</t>
  </si>
  <si>
    <t xml:space="preserve">Llamadas de prospección en frío</t>
  </si>
  <si>
    <t xml:space="preserve">12 llamadas, 3 citas agendadas</t>
  </si>
  <si>
    <t xml:space="preserve">Reunión con cliente Grupo Alfa</t>
  </si>
  <si>
    <t xml:space="preserve">Requerimientos levantados</t>
  </si>
  <si>
    <t xml:space="preserve">Elaboración de propuesta comercial Grupo Alfa</t>
  </si>
  <si>
    <t xml:space="preserve">Borrador de propuesta</t>
  </si>
  <si>
    <t xml:space="preserve">En progreso</t>
  </si>
  <si>
    <t xml:space="preserve">Falta validar precios con Dirección</t>
  </si>
  <si>
    <t xml:space="preserve">Atención de queja de cliente Beta</t>
  </si>
  <si>
    <t xml:space="preserve">M2</t>
  </si>
  <si>
    <t xml:space="preserve">Queja resuelta, cliente notificado</t>
  </si>
  <si>
    <t xml:space="preserve">Junta semanal del equipo comercial</t>
  </si>
  <si>
    <t xml:space="preserve">M0</t>
  </si>
  <si>
    <t xml:space="preserve">Acuerdos registrados en minuta</t>
  </si>
  <si>
    <t xml:space="preserve">Curso en línea de negociación (módulo 2)</t>
  </si>
  <si>
    <t xml:space="preserve">M5</t>
  </si>
  <si>
    <t xml:space="preserve">Módulo 2 terminado</t>
  </si>
  <si>
    <t xml:space="preserve">Cierre de pedido cliente Gamma y registro en CRM</t>
  </si>
  <si>
    <t xml:space="preserve">Pedido por $45,000 cerrado</t>
  </si>
  <si>
    <t xml:space="preserve">Metas generales</t>
  </si>
  <si>
    <t xml:space="preserve">Cada actividad del registro por hora se liga a un ID de esta tabla. Reemplaza los ejemplos por las metas reales.</t>
  </si>
  <si>
    <t xml:space="preserve">ID</t>
  </si>
  <si>
    <t xml:space="preserve">Meta</t>
  </si>
  <si>
    <t xml:space="preserve">Descripción / alcance</t>
  </si>
  <si>
    <t xml:space="preserve">Indicador (KPI)</t>
  </si>
  <si>
    <t xml:space="preserve">Responsable</t>
  </si>
  <si>
    <t xml:space="preserve">Fecha límite</t>
  </si>
  <si>
    <t xml:space="preserve">Horas dedicadas (total)</t>
  </si>
  <si>
    <t xml:space="preserve">% del tiempo reportado</t>
  </si>
  <si>
    <t xml:space="preserve">Incrementar ventas 15% en el año</t>
  </si>
  <si>
    <t xml:space="preserve">Prospección, seguimiento y cierre de clientes nuevos</t>
  </si>
  <si>
    <t xml:space="preserve">Ventas mensuales vs. meta</t>
  </si>
  <si>
    <t xml:space="preserve">Dirección comercial</t>
  </si>
  <si>
    <t xml:space="preserve">Mejorar satisfacción del cliente</t>
  </si>
  <si>
    <t xml:space="preserve">Atención de tickets, quejas y seguimiento postventa</t>
  </si>
  <si>
    <t xml:space="preserve">NPS ≥ 60</t>
  </si>
  <si>
    <t xml:space="preserve">Atención a clientes</t>
  </si>
  <si>
    <t xml:space="preserve">M3</t>
  </si>
  <si>
    <t xml:space="preserve">Lanzar nuevo producto / servicio</t>
  </si>
  <si>
    <t xml:space="preserve">Desarrollo, pruebas y lanzamiento</t>
  </si>
  <si>
    <t xml:space="preserve">Lanzamiento antes de fecha límite</t>
  </si>
  <si>
    <t xml:space="preserve">Producto</t>
  </si>
  <si>
    <t xml:space="preserve">M4</t>
  </si>
  <si>
    <t xml:space="preserve">Optimizar procesos internos</t>
  </si>
  <si>
    <t xml:space="preserve">Automatización, documentación y reducción de tiempos</t>
  </si>
  <si>
    <t xml:space="preserve">-20% tiempo de proceso</t>
  </si>
  <si>
    <t xml:space="preserve">Operaciones</t>
  </si>
  <si>
    <t xml:space="preserve">Capacitación y desarrollo del equipo</t>
  </si>
  <si>
    <t xml:space="preserve">Cursos, mentorías y certificaciones</t>
  </si>
  <si>
    <t xml:space="preserve">20 h de capacitación por persona</t>
  </si>
  <si>
    <t xml:space="preserve">Recursos Humanos</t>
  </si>
  <si>
    <t xml:space="preserve">Administrativo / soporte general</t>
  </si>
  <si>
    <t xml:space="preserve">Juntas, correos y tareas que no corresponden a una meta específica</t>
  </si>
  <si>
    <t xml:space="preserve">—</t>
  </si>
  <si>
    <t xml:space="preserve">Todos</t>
  </si>
  <si>
    <t xml:space="preserve">Personal</t>
  </si>
  <si>
    <t xml:space="preserve">Lista de colaboradores. Los nombres aparecen en los menús de Asistencia y Registro por hora.</t>
  </si>
  <si>
    <t xml:space="preserve">Nombre completo</t>
  </si>
  <si>
    <t xml:space="preserve">Puesto</t>
  </si>
  <si>
    <t xml:space="preserve">Entrada programada</t>
  </si>
  <si>
    <t xml:space="preserve">Salida programada</t>
  </si>
  <si>
    <t xml:space="preserve">E01</t>
  </si>
  <si>
    <t xml:space="preserve">Ventas</t>
  </si>
  <si>
    <t xml:space="preserve">Ejecutiva comercial</t>
  </si>
  <si>
    <t xml:space="preserve">E02</t>
  </si>
  <si>
    <t xml:space="preserve">Analista de soporte</t>
  </si>
  <si>
    <t xml:space="preserve">E03</t>
  </si>
  <si>
    <t xml:space="preserve">María Hernández</t>
  </si>
  <si>
    <t xml:space="preserve">Coordinadora</t>
  </si>
  <si>
    <t xml:space="preserve">Resumen</t>
  </si>
  <si>
    <t xml:space="preserve">Cambia el rango de fechas (celdas amarillas) para ver el periodo que quieras.</t>
  </si>
  <si>
    <t xml:space="preserve">Desde</t>
  </si>
  <si>
    <t xml:space="preserve">Hasta</t>
  </si>
  <si>
    <t xml:space="preserve">Por colaborador</t>
  </si>
  <si>
    <t xml:space="preserve">Horas dedicadas por meta</t>
  </si>
  <si>
    <t xml:space="preserve">Días trabajados</t>
  </si>
  <si>
    <t xml:space="preserve">Ausencias</t>
  </si>
  <si>
    <t xml:space="preserve">Ausencias sin motivo</t>
  </si>
  <si>
    <t xml:space="preserve">Horas reportadas hora x hora</t>
  </si>
  <si>
    <t xml:space="preserve">% de horas reportadas</t>
  </si>
  <si>
    <t xml:space="preserve">Promedio horas/día</t>
  </si>
  <si>
    <t xml:space="preserve">Horas</t>
  </si>
  <si>
    <t xml:space="preserve">% del total</t>
  </si>
  <si>
    <t xml:space="preserve">Sin meta asignada</t>
  </si>
  <si>
    <t xml:space="preserve">Catálogos</t>
  </si>
  <si>
    <t xml:space="preserve">Listas que alimentan los menús desplegables. Puedes agregar opciones al final de cada lista.</t>
  </si>
  <si>
    <t xml:space="preserve">Estado de asistencia</t>
  </si>
  <si>
    <t xml:space="preserve">Motivo de ausencia</t>
  </si>
  <si>
    <t xml:space="preserve">Estatus de actividad</t>
  </si>
  <si>
    <t xml:space="preserve">Retardo</t>
  </si>
  <si>
    <t xml:space="preserve">Incapacidad médica</t>
  </si>
  <si>
    <t xml:space="preserve">Medio día</t>
  </si>
  <si>
    <t xml:space="preserve">Cita médica</t>
  </si>
  <si>
    <t xml:space="preserve">Bloqueada</t>
  </si>
  <si>
    <t xml:space="preserve">Home office</t>
  </si>
  <si>
    <t xml:space="preserve">Vacaciones</t>
  </si>
  <si>
    <t xml:space="preserve">Pospuesta</t>
  </si>
  <si>
    <t xml:space="preserve">Permiso personal</t>
  </si>
  <si>
    <t xml:space="preserve">Asunto familiar</t>
  </si>
  <si>
    <t xml:space="preserve">Día festivo</t>
  </si>
  <si>
    <t xml:space="preserve">Capacitación externa</t>
  </si>
  <si>
    <t xml:space="preserve">Comisión fuera de oficina</t>
  </si>
  <si>
    <t xml:space="preserve">Falta injustificada</t>
  </si>
  <si>
    <t xml:space="preserve">Otro (explicar)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</si>
</sst>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hh:mm"/>
    <numFmt numFmtId="167" formatCode="0.0"/>
    <numFmt numFmtId="168" formatCode="0.00"/>
    <numFmt numFmtId="169" formatCode="0.0%"/>
    <numFmt numFmtId="170" formatCode="General"/>
    <numFmt numFmtId="171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DEDED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595959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FF7C8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2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23.85" hidden="false" customHeight="false" outlineLevel="0" collapsed="false">
      <c r="A7" s="5" t="s">
        <v>7</v>
      </c>
      <c r="B7" s="6" t="s">
        <v>8</v>
      </c>
    </row>
    <row r="8" customFormat="false" ht="23.8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4" t="s">
        <v>13</v>
      </c>
      <c r="B10" s="2"/>
    </row>
    <row r="11" customFormat="false" ht="15" hidden="false" customHeight="false" outlineLevel="0" collapsed="false">
      <c r="A11" s="7" t="s">
        <v>14</v>
      </c>
      <c r="B11" s="6" t="s">
        <v>15</v>
      </c>
    </row>
    <row r="12" customFormat="false" ht="15" hidden="false" customHeight="false" outlineLevel="0" collapsed="false">
      <c r="A12" s="8" t="s">
        <v>16</v>
      </c>
      <c r="B12" s="6" t="s">
        <v>17</v>
      </c>
    </row>
    <row r="13" customFormat="false" ht="15" hidden="false" customHeight="false" outlineLevel="0" collapsed="false">
      <c r="A13" s="5" t="s">
        <v>18</v>
      </c>
      <c r="B13" s="6" t="s">
        <v>19</v>
      </c>
    </row>
    <row r="14" customFormat="false" ht="15" hidden="false" customHeight="false" outlineLevel="0" collapsed="false">
      <c r="A14" s="4" t="s">
        <v>20</v>
      </c>
      <c r="B14" s="2"/>
    </row>
    <row r="15" customFormat="false" ht="23.85" hidden="false" customHeight="false" outlineLevel="0" collapsed="false">
      <c r="A15" s="5" t="s">
        <v>21</v>
      </c>
      <c r="B15" s="6" t="s">
        <v>22</v>
      </c>
    </row>
    <row r="16" customFormat="false" ht="15" hidden="false" customHeight="false" outlineLevel="0" collapsed="false">
      <c r="A16" s="5" t="s">
        <v>23</v>
      </c>
      <c r="B16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24"/>
    <col collapsed="false" customWidth="true" hidden="false" outlineLevel="0" max="10" min="10" style="0" width="34"/>
    <col collapsed="false" customWidth="true" hidden="false" outlineLevel="0" max="11" min="11" style="0" width="44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31.5" hidden="false" customHeight="true" outlineLevel="0" collapsed="false">
      <c r="A4" s="9" t="s">
        <v>27</v>
      </c>
      <c r="B4" s="9" t="s">
        <v>28</v>
      </c>
      <c r="C4" s="10" t="s">
        <v>29</v>
      </c>
      <c r="D4" s="9" t="s">
        <v>30</v>
      </c>
      <c r="E4" s="9" t="s">
        <v>31</v>
      </c>
      <c r="F4" s="9" t="s">
        <v>32</v>
      </c>
      <c r="G4" s="9" t="s">
        <v>33</v>
      </c>
      <c r="H4" s="10" t="s">
        <v>34</v>
      </c>
      <c r="I4" s="9" t="s">
        <v>35</v>
      </c>
      <c r="J4" s="9" t="s">
        <v>36</v>
      </c>
      <c r="K4" s="9" t="s">
        <v>37</v>
      </c>
      <c r="L4" s="10" t="s">
        <v>38</v>
      </c>
      <c r="M4" s="10" t="s">
        <v>39</v>
      </c>
    </row>
    <row r="5" customFormat="false" ht="23.85" hidden="false" customHeight="false" outlineLevel="0" collapsed="false">
      <c r="A5" s="11" t="n">
        <v>46301</v>
      </c>
      <c r="B5" s="12" t="s">
        <v>40</v>
      </c>
      <c r="C5" s="13" t="str">
        <f aca="false">IF(B5="","",IFERROR(INDEX(Personal!$C$5:$C$104,MATCH(B5,Personal!$B$5:$B$104,0)),""))</f>
        <v>Ventas</v>
      </c>
      <c r="D5" s="12" t="s">
        <v>41</v>
      </c>
      <c r="E5" s="14" t="n">
        <v>0.375</v>
      </c>
      <c r="F5" s="14" t="n">
        <v>0.75</v>
      </c>
      <c r="G5" s="15" t="n">
        <v>1</v>
      </c>
      <c r="H5" s="16" t="n">
        <f aca="false">IF(OR(E5="",F5=""),"",ROUND(MOD(F5-E5,1)*24-N(G5),2))</f>
        <v>8</v>
      </c>
      <c r="I5" s="12"/>
      <c r="J5" s="12"/>
      <c r="K5" s="12" t="s">
        <v>42</v>
      </c>
      <c r="L5" s="16" t="n">
        <f aca="false">IF(OR(A5="",B5=""),"",SUMIFS('Registro por hora'!$H$5:$H$2004,'Registro por hora'!$A$5:$A$2004,A5,'Registro por hora'!$B$5:$B$2004,B5))</f>
        <v>8</v>
      </c>
      <c r="M5" s="13" t="str">
        <f aca="false">IF(B5="","",IF(D5="","⚠ Falta estado",IF(AND(OR(D5="Ausente",D5="Medio día"),I5=""),"⚠ Falta motivo",IF(AND(OR(D5="Ausente",D5="Medio día"),J5=""),"⚠ Falta explicación",IF(D5="Ausente","✔ Ausencia justificada",IF(OR(E5="",F5=""),"⚠ Falta hora de entrada/salida",IF(K5="","⚠ Falta resumen del día",IF(N(L5)&lt;N(H5)-0.01,"⚠ Faltan "&amp;TEXT(N(H5)-N(L5),"0.0")&amp;" h por reportar","✔ OK"))))))))</f>
        <v>✔ OK</v>
      </c>
    </row>
    <row r="6" customFormat="false" ht="23.85" hidden="false" customHeight="false" outlineLevel="0" collapsed="false">
      <c r="A6" s="11" t="n">
        <v>46301</v>
      </c>
      <c r="B6" s="12" t="s">
        <v>43</v>
      </c>
      <c r="C6" s="13" t="str">
        <f aca="false">IF(B6="","",IFERROR(INDEX(Personal!$C$5:$C$104,MATCH(B6,Personal!$B$5:$B$104,0)),""))</f>
        <v>Atención a clientes</v>
      </c>
      <c r="D6" s="12" t="s">
        <v>44</v>
      </c>
      <c r="E6" s="14"/>
      <c r="F6" s="14"/>
      <c r="G6" s="15"/>
      <c r="H6" s="16" t="str">
        <f aca="false">IF(OR(E6="",F6=""),"",ROUND(MOD(F6-E6,1)*24-N(G6),2))</f>
        <v/>
      </c>
      <c r="I6" s="12" t="s">
        <v>45</v>
      </c>
      <c r="J6" s="12" t="s">
        <v>46</v>
      </c>
      <c r="K6" s="12"/>
      <c r="L6" s="16" t="n">
        <f aca="false">IF(OR(A6="",B6=""),"",SUMIFS('Registro por hora'!$H$5:$H$2004,'Registro por hora'!$A$5:$A$2004,A6,'Registro por hora'!$B$5:$B$2004,B6))</f>
        <v>0</v>
      </c>
      <c r="M6" s="13" t="str">
        <f aca="false">IF(B6="","",IF(D6="","⚠ Falta estado",IF(AND(OR(D6="Ausente",D6="Medio día"),I6=""),"⚠ Falta motivo",IF(AND(OR(D6="Ausente",D6="Medio día"),J6=""),"⚠ Falta explicación",IF(D6="Ausente","✔ Ausencia justificada",IF(OR(E6="",F6=""),"⚠ Falta hora de entrada/salida",IF(K6="","⚠ Falta resumen del día",IF(N(L6)&lt;N(H6)-0.01,"⚠ Faltan "&amp;TEXT(N(H6)-N(L6),"0.0")&amp;" h por reportar","✔ OK"))))))))</f>
        <v>✔ Ausencia justificada</v>
      </c>
    </row>
    <row r="7" customFormat="false" ht="15" hidden="false" customHeight="false" outlineLevel="0" collapsed="false">
      <c r="A7" s="17"/>
      <c r="B7" s="18"/>
      <c r="C7" s="13" t="str">
        <f aca="false">IF(B7="","",IFERROR(INDEX(Personal!$C$5:$C$104,MATCH(B7,Personal!$B$5:$B$104,0)),""))</f>
        <v/>
      </c>
      <c r="D7" s="18"/>
      <c r="E7" s="19"/>
      <c r="F7" s="19"/>
      <c r="G7" s="20"/>
      <c r="H7" s="16" t="str">
        <f aca="false">IF(OR(E7="",F7=""),"",ROUND(MOD(F7-E7,1)*24-N(G7),2))</f>
        <v/>
      </c>
      <c r="I7" s="18"/>
      <c r="J7" s="18"/>
      <c r="K7" s="18"/>
      <c r="L7" s="16" t="str">
        <f aca="false">IF(OR(A7="",B7=""),"",SUMIFS('Registro por hora'!$H$5:$H$2004,'Registro por hora'!$A$5:$A$2004,A7,'Registro por hora'!$B$5:$B$2004,B7))</f>
        <v/>
      </c>
      <c r="M7" s="13" t="str">
        <f aca="false">IF(B7="","",IF(D7="","⚠ Falta estado",IF(AND(OR(D7="Ausente",D7="Medio día"),I7=""),"⚠ Falta motivo",IF(AND(OR(D7="Ausente",D7="Medio día"),J7=""),"⚠ Falta explicación",IF(D7="Ausente","✔ Ausencia justificada",IF(OR(E7="",F7=""),"⚠ Falta hora de entrada/salida",IF(K7="","⚠ Falta resumen del día",IF(N(L7)&lt;N(H7)-0.01,"⚠ Faltan "&amp;TEXT(N(H7)-N(L7),"0.0")&amp;" h por reportar","✔ OK"))))))))</f>
        <v/>
      </c>
    </row>
    <row r="8" customFormat="false" ht="15" hidden="false" customHeight="false" outlineLevel="0" collapsed="false">
      <c r="A8" s="17"/>
      <c r="B8" s="18"/>
      <c r="C8" s="13" t="str">
        <f aca="false">IF(B8="","",IFERROR(INDEX(Personal!$C$5:$C$104,MATCH(B8,Personal!$B$5:$B$104,0)),""))</f>
        <v/>
      </c>
      <c r="D8" s="18"/>
      <c r="E8" s="19"/>
      <c r="F8" s="19"/>
      <c r="G8" s="20"/>
      <c r="H8" s="16" t="str">
        <f aca="false">IF(OR(E8="",F8=""),"",ROUND(MOD(F8-E8,1)*24-N(G8),2))</f>
        <v/>
      </c>
      <c r="I8" s="18"/>
      <c r="J8" s="18"/>
      <c r="K8" s="18"/>
      <c r="L8" s="16" t="str">
        <f aca="false">IF(OR(A8="",B8=""),"",SUMIFS('Registro por hora'!$H$5:$H$2004,'Registro por hora'!$A$5:$A$2004,A8,'Registro por hora'!$B$5:$B$2004,B8))</f>
        <v/>
      </c>
      <c r="M8" s="13" t="str">
        <f aca="false">IF(B8="","",IF(D8="","⚠ Falta estado",IF(AND(OR(D8="Ausente",D8="Medio día"),I8=""),"⚠ Falta motivo",IF(AND(OR(D8="Ausente",D8="Medio día"),J8=""),"⚠ Falta explicación",IF(D8="Ausente","✔ Ausencia justificada",IF(OR(E8="",F8=""),"⚠ Falta hora de entrada/salida",IF(K8="","⚠ Falta resumen del día",IF(N(L8)&lt;N(H8)-0.01,"⚠ Faltan "&amp;TEXT(N(H8)-N(L8),"0.0")&amp;" h por reportar","✔ OK"))))))))</f>
        <v/>
      </c>
    </row>
    <row r="9" customFormat="false" ht="15" hidden="false" customHeight="false" outlineLevel="0" collapsed="false">
      <c r="A9" s="17"/>
      <c r="B9" s="18"/>
      <c r="C9" s="13" t="str">
        <f aca="false">IF(B9="","",IFERROR(INDEX(Personal!$C$5:$C$104,MATCH(B9,Personal!$B$5:$B$104,0)),""))</f>
        <v/>
      </c>
      <c r="D9" s="18"/>
      <c r="E9" s="19"/>
      <c r="F9" s="19"/>
      <c r="G9" s="20"/>
      <c r="H9" s="16" t="str">
        <f aca="false">IF(OR(E9="",F9=""),"",ROUND(MOD(F9-E9,1)*24-N(G9),2))</f>
        <v/>
      </c>
      <c r="I9" s="18"/>
      <c r="J9" s="18"/>
      <c r="K9" s="18"/>
      <c r="L9" s="16" t="str">
        <f aca="false">IF(OR(A9="",B9=""),"",SUMIFS('Registro por hora'!$H$5:$H$2004,'Registro por hora'!$A$5:$A$2004,A9,'Registro por hora'!$B$5:$B$2004,B9))</f>
        <v/>
      </c>
      <c r="M9" s="13" t="str">
        <f aca="false">IF(B9="","",IF(D9="","⚠ Falta estado",IF(AND(OR(D9="Ausente",D9="Medio día"),I9=""),"⚠ Falta motivo",IF(AND(OR(D9="Ausente",D9="Medio día"),J9=""),"⚠ Falta explicación",IF(D9="Ausente","✔ Ausencia justificada",IF(OR(E9="",F9=""),"⚠ Falta hora de entrada/salida",IF(K9="","⚠ Falta resumen del día",IF(N(L9)&lt;N(H9)-0.01,"⚠ Faltan "&amp;TEXT(N(H9)-N(L9),"0.0")&amp;" h por reportar","✔ OK"))))))))</f>
        <v/>
      </c>
    </row>
    <row r="10" customFormat="false" ht="15" hidden="false" customHeight="false" outlineLevel="0" collapsed="false">
      <c r="A10" s="17"/>
      <c r="B10" s="18"/>
      <c r="C10" s="13" t="str">
        <f aca="false">IF(B10="","",IFERROR(INDEX(Personal!$C$5:$C$104,MATCH(B10,Personal!$B$5:$B$104,0)),""))</f>
        <v/>
      </c>
      <c r="D10" s="18"/>
      <c r="E10" s="19"/>
      <c r="F10" s="19"/>
      <c r="G10" s="20"/>
      <c r="H10" s="16" t="str">
        <f aca="false">IF(OR(E10="",F10=""),"",ROUND(MOD(F10-E10,1)*24-N(G10),2))</f>
        <v/>
      </c>
      <c r="I10" s="18"/>
      <c r="J10" s="18"/>
      <c r="K10" s="18"/>
      <c r="L10" s="16" t="str">
        <f aca="false">IF(OR(A10="",B10=""),"",SUMIFS('Registro por hora'!$H$5:$H$2004,'Registro por hora'!$A$5:$A$2004,A10,'Registro por hora'!$B$5:$B$2004,B10))</f>
        <v/>
      </c>
      <c r="M10" s="13" t="str">
        <f aca="false">IF(B10="","",IF(D10="","⚠ Falta estado",IF(AND(OR(D10="Ausente",D10="Medio día"),I10=""),"⚠ Falta motivo",IF(AND(OR(D10="Ausente",D10="Medio día"),J10=""),"⚠ Falta explicación",IF(D10="Ausente","✔ Ausencia justificada",IF(OR(E10="",F10=""),"⚠ Falta hora de entrada/salida",IF(K10="","⚠ Falta resumen del día",IF(N(L10)&lt;N(H10)-0.01,"⚠ Faltan "&amp;TEXT(N(H10)-N(L10),"0.0")&amp;" h por reportar","✔ OK"))))))))</f>
        <v/>
      </c>
    </row>
    <row r="11" customFormat="false" ht="15" hidden="false" customHeight="false" outlineLevel="0" collapsed="false">
      <c r="A11" s="17"/>
      <c r="B11" s="18"/>
      <c r="C11" s="13" t="str">
        <f aca="false">IF(B11="","",IFERROR(INDEX(Personal!$C$5:$C$104,MATCH(B11,Personal!$B$5:$B$104,0)),""))</f>
        <v/>
      </c>
      <c r="D11" s="18"/>
      <c r="E11" s="19"/>
      <c r="F11" s="19"/>
      <c r="G11" s="20"/>
      <c r="H11" s="16" t="str">
        <f aca="false">IF(OR(E11="",F11=""),"",ROUND(MOD(F11-E11,1)*24-N(G11),2))</f>
        <v/>
      </c>
      <c r="I11" s="18"/>
      <c r="J11" s="18"/>
      <c r="K11" s="18"/>
      <c r="L11" s="16" t="str">
        <f aca="false">IF(OR(A11="",B11=""),"",SUMIFS('Registro por hora'!$H$5:$H$2004,'Registro por hora'!$A$5:$A$2004,A11,'Registro por hora'!$B$5:$B$2004,B11))</f>
        <v/>
      </c>
      <c r="M11" s="13" t="str">
        <f aca="false">IF(B11="","",IF(D11="","⚠ Falta estado",IF(AND(OR(D11="Ausente",D11="Medio día"),I11=""),"⚠ Falta motivo",IF(AND(OR(D11="Ausente",D11="Medio día"),J11=""),"⚠ Falta explicación",IF(D11="Ausente","✔ Ausencia justificada",IF(OR(E11="",F11=""),"⚠ Falta hora de entrada/salida",IF(K11="","⚠ Falta resumen del día",IF(N(L11)&lt;N(H11)-0.01,"⚠ Faltan "&amp;TEXT(N(H11)-N(L11),"0.0")&amp;" h por reportar","✔ OK"))))))))</f>
        <v/>
      </c>
    </row>
    <row r="12" customFormat="false" ht="15" hidden="false" customHeight="false" outlineLevel="0" collapsed="false">
      <c r="A12" s="17"/>
      <c r="B12" s="18"/>
      <c r="C12" s="13" t="str">
        <f aca="false">IF(B12="","",IFERROR(INDEX(Personal!$C$5:$C$104,MATCH(B12,Personal!$B$5:$B$104,0)),""))</f>
        <v/>
      </c>
      <c r="D12" s="18"/>
      <c r="E12" s="19"/>
      <c r="F12" s="19"/>
      <c r="G12" s="20"/>
      <c r="H12" s="16" t="str">
        <f aca="false">IF(OR(E12="",F12=""),"",ROUND(MOD(F12-E12,1)*24-N(G12),2))</f>
        <v/>
      </c>
      <c r="I12" s="18"/>
      <c r="J12" s="18"/>
      <c r="K12" s="18"/>
      <c r="L12" s="16" t="str">
        <f aca="false">IF(OR(A12="",B12=""),"",SUMIFS('Registro por hora'!$H$5:$H$2004,'Registro por hora'!$A$5:$A$2004,A12,'Registro por hora'!$B$5:$B$2004,B12))</f>
        <v/>
      </c>
      <c r="M12" s="13" t="str">
        <f aca="false">IF(B12="","",IF(D12="","⚠ Falta estado",IF(AND(OR(D12="Ausente",D12="Medio día"),I12=""),"⚠ Falta motivo",IF(AND(OR(D12="Ausente",D12="Medio día"),J12=""),"⚠ Falta explicación",IF(D12="Ausente","✔ Ausencia justificada",IF(OR(E12="",F12=""),"⚠ Falta hora de entrada/salida",IF(K12="","⚠ Falta resumen del día",IF(N(L12)&lt;N(H12)-0.01,"⚠ Faltan "&amp;TEXT(N(H12)-N(L12),"0.0")&amp;" h por reportar","✔ OK"))))))))</f>
        <v/>
      </c>
    </row>
    <row r="13" customFormat="false" ht="15" hidden="false" customHeight="false" outlineLevel="0" collapsed="false">
      <c r="A13" s="17"/>
      <c r="B13" s="18"/>
      <c r="C13" s="13" t="str">
        <f aca="false">IF(B13="","",IFERROR(INDEX(Personal!$C$5:$C$104,MATCH(B13,Personal!$B$5:$B$104,0)),""))</f>
        <v/>
      </c>
      <c r="D13" s="18"/>
      <c r="E13" s="19"/>
      <c r="F13" s="19"/>
      <c r="G13" s="20"/>
      <c r="H13" s="16" t="str">
        <f aca="false">IF(OR(E13="",F13=""),"",ROUND(MOD(F13-E13,1)*24-N(G13),2))</f>
        <v/>
      </c>
      <c r="I13" s="18"/>
      <c r="J13" s="18"/>
      <c r="K13" s="18"/>
      <c r="L13" s="16" t="str">
        <f aca="false">IF(OR(A13="",B13=""),"",SUMIFS('Registro por hora'!$H$5:$H$2004,'Registro por hora'!$A$5:$A$2004,A13,'Registro por hora'!$B$5:$B$2004,B13))</f>
        <v/>
      </c>
      <c r="M13" s="13" t="str">
        <f aca="false">IF(B13="","",IF(D13="","⚠ Falta estado",IF(AND(OR(D13="Ausente",D13="Medio día"),I13=""),"⚠ Falta motivo",IF(AND(OR(D13="Ausente",D13="Medio día"),J13=""),"⚠ Falta explicación",IF(D13="Ausente","✔ Ausencia justificada",IF(OR(E13="",F13=""),"⚠ Falta hora de entrada/salida",IF(K13="","⚠ Falta resumen del día",IF(N(L13)&lt;N(H13)-0.01,"⚠ Faltan "&amp;TEXT(N(H13)-N(L13),"0.0")&amp;" h por reportar","✔ OK"))))))))</f>
        <v/>
      </c>
    </row>
    <row r="14" customFormat="false" ht="15" hidden="false" customHeight="false" outlineLevel="0" collapsed="false">
      <c r="A14" s="17"/>
      <c r="B14" s="18"/>
      <c r="C14" s="13" t="str">
        <f aca="false">IF(B14="","",IFERROR(INDEX(Personal!$C$5:$C$104,MATCH(B14,Personal!$B$5:$B$104,0)),""))</f>
        <v/>
      </c>
      <c r="D14" s="18"/>
      <c r="E14" s="19"/>
      <c r="F14" s="19"/>
      <c r="G14" s="20"/>
      <c r="H14" s="16" t="str">
        <f aca="false">IF(OR(E14="",F14=""),"",ROUND(MOD(F14-E14,1)*24-N(G14),2))</f>
        <v/>
      </c>
      <c r="I14" s="18"/>
      <c r="J14" s="18"/>
      <c r="K14" s="18"/>
      <c r="L14" s="16" t="str">
        <f aca="false">IF(OR(A14="",B14=""),"",SUMIFS('Registro por hora'!$H$5:$H$2004,'Registro por hora'!$A$5:$A$2004,A14,'Registro por hora'!$B$5:$B$2004,B14))</f>
        <v/>
      </c>
      <c r="M14" s="13" t="str">
        <f aca="false">IF(B14="","",IF(D14="","⚠ Falta estado",IF(AND(OR(D14="Ausente",D14="Medio día"),I14=""),"⚠ Falta motivo",IF(AND(OR(D14="Ausente",D14="Medio día"),J14=""),"⚠ Falta explicación",IF(D14="Ausente","✔ Ausencia justificada",IF(OR(E14="",F14=""),"⚠ Falta hora de entrada/salida",IF(K14="","⚠ Falta resumen del día",IF(N(L14)&lt;N(H14)-0.01,"⚠ Faltan "&amp;TEXT(N(H14)-N(L14),"0.0")&amp;" h por reportar","✔ OK"))))))))</f>
        <v/>
      </c>
    </row>
    <row r="15" customFormat="false" ht="15" hidden="false" customHeight="false" outlineLevel="0" collapsed="false">
      <c r="A15" s="17"/>
      <c r="B15" s="18"/>
      <c r="C15" s="13" t="str">
        <f aca="false">IF(B15="","",IFERROR(INDEX(Personal!$C$5:$C$104,MATCH(B15,Personal!$B$5:$B$104,0)),""))</f>
        <v/>
      </c>
      <c r="D15" s="18"/>
      <c r="E15" s="19"/>
      <c r="F15" s="19"/>
      <c r="G15" s="20"/>
      <c r="H15" s="16" t="str">
        <f aca="false">IF(OR(E15="",F15=""),"",ROUND(MOD(F15-E15,1)*24-N(G15),2))</f>
        <v/>
      </c>
      <c r="I15" s="18"/>
      <c r="J15" s="18"/>
      <c r="K15" s="18"/>
      <c r="L15" s="16" t="str">
        <f aca="false">IF(OR(A15="",B15=""),"",SUMIFS('Registro por hora'!$H$5:$H$2004,'Registro por hora'!$A$5:$A$2004,A15,'Registro por hora'!$B$5:$B$2004,B15))</f>
        <v/>
      </c>
      <c r="M15" s="13" t="str">
        <f aca="false">IF(B15="","",IF(D15="","⚠ Falta estado",IF(AND(OR(D15="Ausente",D15="Medio día"),I15=""),"⚠ Falta motivo",IF(AND(OR(D15="Ausente",D15="Medio día"),J15=""),"⚠ Falta explicación",IF(D15="Ausente","✔ Ausencia justificada",IF(OR(E15="",F15=""),"⚠ Falta hora de entrada/salida",IF(K15="","⚠ Falta resumen del día",IF(N(L15)&lt;N(H15)-0.01,"⚠ Faltan "&amp;TEXT(N(H15)-N(L15),"0.0")&amp;" h por reportar","✔ OK"))))))))</f>
        <v/>
      </c>
    </row>
    <row r="16" customFormat="false" ht="15" hidden="false" customHeight="false" outlineLevel="0" collapsed="false">
      <c r="A16" s="17"/>
      <c r="B16" s="18"/>
      <c r="C16" s="13" t="str">
        <f aca="false">IF(B16="","",IFERROR(INDEX(Personal!$C$5:$C$104,MATCH(B16,Personal!$B$5:$B$104,0)),""))</f>
        <v/>
      </c>
      <c r="D16" s="18"/>
      <c r="E16" s="19"/>
      <c r="F16" s="19"/>
      <c r="G16" s="20"/>
      <c r="H16" s="16" t="str">
        <f aca="false">IF(OR(E16="",F16=""),"",ROUND(MOD(F16-E16,1)*24-N(G16),2))</f>
        <v/>
      </c>
      <c r="I16" s="18"/>
      <c r="J16" s="18"/>
      <c r="K16" s="18"/>
      <c r="L16" s="16" t="str">
        <f aca="false">IF(OR(A16="",B16=""),"",SUMIFS('Registro por hora'!$H$5:$H$2004,'Registro por hora'!$A$5:$A$2004,A16,'Registro por hora'!$B$5:$B$2004,B16))</f>
        <v/>
      </c>
      <c r="M16" s="13" t="str">
        <f aca="false">IF(B16="","",IF(D16="","⚠ Falta estado",IF(AND(OR(D16="Ausente",D16="Medio día"),I16=""),"⚠ Falta motivo",IF(AND(OR(D16="Ausente",D16="Medio día"),J16=""),"⚠ Falta explicación",IF(D16="Ausente","✔ Ausencia justificada",IF(OR(E16="",F16=""),"⚠ Falta hora de entrada/salida",IF(K16="","⚠ Falta resumen del día",IF(N(L16)&lt;N(H16)-0.01,"⚠ Faltan "&amp;TEXT(N(H16)-N(L16),"0.0")&amp;" h por reportar","✔ OK"))))))))</f>
        <v/>
      </c>
    </row>
    <row r="17" customFormat="false" ht="15" hidden="false" customHeight="false" outlineLevel="0" collapsed="false">
      <c r="A17" s="17"/>
      <c r="B17" s="18"/>
      <c r="C17" s="13" t="str">
        <f aca="false">IF(B17="","",IFERROR(INDEX(Personal!$C$5:$C$104,MATCH(B17,Personal!$B$5:$B$104,0)),""))</f>
        <v/>
      </c>
      <c r="D17" s="18"/>
      <c r="E17" s="19"/>
      <c r="F17" s="19"/>
      <c r="G17" s="20"/>
      <c r="H17" s="16" t="str">
        <f aca="false">IF(OR(E17="",F17=""),"",ROUND(MOD(F17-E17,1)*24-N(G17),2))</f>
        <v/>
      </c>
      <c r="I17" s="18"/>
      <c r="J17" s="18"/>
      <c r="K17" s="18"/>
      <c r="L17" s="16" t="str">
        <f aca="false">IF(OR(A17="",B17=""),"",SUMIFS('Registro por hora'!$H$5:$H$2004,'Registro por hora'!$A$5:$A$2004,A17,'Registro por hora'!$B$5:$B$2004,B17))</f>
        <v/>
      </c>
      <c r="M17" s="13" t="str">
        <f aca="false">IF(B17="","",IF(D17="","⚠ Falta estado",IF(AND(OR(D17="Ausente",D17="Medio día"),I17=""),"⚠ Falta motivo",IF(AND(OR(D17="Ausente",D17="Medio día"),J17=""),"⚠ Falta explicación",IF(D17="Ausente","✔ Ausencia justificada",IF(OR(E17="",F17=""),"⚠ Falta hora de entrada/salida",IF(K17="","⚠ Falta resumen del día",IF(N(L17)&lt;N(H17)-0.01,"⚠ Faltan "&amp;TEXT(N(H17)-N(L17),"0.0")&amp;" h por reportar","✔ OK"))))))))</f>
        <v/>
      </c>
    </row>
    <row r="18" customFormat="false" ht="15" hidden="false" customHeight="false" outlineLevel="0" collapsed="false">
      <c r="A18" s="17"/>
      <c r="B18" s="18"/>
      <c r="C18" s="13" t="str">
        <f aca="false">IF(B18="","",IFERROR(INDEX(Personal!$C$5:$C$104,MATCH(B18,Personal!$B$5:$B$104,0)),""))</f>
        <v/>
      </c>
      <c r="D18" s="18"/>
      <c r="E18" s="19"/>
      <c r="F18" s="19"/>
      <c r="G18" s="20"/>
      <c r="H18" s="16" t="str">
        <f aca="false">IF(OR(E18="",F18=""),"",ROUND(MOD(F18-E18,1)*24-N(G18),2))</f>
        <v/>
      </c>
      <c r="I18" s="18"/>
      <c r="J18" s="18"/>
      <c r="K18" s="18"/>
      <c r="L18" s="16" t="str">
        <f aca="false">IF(OR(A18="",B18=""),"",SUMIFS('Registro por hora'!$H$5:$H$2004,'Registro por hora'!$A$5:$A$2004,A18,'Registro por hora'!$B$5:$B$2004,B18))</f>
        <v/>
      </c>
      <c r="M18" s="13" t="str">
        <f aca="false">IF(B18="","",IF(D18="","⚠ Falta estado",IF(AND(OR(D18="Ausente",D18="Medio día"),I18=""),"⚠ Falta motivo",IF(AND(OR(D18="Ausente",D18="Medio día"),J18=""),"⚠ Falta explicación",IF(D18="Ausente","✔ Ausencia justificada",IF(OR(E18="",F18=""),"⚠ Falta hora de entrada/salida",IF(K18="","⚠ Falta resumen del día",IF(N(L18)&lt;N(H18)-0.01,"⚠ Faltan "&amp;TEXT(N(H18)-N(L18),"0.0")&amp;" h por reportar","✔ OK"))))))))</f>
        <v/>
      </c>
    </row>
    <row r="19" customFormat="false" ht="15" hidden="false" customHeight="false" outlineLevel="0" collapsed="false">
      <c r="A19" s="17"/>
      <c r="B19" s="18"/>
      <c r="C19" s="13" t="str">
        <f aca="false">IF(B19="","",IFERROR(INDEX(Personal!$C$5:$C$104,MATCH(B19,Personal!$B$5:$B$104,0)),""))</f>
        <v/>
      </c>
      <c r="D19" s="18"/>
      <c r="E19" s="19"/>
      <c r="F19" s="19"/>
      <c r="G19" s="20"/>
      <c r="H19" s="16" t="str">
        <f aca="false">IF(OR(E19="",F19=""),"",ROUND(MOD(F19-E19,1)*24-N(G19),2))</f>
        <v/>
      </c>
      <c r="I19" s="18"/>
      <c r="J19" s="18"/>
      <c r="K19" s="18"/>
      <c r="L19" s="16" t="str">
        <f aca="false">IF(OR(A19="",B19=""),"",SUMIFS('Registro por hora'!$H$5:$H$2004,'Registro por hora'!$A$5:$A$2004,A19,'Registro por hora'!$B$5:$B$2004,B19))</f>
        <v/>
      </c>
      <c r="M19" s="13" t="str">
        <f aca="false">IF(B19="","",IF(D19="","⚠ Falta estado",IF(AND(OR(D19="Ausente",D19="Medio día"),I19=""),"⚠ Falta motivo",IF(AND(OR(D19="Ausente",D19="Medio día"),J19=""),"⚠ Falta explicación",IF(D19="Ausente","✔ Ausencia justificada",IF(OR(E19="",F19=""),"⚠ Falta hora de entrada/salida",IF(K19="","⚠ Falta resumen del día",IF(N(L19)&lt;N(H19)-0.01,"⚠ Faltan "&amp;TEXT(N(H19)-N(L19),"0.0")&amp;" h por reportar","✔ OK"))))))))</f>
        <v/>
      </c>
    </row>
    <row r="20" customFormat="false" ht="15" hidden="false" customHeight="false" outlineLevel="0" collapsed="false">
      <c r="A20" s="17"/>
      <c r="B20" s="18"/>
      <c r="C20" s="13" t="str">
        <f aca="false">IF(B20="","",IFERROR(INDEX(Personal!$C$5:$C$104,MATCH(B20,Personal!$B$5:$B$104,0)),""))</f>
        <v/>
      </c>
      <c r="D20" s="18"/>
      <c r="E20" s="19"/>
      <c r="F20" s="19"/>
      <c r="G20" s="20"/>
      <c r="H20" s="16" t="str">
        <f aca="false">IF(OR(E20="",F20=""),"",ROUND(MOD(F20-E20,1)*24-N(G20),2))</f>
        <v/>
      </c>
      <c r="I20" s="18"/>
      <c r="J20" s="18"/>
      <c r="K20" s="18"/>
      <c r="L20" s="16" t="str">
        <f aca="false">IF(OR(A20="",B20=""),"",SUMIFS('Registro por hora'!$H$5:$H$2004,'Registro por hora'!$A$5:$A$2004,A20,'Registro por hora'!$B$5:$B$2004,B20))</f>
        <v/>
      </c>
      <c r="M20" s="13" t="str">
        <f aca="false">IF(B20="","",IF(D20="","⚠ Falta estado",IF(AND(OR(D20="Ausente",D20="Medio día"),I20=""),"⚠ Falta motivo",IF(AND(OR(D20="Ausente",D20="Medio día"),J20=""),"⚠ Falta explicación",IF(D20="Ausente","✔ Ausencia justificada",IF(OR(E20="",F20=""),"⚠ Falta hora de entrada/salida",IF(K20="","⚠ Falta resumen del día",IF(N(L20)&lt;N(H20)-0.01,"⚠ Faltan "&amp;TEXT(N(H20)-N(L20),"0.0")&amp;" h por reportar","✔ OK"))))))))</f>
        <v/>
      </c>
    </row>
    <row r="21" customFormat="false" ht="15" hidden="false" customHeight="false" outlineLevel="0" collapsed="false">
      <c r="A21" s="17"/>
      <c r="B21" s="18"/>
      <c r="C21" s="13" t="str">
        <f aca="false">IF(B21="","",IFERROR(INDEX(Personal!$C$5:$C$104,MATCH(B21,Personal!$B$5:$B$104,0)),""))</f>
        <v/>
      </c>
      <c r="D21" s="18"/>
      <c r="E21" s="19"/>
      <c r="F21" s="19"/>
      <c r="G21" s="20"/>
      <c r="H21" s="16" t="str">
        <f aca="false">IF(OR(E21="",F21=""),"",ROUND(MOD(F21-E21,1)*24-N(G21),2))</f>
        <v/>
      </c>
      <c r="I21" s="18"/>
      <c r="J21" s="18"/>
      <c r="K21" s="18"/>
      <c r="L21" s="16" t="str">
        <f aca="false">IF(OR(A21="",B21=""),"",SUMIFS('Registro por hora'!$H$5:$H$2004,'Registro por hora'!$A$5:$A$2004,A21,'Registro por hora'!$B$5:$B$2004,B21))</f>
        <v/>
      </c>
      <c r="M21" s="13" t="str">
        <f aca="false">IF(B21="","",IF(D21="","⚠ Falta estado",IF(AND(OR(D21="Ausente",D21="Medio día"),I21=""),"⚠ Falta motivo",IF(AND(OR(D21="Ausente",D21="Medio día"),J21=""),"⚠ Falta explicación",IF(D21="Ausente","✔ Ausencia justificada",IF(OR(E21="",F21=""),"⚠ Falta hora de entrada/salida",IF(K21="","⚠ Falta resumen del día",IF(N(L21)&lt;N(H21)-0.01,"⚠ Faltan "&amp;TEXT(N(H21)-N(L21),"0.0")&amp;" h por reportar","✔ OK"))))))))</f>
        <v/>
      </c>
    </row>
    <row r="22" customFormat="false" ht="15" hidden="false" customHeight="false" outlineLevel="0" collapsed="false">
      <c r="A22" s="17"/>
      <c r="B22" s="18"/>
      <c r="C22" s="13" t="str">
        <f aca="false">IF(B22="","",IFERROR(INDEX(Personal!$C$5:$C$104,MATCH(B22,Personal!$B$5:$B$104,0)),""))</f>
        <v/>
      </c>
      <c r="D22" s="18"/>
      <c r="E22" s="19"/>
      <c r="F22" s="19"/>
      <c r="G22" s="20"/>
      <c r="H22" s="16" t="str">
        <f aca="false">IF(OR(E22="",F22=""),"",ROUND(MOD(F22-E22,1)*24-N(G22),2))</f>
        <v/>
      </c>
      <c r="I22" s="18"/>
      <c r="J22" s="18"/>
      <c r="K22" s="18"/>
      <c r="L22" s="16" t="str">
        <f aca="false">IF(OR(A22="",B22=""),"",SUMIFS('Registro por hora'!$H$5:$H$2004,'Registro por hora'!$A$5:$A$2004,A22,'Registro por hora'!$B$5:$B$2004,B22))</f>
        <v/>
      </c>
      <c r="M22" s="13" t="str">
        <f aca="false">IF(B22="","",IF(D22="","⚠ Falta estado",IF(AND(OR(D22="Ausente",D22="Medio día"),I22=""),"⚠ Falta motivo",IF(AND(OR(D22="Ausente",D22="Medio día"),J22=""),"⚠ Falta explicación",IF(D22="Ausente","✔ Ausencia justificada",IF(OR(E22="",F22=""),"⚠ Falta hora de entrada/salida",IF(K22="","⚠ Falta resumen del día",IF(N(L22)&lt;N(H22)-0.01,"⚠ Faltan "&amp;TEXT(N(H22)-N(L22),"0.0")&amp;" h por reportar","✔ OK"))))))))</f>
        <v/>
      </c>
    </row>
    <row r="23" customFormat="false" ht="15" hidden="false" customHeight="false" outlineLevel="0" collapsed="false">
      <c r="A23" s="17"/>
      <c r="B23" s="18"/>
      <c r="C23" s="13" t="str">
        <f aca="false">IF(B23="","",IFERROR(INDEX(Personal!$C$5:$C$104,MATCH(B23,Personal!$B$5:$B$104,0)),""))</f>
        <v/>
      </c>
      <c r="D23" s="18"/>
      <c r="E23" s="19"/>
      <c r="F23" s="19"/>
      <c r="G23" s="20"/>
      <c r="H23" s="16" t="str">
        <f aca="false">IF(OR(E23="",F23=""),"",ROUND(MOD(F23-E23,1)*24-N(G23),2))</f>
        <v/>
      </c>
      <c r="I23" s="18"/>
      <c r="J23" s="18"/>
      <c r="K23" s="18"/>
      <c r="L23" s="16" t="str">
        <f aca="false">IF(OR(A23="",B23=""),"",SUMIFS('Registro por hora'!$H$5:$H$2004,'Registro por hora'!$A$5:$A$2004,A23,'Registro por hora'!$B$5:$B$2004,B23))</f>
        <v/>
      </c>
      <c r="M23" s="13" t="str">
        <f aca="false">IF(B23="","",IF(D23="","⚠ Falta estado",IF(AND(OR(D23="Ausente",D23="Medio día"),I23=""),"⚠ Falta motivo",IF(AND(OR(D23="Ausente",D23="Medio día"),J23=""),"⚠ Falta explicación",IF(D23="Ausente","✔ Ausencia justificada",IF(OR(E23="",F23=""),"⚠ Falta hora de entrada/salida",IF(K23="","⚠ Falta resumen del día",IF(N(L23)&lt;N(H23)-0.01,"⚠ Faltan "&amp;TEXT(N(H23)-N(L23),"0.0")&amp;" h por reportar","✔ OK"))))))))</f>
        <v/>
      </c>
    </row>
    <row r="24" customFormat="false" ht="15" hidden="false" customHeight="false" outlineLevel="0" collapsed="false">
      <c r="A24" s="17"/>
      <c r="B24" s="18"/>
      <c r="C24" s="13" t="str">
        <f aca="false">IF(B24="","",IFERROR(INDEX(Personal!$C$5:$C$104,MATCH(B24,Personal!$B$5:$B$104,0)),""))</f>
        <v/>
      </c>
      <c r="D24" s="18"/>
      <c r="E24" s="19"/>
      <c r="F24" s="19"/>
      <c r="G24" s="20"/>
      <c r="H24" s="16" t="str">
        <f aca="false">IF(OR(E24="",F24=""),"",ROUND(MOD(F24-E24,1)*24-N(G24),2))</f>
        <v/>
      </c>
      <c r="I24" s="18"/>
      <c r="J24" s="18"/>
      <c r="K24" s="18"/>
      <c r="L24" s="16" t="str">
        <f aca="false">IF(OR(A24="",B24=""),"",SUMIFS('Registro por hora'!$H$5:$H$2004,'Registro por hora'!$A$5:$A$2004,A24,'Registro por hora'!$B$5:$B$2004,B24))</f>
        <v/>
      </c>
      <c r="M24" s="13" t="str">
        <f aca="false">IF(B24="","",IF(D24="","⚠ Falta estado",IF(AND(OR(D24="Ausente",D24="Medio día"),I24=""),"⚠ Falta motivo",IF(AND(OR(D24="Ausente",D24="Medio día"),J24=""),"⚠ Falta explicación",IF(D24="Ausente","✔ Ausencia justificada",IF(OR(E24="",F24=""),"⚠ Falta hora de entrada/salida",IF(K24="","⚠ Falta resumen del día",IF(N(L24)&lt;N(H24)-0.01,"⚠ Faltan "&amp;TEXT(N(H24)-N(L24),"0.0")&amp;" h por reportar","✔ OK"))))))))</f>
        <v/>
      </c>
    </row>
    <row r="25" customFormat="false" ht="15" hidden="false" customHeight="false" outlineLevel="0" collapsed="false">
      <c r="A25" s="17"/>
      <c r="B25" s="18"/>
      <c r="C25" s="13" t="str">
        <f aca="false">IF(B25="","",IFERROR(INDEX(Personal!$C$5:$C$104,MATCH(B25,Personal!$B$5:$B$104,0)),""))</f>
        <v/>
      </c>
      <c r="D25" s="18"/>
      <c r="E25" s="19"/>
      <c r="F25" s="19"/>
      <c r="G25" s="20"/>
      <c r="H25" s="16" t="str">
        <f aca="false">IF(OR(E25="",F25=""),"",ROUND(MOD(F25-E25,1)*24-N(G25),2))</f>
        <v/>
      </c>
      <c r="I25" s="18"/>
      <c r="J25" s="18"/>
      <c r="K25" s="18"/>
      <c r="L25" s="16" t="str">
        <f aca="false">IF(OR(A25="",B25=""),"",SUMIFS('Registro por hora'!$H$5:$H$2004,'Registro por hora'!$A$5:$A$2004,A25,'Registro por hora'!$B$5:$B$2004,B25))</f>
        <v/>
      </c>
      <c r="M25" s="13" t="str">
        <f aca="false">IF(B25="","",IF(D25="","⚠ Falta estado",IF(AND(OR(D25="Ausente",D25="Medio día"),I25=""),"⚠ Falta motivo",IF(AND(OR(D25="Ausente",D25="Medio día"),J25=""),"⚠ Falta explicación",IF(D25="Ausente","✔ Ausencia justificada",IF(OR(E25="",F25=""),"⚠ Falta hora de entrada/salida",IF(K25="","⚠ Falta resumen del día",IF(N(L25)&lt;N(H25)-0.01,"⚠ Faltan "&amp;TEXT(N(H25)-N(L25),"0.0")&amp;" h por reportar","✔ OK"))))))))</f>
        <v/>
      </c>
    </row>
    <row r="26" customFormat="false" ht="15" hidden="false" customHeight="false" outlineLevel="0" collapsed="false">
      <c r="A26" s="17"/>
      <c r="B26" s="18"/>
      <c r="C26" s="13" t="str">
        <f aca="false">IF(B26="","",IFERROR(INDEX(Personal!$C$5:$C$104,MATCH(B26,Personal!$B$5:$B$104,0)),""))</f>
        <v/>
      </c>
      <c r="D26" s="18"/>
      <c r="E26" s="19"/>
      <c r="F26" s="19"/>
      <c r="G26" s="20"/>
      <c r="H26" s="16" t="str">
        <f aca="false">IF(OR(E26="",F26=""),"",ROUND(MOD(F26-E26,1)*24-N(G26),2))</f>
        <v/>
      </c>
      <c r="I26" s="18"/>
      <c r="J26" s="18"/>
      <c r="K26" s="18"/>
      <c r="L26" s="16" t="str">
        <f aca="false">IF(OR(A26="",B26=""),"",SUMIFS('Registro por hora'!$H$5:$H$2004,'Registro por hora'!$A$5:$A$2004,A26,'Registro por hora'!$B$5:$B$2004,B26))</f>
        <v/>
      </c>
      <c r="M26" s="13" t="str">
        <f aca="false">IF(B26="","",IF(D26="","⚠ Falta estado",IF(AND(OR(D26="Ausente",D26="Medio día"),I26=""),"⚠ Falta motivo",IF(AND(OR(D26="Ausente",D26="Medio día"),J26=""),"⚠ Falta explicación",IF(D26="Ausente","✔ Ausencia justificada",IF(OR(E26="",F26=""),"⚠ Falta hora de entrada/salida",IF(K26="","⚠ Falta resumen del día",IF(N(L26)&lt;N(H26)-0.01,"⚠ Faltan "&amp;TEXT(N(H26)-N(L26),"0.0")&amp;" h por reportar","✔ OK"))))))))</f>
        <v/>
      </c>
    </row>
    <row r="27" customFormat="false" ht="15" hidden="false" customHeight="false" outlineLevel="0" collapsed="false">
      <c r="A27" s="17"/>
      <c r="B27" s="18"/>
      <c r="C27" s="13" t="str">
        <f aca="false">IF(B27="","",IFERROR(INDEX(Personal!$C$5:$C$104,MATCH(B27,Personal!$B$5:$B$104,0)),""))</f>
        <v/>
      </c>
      <c r="D27" s="18"/>
      <c r="E27" s="19"/>
      <c r="F27" s="19"/>
      <c r="G27" s="20"/>
      <c r="H27" s="16" t="str">
        <f aca="false">IF(OR(E27="",F27=""),"",ROUND(MOD(F27-E27,1)*24-N(G27),2))</f>
        <v/>
      </c>
      <c r="I27" s="18"/>
      <c r="J27" s="18"/>
      <c r="K27" s="18"/>
      <c r="L27" s="16" t="str">
        <f aca="false">IF(OR(A27="",B27=""),"",SUMIFS('Registro por hora'!$H$5:$H$2004,'Registro por hora'!$A$5:$A$2004,A27,'Registro por hora'!$B$5:$B$2004,B27))</f>
        <v/>
      </c>
      <c r="M27" s="13" t="str">
        <f aca="false">IF(B27="","",IF(D27="","⚠ Falta estado",IF(AND(OR(D27="Ausente",D27="Medio día"),I27=""),"⚠ Falta motivo",IF(AND(OR(D27="Ausente",D27="Medio día"),J27=""),"⚠ Falta explicación",IF(D27="Ausente","✔ Ausencia justificada",IF(OR(E27="",F27=""),"⚠ Falta hora de entrada/salida",IF(K27="","⚠ Falta resumen del día",IF(N(L27)&lt;N(H27)-0.01,"⚠ Faltan "&amp;TEXT(N(H27)-N(L27),"0.0")&amp;" h por reportar","✔ OK"))))))))</f>
        <v/>
      </c>
    </row>
    <row r="28" customFormat="false" ht="15" hidden="false" customHeight="false" outlineLevel="0" collapsed="false">
      <c r="A28" s="17"/>
      <c r="B28" s="18"/>
      <c r="C28" s="13" t="str">
        <f aca="false">IF(B28="","",IFERROR(INDEX(Personal!$C$5:$C$104,MATCH(B28,Personal!$B$5:$B$104,0)),""))</f>
        <v/>
      </c>
      <c r="D28" s="18"/>
      <c r="E28" s="19"/>
      <c r="F28" s="19"/>
      <c r="G28" s="20"/>
      <c r="H28" s="16" t="str">
        <f aca="false">IF(OR(E28="",F28=""),"",ROUND(MOD(F28-E28,1)*24-N(G28),2))</f>
        <v/>
      </c>
      <c r="I28" s="18"/>
      <c r="J28" s="18"/>
      <c r="K28" s="18"/>
      <c r="L28" s="16" t="str">
        <f aca="false">IF(OR(A28="",B28=""),"",SUMIFS('Registro por hora'!$H$5:$H$2004,'Registro por hora'!$A$5:$A$2004,A28,'Registro por hora'!$B$5:$B$2004,B28))</f>
        <v/>
      </c>
      <c r="M28" s="13" t="str">
        <f aca="false">IF(B28="","",IF(D28="","⚠ Falta estado",IF(AND(OR(D28="Ausente",D28="Medio día"),I28=""),"⚠ Falta motivo",IF(AND(OR(D28="Ausente",D28="Medio día"),J28=""),"⚠ Falta explicación",IF(D28="Ausente","✔ Ausencia justificada",IF(OR(E28="",F28=""),"⚠ Falta hora de entrada/salida",IF(K28="","⚠ Falta resumen del día",IF(N(L28)&lt;N(H28)-0.01,"⚠ Faltan "&amp;TEXT(N(H28)-N(L28),"0.0")&amp;" h por reportar","✔ OK"))))))))</f>
        <v/>
      </c>
    </row>
    <row r="29" customFormat="false" ht="15" hidden="false" customHeight="false" outlineLevel="0" collapsed="false">
      <c r="A29" s="17"/>
      <c r="B29" s="18"/>
      <c r="C29" s="13" t="str">
        <f aca="false">IF(B29="","",IFERROR(INDEX(Personal!$C$5:$C$104,MATCH(B29,Personal!$B$5:$B$104,0)),""))</f>
        <v/>
      </c>
      <c r="D29" s="18"/>
      <c r="E29" s="19"/>
      <c r="F29" s="19"/>
      <c r="G29" s="20"/>
      <c r="H29" s="16" t="str">
        <f aca="false">IF(OR(E29="",F29=""),"",ROUND(MOD(F29-E29,1)*24-N(G29),2))</f>
        <v/>
      </c>
      <c r="I29" s="18"/>
      <c r="J29" s="18"/>
      <c r="K29" s="18"/>
      <c r="L29" s="16" t="str">
        <f aca="false">IF(OR(A29="",B29=""),"",SUMIFS('Registro por hora'!$H$5:$H$2004,'Registro por hora'!$A$5:$A$2004,A29,'Registro por hora'!$B$5:$B$2004,B29))</f>
        <v/>
      </c>
      <c r="M29" s="13" t="str">
        <f aca="false">IF(B29="","",IF(D29="","⚠ Falta estado",IF(AND(OR(D29="Ausente",D29="Medio día"),I29=""),"⚠ Falta motivo",IF(AND(OR(D29="Ausente",D29="Medio día"),J29=""),"⚠ Falta explicación",IF(D29="Ausente","✔ Ausencia justificada",IF(OR(E29="",F29=""),"⚠ Falta hora de entrada/salida",IF(K29="","⚠ Falta resumen del día",IF(N(L29)&lt;N(H29)-0.01,"⚠ Faltan "&amp;TEXT(N(H29)-N(L29),"0.0")&amp;" h por reportar","✔ OK"))))))))</f>
        <v/>
      </c>
    </row>
    <row r="30" customFormat="false" ht="15" hidden="false" customHeight="false" outlineLevel="0" collapsed="false">
      <c r="A30" s="17"/>
      <c r="B30" s="18"/>
      <c r="C30" s="13" t="str">
        <f aca="false">IF(B30="","",IFERROR(INDEX(Personal!$C$5:$C$104,MATCH(B30,Personal!$B$5:$B$104,0)),""))</f>
        <v/>
      </c>
      <c r="D30" s="18"/>
      <c r="E30" s="19"/>
      <c r="F30" s="19"/>
      <c r="G30" s="20"/>
      <c r="H30" s="16" t="str">
        <f aca="false">IF(OR(E30="",F30=""),"",ROUND(MOD(F30-E30,1)*24-N(G30),2))</f>
        <v/>
      </c>
      <c r="I30" s="18"/>
      <c r="J30" s="18"/>
      <c r="K30" s="18"/>
      <c r="L30" s="16" t="str">
        <f aca="false">IF(OR(A30="",B30=""),"",SUMIFS('Registro por hora'!$H$5:$H$2004,'Registro por hora'!$A$5:$A$2004,A30,'Registro por hora'!$B$5:$B$2004,B30))</f>
        <v/>
      </c>
      <c r="M30" s="13" t="str">
        <f aca="false">IF(B30="","",IF(D30="","⚠ Falta estado",IF(AND(OR(D30="Ausente",D30="Medio día"),I30=""),"⚠ Falta motivo",IF(AND(OR(D30="Ausente",D30="Medio día"),J30=""),"⚠ Falta explicación",IF(D30="Ausente","✔ Ausencia justificada",IF(OR(E30="",F30=""),"⚠ Falta hora de entrada/salida",IF(K30="","⚠ Falta resumen del día",IF(N(L30)&lt;N(H30)-0.01,"⚠ Faltan "&amp;TEXT(N(H30)-N(L30),"0.0")&amp;" h por reportar","✔ OK"))))))))</f>
        <v/>
      </c>
    </row>
    <row r="31" customFormat="false" ht="15" hidden="false" customHeight="false" outlineLevel="0" collapsed="false">
      <c r="A31" s="17"/>
      <c r="B31" s="18"/>
      <c r="C31" s="13" t="str">
        <f aca="false">IF(B31="","",IFERROR(INDEX(Personal!$C$5:$C$104,MATCH(B31,Personal!$B$5:$B$104,0)),""))</f>
        <v/>
      </c>
      <c r="D31" s="18"/>
      <c r="E31" s="19"/>
      <c r="F31" s="19"/>
      <c r="G31" s="20"/>
      <c r="H31" s="16" t="str">
        <f aca="false">IF(OR(E31="",F31=""),"",ROUND(MOD(F31-E31,1)*24-N(G31),2))</f>
        <v/>
      </c>
      <c r="I31" s="18"/>
      <c r="J31" s="18"/>
      <c r="K31" s="18"/>
      <c r="L31" s="16" t="str">
        <f aca="false">IF(OR(A31="",B31=""),"",SUMIFS('Registro por hora'!$H$5:$H$2004,'Registro por hora'!$A$5:$A$2004,A31,'Registro por hora'!$B$5:$B$2004,B31))</f>
        <v/>
      </c>
      <c r="M31" s="13" t="str">
        <f aca="false">IF(B31="","",IF(D31="","⚠ Falta estado",IF(AND(OR(D31="Ausente",D31="Medio día"),I31=""),"⚠ Falta motivo",IF(AND(OR(D31="Ausente",D31="Medio día"),J31=""),"⚠ Falta explicación",IF(D31="Ausente","✔ Ausencia justificada",IF(OR(E31="",F31=""),"⚠ Falta hora de entrada/salida",IF(K31="","⚠ Falta resumen del día",IF(N(L31)&lt;N(H31)-0.01,"⚠ Faltan "&amp;TEXT(N(H31)-N(L31),"0.0")&amp;" h por reportar","✔ OK"))))))))</f>
        <v/>
      </c>
    </row>
    <row r="32" customFormat="false" ht="15" hidden="false" customHeight="false" outlineLevel="0" collapsed="false">
      <c r="A32" s="17"/>
      <c r="B32" s="18"/>
      <c r="C32" s="13" t="str">
        <f aca="false">IF(B32="","",IFERROR(INDEX(Personal!$C$5:$C$104,MATCH(B32,Personal!$B$5:$B$104,0)),""))</f>
        <v/>
      </c>
      <c r="D32" s="18"/>
      <c r="E32" s="19"/>
      <c r="F32" s="19"/>
      <c r="G32" s="20"/>
      <c r="H32" s="16" t="str">
        <f aca="false">IF(OR(E32="",F32=""),"",ROUND(MOD(F32-E32,1)*24-N(G32),2))</f>
        <v/>
      </c>
      <c r="I32" s="18"/>
      <c r="J32" s="18"/>
      <c r="K32" s="18"/>
      <c r="L32" s="16" t="str">
        <f aca="false">IF(OR(A32="",B32=""),"",SUMIFS('Registro por hora'!$H$5:$H$2004,'Registro por hora'!$A$5:$A$2004,A32,'Registro por hora'!$B$5:$B$2004,B32))</f>
        <v/>
      </c>
      <c r="M32" s="13" t="str">
        <f aca="false">IF(B32="","",IF(D32="","⚠ Falta estado",IF(AND(OR(D32="Ausente",D32="Medio día"),I32=""),"⚠ Falta motivo",IF(AND(OR(D32="Ausente",D32="Medio día"),J32=""),"⚠ Falta explicación",IF(D32="Ausente","✔ Ausencia justificada",IF(OR(E32="",F32=""),"⚠ Falta hora de entrada/salida",IF(K32="","⚠ Falta resumen del día",IF(N(L32)&lt;N(H32)-0.01,"⚠ Faltan "&amp;TEXT(N(H32)-N(L32),"0.0")&amp;" h por reportar","✔ OK"))))))))</f>
        <v/>
      </c>
    </row>
    <row r="33" customFormat="false" ht="15" hidden="false" customHeight="false" outlineLevel="0" collapsed="false">
      <c r="A33" s="17"/>
      <c r="B33" s="18"/>
      <c r="C33" s="13" t="str">
        <f aca="false">IF(B33="","",IFERROR(INDEX(Personal!$C$5:$C$104,MATCH(B33,Personal!$B$5:$B$104,0)),""))</f>
        <v/>
      </c>
      <c r="D33" s="18"/>
      <c r="E33" s="19"/>
      <c r="F33" s="19"/>
      <c r="G33" s="20"/>
      <c r="H33" s="16" t="str">
        <f aca="false">IF(OR(E33="",F33=""),"",ROUND(MOD(F33-E33,1)*24-N(G33),2))</f>
        <v/>
      </c>
      <c r="I33" s="18"/>
      <c r="J33" s="18"/>
      <c r="K33" s="18"/>
      <c r="L33" s="16" t="str">
        <f aca="false">IF(OR(A33="",B33=""),"",SUMIFS('Registro por hora'!$H$5:$H$2004,'Registro por hora'!$A$5:$A$2004,A33,'Registro por hora'!$B$5:$B$2004,B33))</f>
        <v/>
      </c>
      <c r="M33" s="13" t="str">
        <f aca="false">IF(B33="","",IF(D33="","⚠ Falta estado",IF(AND(OR(D33="Ausente",D33="Medio día"),I33=""),"⚠ Falta motivo",IF(AND(OR(D33="Ausente",D33="Medio día"),J33=""),"⚠ Falta explicación",IF(D33="Ausente","✔ Ausencia justificada",IF(OR(E33="",F33=""),"⚠ Falta hora de entrada/salida",IF(K33="","⚠ Falta resumen del día",IF(N(L33)&lt;N(H33)-0.01,"⚠ Faltan "&amp;TEXT(N(H33)-N(L33),"0.0")&amp;" h por reportar","✔ OK"))))))))</f>
        <v/>
      </c>
    </row>
    <row r="34" customFormat="false" ht="15" hidden="false" customHeight="false" outlineLevel="0" collapsed="false">
      <c r="A34" s="17"/>
      <c r="B34" s="18"/>
      <c r="C34" s="13" t="str">
        <f aca="false">IF(B34="","",IFERROR(INDEX(Personal!$C$5:$C$104,MATCH(B34,Personal!$B$5:$B$104,0)),""))</f>
        <v/>
      </c>
      <c r="D34" s="18"/>
      <c r="E34" s="19"/>
      <c r="F34" s="19"/>
      <c r="G34" s="20"/>
      <c r="H34" s="16" t="str">
        <f aca="false">IF(OR(E34="",F34=""),"",ROUND(MOD(F34-E34,1)*24-N(G34),2))</f>
        <v/>
      </c>
      <c r="I34" s="18"/>
      <c r="J34" s="18"/>
      <c r="K34" s="18"/>
      <c r="L34" s="16" t="str">
        <f aca="false">IF(OR(A34="",B34=""),"",SUMIFS('Registro por hora'!$H$5:$H$2004,'Registro por hora'!$A$5:$A$2004,A34,'Registro por hora'!$B$5:$B$2004,B34))</f>
        <v/>
      </c>
      <c r="M34" s="13" t="str">
        <f aca="false">IF(B34="","",IF(D34="","⚠ Falta estado",IF(AND(OR(D34="Ausente",D34="Medio día"),I34=""),"⚠ Falta motivo",IF(AND(OR(D34="Ausente",D34="Medio día"),J34=""),"⚠ Falta explicación",IF(D34="Ausente","✔ Ausencia justificada",IF(OR(E34="",F34=""),"⚠ Falta hora de entrada/salida",IF(K34="","⚠ Falta resumen del día",IF(N(L34)&lt;N(H34)-0.01,"⚠ Faltan "&amp;TEXT(N(H34)-N(L34),"0.0")&amp;" h por reportar","✔ OK"))))))))</f>
        <v/>
      </c>
    </row>
    <row r="35" customFormat="false" ht="15" hidden="false" customHeight="false" outlineLevel="0" collapsed="false">
      <c r="A35" s="17"/>
      <c r="B35" s="18"/>
      <c r="C35" s="13" t="str">
        <f aca="false">IF(B35="","",IFERROR(INDEX(Personal!$C$5:$C$104,MATCH(B35,Personal!$B$5:$B$104,0)),""))</f>
        <v/>
      </c>
      <c r="D35" s="18"/>
      <c r="E35" s="19"/>
      <c r="F35" s="19"/>
      <c r="G35" s="20"/>
      <c r="H35" s="16" t="str">
        <f aca="false">IF(OR(E35="",F35=""),"",ROUND(MOD(F35-E35,1)*24-N(G35),2))</f>
        <v/>
      </c>
      <c r="I35" s="18"/>
      <c r="J35" s="18"/>
      <c r="K35" s="18"/>
      <c r="L35" s="16" t="str">
        <f aca="false">IF(OR(A35="",B35=""),"",SUMIFS('Registro por hora'!$H$5:$H$2004,'Registro por hora'!$A$5:$A$2004,A35,'Registro por hora'!$B$5:$B$2004,B35))</f>
        <v/>
      </c>
      <c r="M35" s="13" t="str">
        <f aca="false">IF(B35="","",IF(D35="","⚠ Falta estado",IF(AND(OR(D35="Ausente",D35="Medio día"),I35=""),"⚠ Falta motivo",IF(AND(OR(D35="Ausente",D35="Medio día"),J35=""),"⚠ Falta explicación",IF(D35="Ausente","✔ Ausencia justificada",IF(OR(E35="",F35=""),"⚠ Falta hora de entrada/salida",IF(K35="","⚠ Falta resumen del día",IF(N(L35)&lt;N(H35)-0.01,"⚠ Faltan "&amp;TEXT(N(H35)-N(L35),"0.0")&amp;" h por reportar","✔ OK"))))))))</f>
        <v/>
      </c>
    </row>
    <row r="36" customFormat="false" ht="15" hidden="false" customHeight="false" outlineLevel="0" collapsed="false">
      <c r="A36" s="17"/>
      <c r="B36" s="18"/>
      <c r="C36" s="13" t="str">
        <f aca="false">IF(B36="","",IFERROR(INDEX(Personal!$C$5:$C$104,MATCH(B36,Personal!$B$5:$B$104,0)),""))</f>
        <v/>
      </c>
      <c r="D36" s="18"/>
      <c r="E36" s="19"/>
      <c r="F36" s="19"/>
      <c r="G36" s="20"/>
      <c r="H36" s="16" t="str">
        <f aca="false">IF(OR(E36="",F36=""),"",ROUND(MOD(F36-E36,1)*24-N(G36),2))</f>
        <v/>
      </c>
      <c r="I36" s="18"/>
      <c r="J36" s="18"/>
      <c r="K36" s="18"/>
      <c r="L36" s="16" t="str">
        <f aca="false">IF(OR(A36="",B36=""),"",SUMIFS('Registro por hora'!$H$5:$H$2004,'Registro por hora'!$A$5:$A$2004,A36,'Registro por hora'!$B$5:$B$2004,B36))</f>
        <v/>
      </c>
      <c r="M36" s="13" t="str">
        <f aca="false">IF(B36="","",IF(D36="","⚠ Falta estado",IF(AND(OR(D36="Ausente",D36="Medio día"),I36=""),"⚠ Falta motivo",IF(AND(OR(D36="Ausente",D36="Medio día"),J36=""),"⚠ Falta explicación",IF(D36="Ausente","✔ Ausencia justificada",IF(OR(E36="",F36=""),"⚠ Falta hora de entrada/salida",IF(K36="","⚠ Falta resumen del día",IF(N(L36)&lt;N(H36)-0.01,"⚠ Faltan "&amp;TEXT(N(H36)-N(L36),"0.0")&amp;" h por reportar","✔ OK"))))))))</f>
        <v/>
      </c>
    </row>
    <row r="37" customFormat="false" ht="15" hidden="false" customHeight="false" outlineLevel="0" collapsed="false">
      <c r="A37" s="17"/>
      <c r="B37" s="18"/>
      <c r="C37" s="13" t="str">
        <f aca="false">IF(B37="","",IFERROR(INDEX(Personal!$C$5:$C$104,MATCH(B37,Personal!$B$5:$B$104,0)),""))</f>
        <v/>
      </c>
      <c r="D37" s="18"/>
      <c r="E37" s="19"/>
      <c r="F37" s="19"/>
      <c r="G37" s="20"/>
      <c r="H37" s="16" t="str">
        <f aca="false">IF(OR(E37="",F37=""),"",ROUND(MOD(F37-E37,1)*24-N(G37),2))</f>
        <v/>
      </c>
      <c r="I37" s="18"/>
      <c r="J37" s="18"/>
      <c r="K37" s="18"/>
      <c r="L37" s="16" t="str">
        <f aca="false">IF(OR(A37="",B37=""),"",SUMIFS('Registro por hora'!$H$5:$H$2004,'Registro por hora'!$A$5:$A$2004,A37,'Registro por hora'!$B$5:$B$2004,B37))</f>
        <v/>
      </c>
      <c r="M37" s="13" t="str">
        <f aca="false">IF(B37="","",IF(D37="","⚠ Falta estado",IF(AND(OR(D37="Ausente",D37="Medio día"),I37=""),"⚠ Falta motivo",IF(AND(OR(D37="Ausente",D37="Medio día"),J37=""),"⚠ Falta explicación",IF(D37="Ausente","✔ Ausencia justificada",IF(OR(E37="",F37=""),"⚠ Falta hora de entrada/salida",IF(K37="","⚠ Falta resumen del día",IF(N(L37)&lt;N(H37)-0.01,"⚠ Faltan "&amp;TEXT(N(H37)-N(L37),"0.0")&amp;" h por reportar","✔ OK"))))))))</f>
        <v/>
      </c>
    </row>
    <row r="38" customFormat="false" ht="15" hidden="false" customHeight="false" outlineLevel="0" collapsed="false">
      <c r="A38" s="17"/>
      <c r="B38" s="18"/>
      <c r="C38" s="13" t="str">
        <f aca="false">IF(B38="","",IFERROR(INDEX(Personal!$C$5:$C$104,MATCH(B38,Personal!$B$5:$B$104,0)),""))</f>
        <v/>
      </c>
      <c r="D38" s="18"/>
      <c r="E38" s="19"/>
      <c r="F38" s="19"/>
      <c r="G38" s="20"/>
      <c r="H38" s="16" t="str">
        <f aca="false">IF(OR(E38="",F38=""),"",ROUND(MOD(F38-E38,1)*24-N(G38),2))</f>
        <v/>
      </c>
      <c r="I38" s="18"/>
      <c r="J38" s="18"/>
      <c r="K38" s="18"/>
      <c r="L38" s="16" t="str">
        <f aca="false">IF(OR(A38="",B38=""),"",SUMIFS('Registro por hora'!$H$5:$H$2004,'Registro por hora'!$A$5:$A$2004,A38,'Registro por hora'!$B$5:$B$2004,B38))</f>
        <v/>
      </c>
      <c r="M38" s="13" t="str">
        <f aca="false">IF(B38="","",IF(D38="","⚠ Falta estado",IF(AND(OR(D38="Ausente",D38="Medio día"),I38=""),"⚠ Falta motivo",IF(AND(OR(D38="Ausente",D38="Medio día"),J38=""),"⚠ Falta explicación",IF(D38="Ausente","✔ Ausencia justificada",IF(OR(E38="",F38=""),"⚠ Falta hora de entrada/salida",IF(K38="","⚠ Falta resumen del día",IF(N(L38)&lt;N(H38)-0.01,"⚠ Faltan "&amp;TEXT(N(H38)-N(L38),"0.0")&amp;" h por reportar","✔ OK"))))))))</f>
        <v/>
      </c>
    </row>
    <row r="39" customFormat="false" ht="15" hidden="false" customHeight="false" outlineLevel="0" collapsed="false">
      <c r="A39" s="17"/>
      <c r="B39" s="18"/>
      <c r="C39" s="13" t="str">
        <f aca="false">IF(B39="","",IFERROR(INDEX(Personal!$C$5:$C$104,MATCH(B39,Personal!$B$5:$B$104,0)),""))</f>
        <v/>
      </c>
      <c r="D39" s="18"/>
      <c r="E39" s="19"/>
      <c r="F39" s="19"/>
      <c r="G39" s="20"/>
      <c r="H39" s="16" t="str">
        <f aca="false">IF(OR(E39="",F39=""),"",ROUND(MOD(F39-E39,1)*24-N(G39),2))</f>
        <v/>
      </c>
      <c r="I39" s="18"/>
      <c r="J39" s="18"/>
      <c r="K39" s="18"/>
      <c r="L39" s="16" t="str">
        <f aca="false">IF(OR(A39="",B39=""),"",SUMIFS('Registro por hora'!$H$5:$H$2004,'Registro por hora'!$A$5:$A$2004,A39,'Registro por hora'!$B$5:$B$2004,B39))</f>
        <v/>
      </c>
      <c r="M39" s="13" t="str">
        <f aca="false">IF(B39="","",IF(D39="","⚠ Falta estado",IF(AND(OR(D39="Ausente",D39="Medio día"),I39=""),"⚠ Falta motivo",IF(AND(OR(D39="Ausente",D39="Medio día"),J39=""),"⚠ Falta explicación",IF(D39="Ausente","✔ Ausencia justificada",IF(OR(E39="",F39=""),"⚠ Falta hora de entrada/salida",IF(K39="","⚠ Falta resumen del día",IF(N(L39)&lt;N(H39)-0.01,"⚠ Faltan "&amp;TEXT(N(H39)-N(L39),"0.0")&amp;" h por reportar","✔ OK"))))))))</f>
        <v/>
      </c>
    </row>
    <row r="40" customFormat="false" ht="15" hidden="false" customHeight="false" outlineLevel="0" collapsed="false">
      <c r="A40" s="17"/>
      <c r="B40" s="18"/>
      <c r="C40" s="13" t="str">
        <f aca="false">IF(B40="","",IFERROR(INDEX(Personal!$C$5:$C$104,MATCH(B40,Personal!$B$5:$B$104,0)),""))</f>
        <v/>
      </c>
      <c r="D40" s="18"/>
      <c r="E40" s="19"/>
      <c r="F40" s="19"/>
      <c r="G40" s="20"/>
      <c r="H40" s="16" t="str">
        <f aca="false">IF(OR(E40="",F40=""),"",ROUND(MOD(F40-E40,1)*24-N(G40),2))</f>
        <v/>
      </c>
      <c r="I40" s="18"/>
      <c r="J40" s="18"/>
      <c r="K40" s="18"/>
      <c r="L40" s="16" t="str">
        <f aca="false">IF(OR(A40="",B40=""),"",SUMIFS('Registro por hora'!$H$5:$H$2004,'Registro por hora'!$A$5:$A$2004,A40,'Registro por hora'!$B$5:$B$2004,B40))</f>
        <v/>
      </c>
      <c r="M40" s="13" t="str">
        <f aca="false">IF(B40="","",IF(D40="","⚠ Falta estado",IF(AND(OR(D40="Ausente",D40="Medio día"),I40=""),"⚠ Falta motivo",IF(AND(OR(D40="Ausente",D40="Medio día"),J40=""),"⚠ Falta explicación",IF(D40="Ausente","✔ Ausencia justificada",IF(OR(E40="",F40=""),"⚠ Falta hora de entrada/salida",IF(K40="","⚠ Falta resumen del día",IF(N(L40)&lt;N(H40)-0.01,"⚠ Faltan "&amp;TEXT(N(H40)-N(L40),"0.0")&amp;" h por reportar","✔ OK"))))))))</f>
        <v/>
      </c>
    </row>
    <row r="41" customFormat="false" ht="15" hidden="false" customHeight="false" outlineLevel="0" collapsed="false">
      <c r="A41" s="17"/>
      <c r="B41" s="18"/>
      <c r="C41" s="13" t="str">
        <f aca="false">IF(B41="","",IFERROR(INDEX(Personal!$C$5:$C$104,MATCH(B41,Personal!$B$5:$B$104,0)),""))</f>
        <v/>
      </c>
      <c r="D41" s="18"/>
      <c r="E41" s="19"/>
      <c r="F41" s="19"/>
      <c r="G41" s="20"/>
      <c r="H41" s="16" t="str">
        <f aca="false">IF(OR(E41="",F41=""),"",ROUND(MOD(F41-E41,1)*24-N(G41),2))</f>
        <v/>
      </c>
      <c r="I41" s="18"/>
      <c r="J41" s="18"/>
      <c r="K41" s="18"/>
      <c r="L41" s="16" t="str">
        <f aca="false">IF(OR(A41="",B41=""),"",SUMIFS('Registro por hora'!$H$5:$H$2004,'Registro por hora'!$A$5:$A$2004,A41,'Registro por hora'!$B$5:$B$2004,B41))</f>
        <v/>
      </c>
      <c r="M41" s="13" t="str">
        <f aca="false">IF(B41="","",IF(D41="","⚠ Falta estado",IF(AND(OR(D41="Ausente",D41="Medio día"),I41=""),"⚠ Falta motivo",IF(AND(OR(D41="Ausente",D41="Medio día"),J41=""),"⚠ Falta explicación",IF(D41="Ausente","✔ Ausencia justificada",IF(OR(E41="",F41=""),"⚠ Falta hora de entrada/salida",IF(K41="","⚠ Falta resumen del día",IF(N(L41)&lt;N(H41)-0.01,"⚠ Faltan "&amp;TEXT(N(H41)-N(L41),"0.0")&amp;" h por reportar","✔ OK"))))))))</f>
        <v/>
      </c>
    </row>
    <row r="42" customFormat="false" ht="15" hidden="false" customHeight="false" outlineLevel="0" collapsed="false">
      <c r="A42" s="17"/>
      <c r="B42" s="18"/>
      <c r="C42" s="13" t="str">
        <f aca="false">IF(B42="","",IFERROR(INDEX(Personal!$C$5:$C$104,MATCH(B42,Personal!$B$5:$B$104,0)),""))</f>
        <v/>
      </c>
      <c r="D42" s="18"/>
      <c r="E42" s="19"/>
      <c r="F42" s="19"/>
      <c r="G42" s="20"/>
      <c r="H42" s="16" t="str">
        <f aca="false">IF(OR(E42="",F42=""),"",ROUND(MOD(F42-E42,1)*24-N(G42),2))</f>
        <v/>
      </c>
      <c r="I42" s="18"/>
      <c r="J42" s="18"/>
      <c r="K42" s="18"/>
      <c r="L42" s="16" t="str">
        <f aca="false">IF(OR(A42="",B42=""),"",SUMIFS('Registro por hora'!$H$5:$H$2004,'Registro por hora'!$A$5:$A$2004,A42,'Registro por hora'!$B$5:$B$2004,B42))</f>
        <v/>
      </c>
      <c r="M42" s="13" t="str">
        <f aca="false">IF(B42="","",IF(D42="","⚠ Falta estado",IF(AND(OR(D42="Ausente",D42="Medio día"),I42=""),"⚠ Falta motivo",IF(AND(OR(D42="Ausente",D42="Medio día"),J42=""),"⚠ Falta explicación",IF(D42="Ausente","✔ Ausencia justificada",IF(OR(E42="",F42=""),"⚠ Falta hora de entrada/salida",IF(K42="","⚠ Falta resumen del día",IF(N(L42)&lt;N(H42)-0.01,"⚠ Faltan "&amp;TEXT(N(H42)-N(L42),"0.0")&amp;" h por reportar","✔ OK"))))))))</f>
        <v/>
      </c>
    </row>
    <row r="43" customFormat="false" ht="15" hidden="false" customHeight="false" outlineLevel="0" collapsed="false">
      <c r="A43" s="17"/>
      <c r="B43" s="18"/>
      <c r="C43" s="13" t="str">
        <f aca="false">IF(B43="","",IFERROR(INDEX(Personal!$C$5:$C$104,MATCH(B43,Personal!$B$5:$B$104,0)),""))</f>
        <v/>
      </c>
      <c r="D43" s="18"/>
      <c r="E43" s="19"/>
      <c r="F43" s="19"/>
      <c r="G43" s="20"/>
      <c r="H43" s="16" t="str">
        <f aca="false">IF(OR(E43="",F43=""),"",ROUND(MOD(F43-E43,1)*24-N(G43),2))</f>
        <v/>
      </c>
      <c r="I43" s="18"/>
      <c r="J43" s="18"/>
      <c r="K43" s="18"/>
      <c r="L43" s="16" t="str">
        <f aca="false">IF(OR(A43="",B43=""),"",SUMIFS('Registro por hora'!$H$5:$H$2004,'Registro por hora'!$A$5:$A$2004,A43,'Registro por hora'!$B$5:$B$2004,B43))</f>
        <v/>
      </c>
      <c r="M43" s="13" t="str">
        <f aca="false">IF(B43="","",IF(D43="","⚠ Falta estado",IF(AND(OR(D43="Ausente",D43="Medio día"),I43=""),"⚠ Falta motivo",IF(AND(OR(D43="Ausente",D43="Medio día"),J43=""),"⚠ Falta explicación",IF(D43="Ausente","✔ Ausencia justificada",IF(OR(E43="",F43=""),"⚠ Falta hora de entrada/salida",IF(K43="","⚠ Falta resumen del día",IF(N(L43)&lt;N(H43)-0.01,"⚠ Faltan "&amp;TEXT(N(H43)-N(L43),"0.0")&amp;" h por reportar","✔ OK"))))))))</f>
        <v/>
      </c>
    </row>
    <row r="44" customFormat="false" ht="15" hidden="false" customHeight="false" outlineLevel="0" collapsed="false">
      <c r="A44" s="17"/>
      <c r="B44" s="18"/>
      <c r="C44" s="13" t="str">
        <f aca="false">IF(B44="","",IFERROR(INDEX(Personal!$C$5:$C$104,MATCH(B44,Personal!$B$5:$B$104,0)),""))</f>
        <v/>
      </c>
      <c r="D44" s="18"/>
      <c r="E44" s="19"/>
      <c r="F44" s="19"/>
      <c r="G44" s="20"/>
      <c r="H44" s="16" t="str">
        <f aca="false">IF(OR(E44="",F44=""),"",ROUND(MOD(F44-E44,1)*24-N(G44),2))</f>
        <v/>
      </c>
      <c r="I44" s="18"/>
      <c r="J44" s="18"/>
      <c r="K44" s="18"/>
      <c r="L44" s="16" t="str">
        <f aca="false">IF(OR(A44="",B44=""),"",SUMIFS('Registro por hora'!$H$5:$H$2004,'Registro por hora'!$A$5:$A$2004,A44,'Registro por hora'!$B$5:$B$2004,B44))</f>
        <v/>
      </c>
      <c r="M44" s="13" t="str">
        <f aca="false">IF(B44="","",IF(D44="","⚠ Falta estado",IF(AND(OR(D44="Ausente",D44="Medio día"),I44=""),"⚠ Falta motivo",IF(AND(OR(D44="Ausente",D44="Medio día"),J44=""),"⚠ Falta explicación",IF(D44="Ausente","✔ Ausencia justificada",IF(OR(E44="",F44=""),"⚠ Falta hora de entrada/salida",IF(K44="","⚠ Falta resumen del día",IF(N(L44)&lt;N(H44)-0.01,"⚠ Faltan "&amp;TEXT(N(H44)-N(L44),"0.0")&amp;" h por reportar","✔ OK"))))))))</f>
        <v/>
      </c>
    </row>
    <row r="45" customFormat="false" ht="15" hidden="false" customHeight="false" outlineLevel="0" collapsed="false">
      <c r="A45" s="17"/>
      <c r="B45" s="18"/>
      <c r="C45" s="13" t="str">
        <f aca="false">IF(B45="","",IFERROR(INDEX(Personal!$C$5:$C$104,MATCH(B45,Personal!$B$5:$B$104,0)),""))</f>
        <v/>
      </c>
      <c r="D45" s="18"/>
      <c r="E45" s="19"/>
      <c r="F45" s="19"/>
      <c r="G45" s="20"/>
      <c r="H45" s="16" t="str">
        <f aca="false">IF(OR(E45="",F45=""),"",ROUND(MOD(F45-E45,1)*24-N(G45),2))</f>
        <v/>
      </c>
      <c r="I45" s="18"/>
      <c r="J45" s="18"/>
      <c r="K45" s="18"/>
      <c r="L45" s="16" t="str">
        <f aca="false">IF(OR(A45="",B45=""),"",SUMIFS('Registro por hora'!$H$5:$H$2004,'Registro por hora'!$A$5:$A$2004,A45,'Registro por hora'!$B$5:$B$2004,B45))</f>
        <v/>
      </c>
      <c r="M45" s="13" t="str">
        <f aca="false">IF(B45="","",IF(D45="","⚠ Falta estado",IF(AND(OR(D45="Ausente",D45="Medio día"),I45=""),"⚠ Falta motivo",IF(AND(OR(D45="Ausente",D45="Medio día"),J45=""),"⚠ Falta explicación",IF(D45="Ausente","✔ Ausencia justificada",IF(OR(E45="",F45=""),"⚠ Falta hora de entrada/salida",IF(K45="","⚠ Falta resumen del día",IF(N(L45)&lt;N(H45)-0.01,"⚠ Faltan "&amp;TEXT(N(H45)-N(L45),"0.0")&amp;" h por reportar","✔ OK"))))))))</f>
        <v/>
      </c>
    </row>
    <row r="46" customFormat="false" ht="15" hidden="false" customHeight="false" outlineLevel="0" collapsed="false">
      <c r="A46" s="17"/>
      <c r="B46" s="18"/>
      <c r="C46" s="13" t="str">
        <f aca="false">IF(B46="","",IFERROR(INDEX(Personal!$C$5:$C$104,MATCH(B46,Personal!$B$5:$B$104,0)),""))</f>
        <v/>
      </c>
      <c r="D46" s="18"/>
      <c r="E46" s="19"/>
      <c r="F46" s="19"/>
      <c r="G46" s="20"/>
      <c r="H46" s="16" t="str">
        <f aca="false">IF(OR(E46="",F46=""),"",ROUND(MOD(F46-E46,1)*24-N(G46),2))</f>
        <v/>
      </c>
      <c r="I46" s="18"/>
      <c r="J46" s="18"/>
      <c r="K46" s="18"/>
      <c r="L46" s="16" t="str">
        <f aca="false">IF(OR(A46="",B46=""),"",SUMIFS('Registro por hora'!$H$5:$H$2004,'Registro por hora'!$A$5:$A$2004,A46,'Registro por hora'!$B$5:$B$2004,B46))</f>
        <v/>
      </c>
      <c r="M46" s="13" t="str">
        <f aca="false">IF(B46="","",IF(D46="","⚠ Falta estado",IF(AND(OR(D46="Ausente",D46="Medio día"),I46=""),"⚠ Falta motivo",IF(AND(OR(D46="Ausente",D46="Medio día"),J46=""),"⚠ Falta explicación",IF(D46="Ausente","✔ Ausencia justificada",IF(OR(E46="",F46=""),"⚠ Falta hora de entrada/salida",IF(K46="","⚠ Falta resumen del día",IF(N(L46)&lt;N(H46)-0.01,"⚠ Faltan "&amp;TEXT(N(H46)-N(L46),"0.0")&amp;" h por reportar","✔ OK"))))))))</f>
        <v/>
      </c>
    </row>
    <row r="47" customFormat="false" ht="15" hidden="false" customHeight="false" outlineLevel="0" collapsed="false">
      <c r="A47" s="17"/>
      <c r="B47" s="18"/>
      <c r="C47" s="13" t="str">
        <f aca="false">IF(B47="","",IFERROR(INDEX(Personal!$C$5:$C$104,MATCH(B47,Personal!$B$5:$B$104,0)),""))</f>
        <v/>
      </c>
      <c r="D47" s="18"/>
      <c r="E47" s="19"/>
      <c r="F47" s="19"/>
      <c r="G47" s="20"/>
      <c r="H47" s="16" t="str">
        <f aca="false">IF(OR(E47="",F47=""),"",ROUND(MOD(F47-E47,1)*24-N(G47),2))</f>
        <v/>
      </c>
      <c r="I47" s="18"/>
      <c r="J47" s="18"/>
      <c r="K47" s="18"/>
      <c r="L47" s="16" t="str">
        <f aca="false">IF(OR(A47="",B47=""),"",SUMIFS('Registro por hora'!$H$5:$H$2004,'Registro por hora'!$A$5:$A$2004,A47,'Registro por hora'!$B$5:$B$2004,B47))</f>
        <v/>
      </c>
      <c r="M47" s="13" t="str">
        <f aca="false">IF(B47="","",IF(D47="","⚠ Falta estado",IF(AND(OR(D47="Ausente",D47="Medio día"),I47=""),"⚠ Falta motivo",IF(AND(OR(D47="Ausente",D47="Medio día"),J47=""),"⚠ Falta explicación",IF(D47="Ausente","✔ Ausencia justificada",IF(OR(E47="",F47=""),"⚠ Falta hora de entrada/salida",IF(K47="","⚠ Falta resumen del día",IF(N(L47)&lt;N(H47)-0.01,"⚠ Faltan "&amp;TEXT(N(H47)-N(L47),"0.0")&amp;" h por reportar","✔ OK"))))))))</f>
        <v/>
      </c>
    </row>
    <row r="48" customFormat="false" ht="15" hidden="false" customHeight="false" outlineLevel="0" collapsed="false">
      <c r="A48" s="17"/>
      <c r="B48" s="18"/>
      <c r="C48" s="13" t="str">
        <f aca="false">IF(B48="","",IFERROR(INDEX(Personal!$C$5:$C$104,MATCH(B48,Personal!$B$5:$B$104,0)),""))</f>
        <v/>
      </c>
      <c r="D48" s="18"/>
      <c r="E48" s="19"/>
      <c r="F48" s="19"/>
      <c r="G48" s="20"/>
      <c r="H48" s="16" t="str">
        <f aca="false">IF(OR(E48="",F48=""),"",ROUND(MOD(F48-E48,1)*24-N(G48),2))</f>
        <v/>
      </c>
      <c r="I48" s="18"/>
      <c r="J48" s="18"/>
      <c r="K48" s="18"/>
      <c r="L48" s="16" t="str">
        <f aca="false">IF(OR(A48="",B48=""),"",SUMIFS('Registro por hora'!$H$5:$H$2004,'Registro por hora'!$A$5:$A$2004,A48,'Registro por hora'!$B$5:$B$2004,B48))</f>
        <v/>
      </c>
      <c r="M48" s="13" t="str">
        <f aca="false">IF(B48="","",IF(D48="","⚠ Falta estado",IF(AND(OR(D48="Ausente",D48="Medio día"),I48=""),"⚠ Falta motivo",IF(AND(OR(D48="Ausente",D48="Medio día"),J48=""),"⚠ Falta explicación",IF(D48="Ausente","✔ Ausencia justificada",IF(OR(E48="",F48=""),"⚠ Falta hora de entrada/salida",IF(K48="","⚠ Falta resumen del día",IF(N(L48)&lt;N(H48)-0.01,"⚠ Faltan "&amp;TEXT(N(H48)-N(L48),"0.0")&amp;" h por reportar","✔ OK"))))))))</f>
        <v/>
      </c>
    </row>
    <row r="49" customFormat="false" ht="15" hidden="false" customHeight="false" outlineLevel="0" collapsed="false">
      <c r="A49" s="17"/>
      <c r="B49" s="18"/>
      <c r="C49" s="13" t="str">
        <f aca="false">IF(B49="","",IFERROR(INDEX(Personal!$C$5:$C$104,MATCH(B49,Personal!$B$5:$B$104,0)),""))</f>
        <v/>
      </c>
      <c r="D49" s="18"/>
      <c r="E49" s="19"/>
      <c r="F49" s="19"/>
      <c r="G49" s="20"/>
      <c r="H49" s="16" t="str">
        <f aca="false">IF(OR(E49="",F49=""),"",ROUND(MOD(F49-E49,1)*24-N(G49),2))</f>
        <v/>
      </c>
      <c r="I49" s="18"/>
      <c r="J49" s="18"/>
      <c r="K49" s="18"/>
      <c r="L49" s="16" t="str">
        <f aca="false">IF(OR(A49="",B49=""),"",SUMIFS('Registro por hora'!$H$5:$H$2004,'Registro por hora'!$A$5:$A$2004,A49,'Registro por hora'!$B$5:$B$2004,B49))</f>
        <v/>
      </c>
      <c r="M49" s="13" t="str">
        <f aca="false">IF(B49="","",IF(D49="","⚠ Falta estado",IF(AND(OR(D49="Ausente",D49="Medio día"),I49=""),"⚠ Falta motivo",IF(AND(OR(D49="Ausente",D49="Medio día"),J49=""),"⚠ Falta explicación",IF(D49="Ausente","✔ Ausencia justificada",IF(OR(E49="",F49=""),"⚠ Falta hora de entrada/salida",IF(K49="","⚠ Falta resumen del día",IF(N(L49)&lt;N(H49)-0.01,"⚠ Faltan "&amp;TEXT(N(H49)-N(L49),"0.0")&amp;" h por reportar","✔ OK"))))))))</f>
        <v/>
      </c>
    </row>
    <row r="50" customFormat="false" ht="15" hidden="false" customHeight="false" outlineLevel="0" collapsed="false">
      <c r="A50" s="17"/>
      <c r="B50" s="18"/>
      <c r="C50" s="13" t="str">
        <f aca="false">IF(B50="","",IFERROR(INDEX(Personal!$C$5:$C$104,MATCH(B50,Personal!$B$5:$B$104,0)),""))</f>
        <v/>
      </c>
      <c r="D50" s="18"/>
      <c r="E50" s="19"/>
      <c r="F50" s="19"/>
      <c r="G50" s="20"/>
      <c r="H50" s="16" t="str">
        <f aca="false">IF(OR(E50="",F50=""),"",ROUND(MOD(F50-E50,1)*24-N(G50),2))</f>
        <v/>
      </c>
      <c r="I50" s="18"/>
      <c r="J50" s="18"/>
      <c r="K50" s="18"/>
      <c r="L50" s="16" t="str">
        <f aca="false">IF(OR(A50="",B50=""),"",SUMIFS('Registro por hora'!$H$5:$H$2004,'Registro por hora'!$A$5:$A$2004,A50,'Registro por hora'!$B$5:$B$2004,B50))</f>
        <v/>
      </c>
      <c r="M50" s="13" t="str">
        <f aca="false">IF(B50="","",IF(D50="","⚠ Falta estado",IF(AND(OR(D50="Ausente",D50="Medio día"),I50=""),"⚠ Falta motivo",IF(AND(OR(D50="Ausente",D50="Medio día"),J50=""),"⚠ Falta explicación",IF(D50="Ausente","✔ Ausencia justificada",IF(OR(E50="",F50=""),"⚠ Falta hora de entrada/salida",IF(K50="","⚠ Falta resumen del día",IF(N(L50)&lt;N(H50)-0.01,"⚠ Faltan "&amp;TEXT(N(H50)-N(L50),"0.0")&amp;" h por reportar","✔ OK"))))))))</f>
        <v/>
      </c>
    </row>
    <row r="51" customFormat="false" ht="15" hidden="false" customHeight="false" outlineLevel="0" collapsed="false">
      <c r="A51" s="17"/>
      <c r="B51" s="18"/>
      <c r="C51" s="13" t="str">
        <f aca="false">IF(B51="","",IFERROR(INDEX(Personal!$C$5:$C$104,MATCH(B51,Personal!$B$5:$B$104,0)),""))</f>
        <v/>
      </c>
      <c r="D51" s="18"/>
      <c r="E51" s="19"/>
      <c r="F51" s="19"/>
      <c r="G51" s="20"/>
      <c r="H51" s="16" t="str">
        <f aca="false">IF(OR(E51="",F51=""),"",ROUND(MOD(F51-E51,1)*24-N(G51),2))</f>
        <v/>
      </c>
      <c r="I51" s="18"/>
      <c r="J51" s="18"/>
      <c r="K51" s="18"/>
      <c r="L51" s="16" t="str">
        <f aca="false">IF(OR(A51="",B51=""),"",SUMIFS('Registro por hora'!$H$5:$H$2004,'Registro por hora'!$A$5:$A$2004,A51,'Registro por hora'!$B$5:$B$2004,B51))</f>
        <v/>
      </c>
      <c r="M51" s="13" t="str">
        <f aca="false">IF(B51="","",IF(D51="","⚠ Falta estado",IF(AND(OR(D51="Ausente",D51="Medio día"),I51=""),"⚠ Falta motivo",IF(AND(OR(D51="Ausente",D51="Medio día"),J51=""),"⚠ Falta explicación",IF(D51="Ausente","✔ Ausencia justificada",IF(OR(E51="",F51=""),"⚠ Falta hora de entrada/salida",IF(K51="","⚠ Falta resumen del día",IF(N(L51)&lt;N(H51)-0.01,"⚠ Faltan "&amp;TEXT(N(H51)-N(L51),"0.0")&amp;" h por reportar","✔ OK"))))))))</f>
        <v/>
      </c>
    </row>
    <row r="52" customFormat="false" ht="15" hidden="false" customHeight="false" outlineLevel="0" collapsed="false">
      <c r="A52" s="17"/>
      <c r="B52" s="18"/>
      <c r="C52" s="13" t="str">
        <f aca="false">IF(B52="","",IFERROR(INDEX(Personal!$C$5:$C$104,MATCH(B52,Personal!$B$5:$B$104,0)),""))</f>
        <v/>
      </c>
      <c r="D52" s="18"/>
      <c r="E52" s="19"/>
      <c r="F52" s="19"/>
      <c r="G52" s="20"/>
      <c r="H52" s="16" t="str">
        <f aca="false">IF(OR(E52="",F52=""),"",ROUND(MOD(F52-E52,1)*24-N(G52),2))</f>
        <v/>
      </c>
      <c r="I52" s="18"/>
      <c r="J52" s="18"/>
      <c r="K52" s="18"/>
      <c r="L52" s="16" t="str">
        <f aca="false">IF(OR(A52="",B52=""),"",SUMIFS('Registro por hora'!$H$5:$H$2004,'Registro por hora'!$A$5:$A$2004,A52,'Registro por hora'!$B$5:$B$2004,B52))</f>
        <v/>
      </c>
      <c r="M52" s="13" t="str">
        <f aca="false">IF(B52="","",IF(D52="","⚠ Falta estado",IF(AND(OR(D52="Ausente",D52="Medio día"),I52=""),"⚠ Falta motivo",IF(AND(OR(D52="Ausente",D52="Medio día"),J52=""),"⚠ Falta explicación",IF(D52="Ausente","✔ Ausencia justificada",IF(OR(E52="",F52=""),"⚠ Falta hora de entrada/salida",IF(K52="","⚠ Falta resumen del día",IF(N(L52)&lt;N(H52)-0.01,"⚠ Faltan "&amp;TEXT(N(H52)-N(L52),"0.0")&amp;" h por reportar","✔ OK"))))))))</f>
        <v/>
      </c>
    </row>
    <row r="53" customFormat="false" ht="15" hidden="false" customHeight="false" outlineLevel="0" collapsed="false">
      <c r="A53" s="17"/>
      <c r="B53" s="18"/>
      <c r="C53" s="13" t="str">
        <f aca="false">IF(B53="","",IFERROR(INDEX(Personal!$C$5:$C$104,MATCH(B53,Personal!$B$5:$B$104,0)),""))</f>
        <v/>
      </c>
      <c r="D53" s="18"/>
      <c r="E53" s="19"/>
      <c r="F53" s="19"/>
      <c r="G53" s="20"/>
      <c r="H53" s="16" t="str">
        <f aca="false">IF(OR(E53="",F53=""),"",ROUND(MOD(F53-E53,1)*24-N(G53),2))</f>
        <v/>
      </c>
      <c r="I53" s="18"/>
      <c r="J53" s="18"/>
      <c r="K53" s="18"/>
      <c r="L53" s="16" t="str">
        <f aca="false">IF(OR(A53="",B53=""),"",SUMIFS('Registro por hora'!$H$5:$H$2004,'Registro por hora'!$A$5:$A$2004,A53,'Registro por hora'!$B$5:$B$2004,B53))</f>
        <v/>
      </c>
      <c r="M53" s="13" t="str">
        <f aca="false">IF(B53="","",IF(D53="","⚠ Falta estado",IF(AND(OR(D53="Ausente",D53="Medio día"),I53=""),"⚠ Falta motivo",IF(AND(OR(D53="Ausente",D53="Medio día"),J53=""),"⚠ Falta explicación",IF(D53="Ausente","✔ Ausencia justificada",IF(OR(E53="",F53=""),"⚠ Falta hora de entrada/salida",IF(K53="","⚠ Falta resumen del día",IF(N(L53)&lt;N(H53)-0.01,"⚠ Faltan "&amp;TEXT(N(H53)-N(L53),"0.0")&amp;" h por reportar","✔ OK"))))))))</f>
        <v/>
      </c>
    </row>
    <row r="54" customFormat="false" ht="15" hidden="false" customHeight="false" outlineLevel="0" collapsed="false">
      <c r="A54" s="17"/>
      <c r="B54" s="18"/>
      <c r="C54" s="13" t="str">
        <f aca="false">IF(B54="","",IFERROR(INDEX(Personal!$C$5:$C$104,MATCH(B54,Personal!$B$5:$B$104,0)),""))</f>
        <v/>
      </c>
      <c r="D54" s="18"/>
      <c r="E54" s="19"/>
      <c r="F54" s="19"/>
      <c r="G54" s="20"/>
      <c r="H54" s="16" t="str">
        <f aca="false">IF(OR(E54="",F54=""),"",ROUND(MOD(F54-E54,1)*24-N(G54),2))</f>
        <v/>
      </c>
      <c r="I54" s="18"/>
      <c r="J54" s="18"/>
      <c r="K54" s="18"/>
      <c r="L54" s="16" t="str">
        <f aca="false">IF(OR(A54="",B54=""),"",SUMIFS('Registro por hora'!$H$5:$H$2004,'Registro por hora'!$A$5:$A$2004,A54,'Registro por hora'!$B$5:$B$2004,B54))</f>
        <v/>
      </c>
      <c r="M54" s="13" t="str">
        <f aca="false">IF(B54="","",IF(D54="","⚠ Falta estado",IF(AND(OR(D54="Ausente",D54="Medio día"),I54=""),"⚠ Falta motivo",IF(AND(OR(D54="Ausente",D54="Medio día"),J54=""),"⚠ Falta explicación",IF(D54="Ausente","✔ Ausencia justificada",IF(OR(E54="",F54=""),"⚠ Falta hora de entrada/salida",IF(K54="","⚠ Falta resumen del día",IF(N(L54)&lt;N(H54)-0.01,"⚠ Faltan "&amp;TEXT(N(H54)-N(L54),"0.0")&amp;" h por reportar","✔ OK"))))))))</f>
        <v/>
      </c>
    </row>
    <row r="55" customFormat="false" ht="15" hidden="false" customHeight="false" outlineLevel="0" collapsed="false">
      <c r="A55" s="17"/>
      <c r="B55" s="18"/>
      <c r="C55" s="13" t="str">
        <f aca="false">IF(B55="","",IFERROR(INDEX(Personal!$C$5:$C$104,MATCH(B55,Personal!$B$5:$B$104,0)),""))</f>
        <v/>
      </c>
      <c r="D55" s="18"/>
      <c r="E55" s="19"/>
      <c r="F55" s="19"/>
      <c r="G55" s="20"/>
      <c r="H55" s="16" t="str">
        <f aca="false">IF(OR(E55="",F55=""),"",ROUND(MOD(F55-E55,1)*24-N(G55),2))</f>
        <v/>
      </c>
      <c r="I55" s="18"/>
      <c r="J55" s="18"/>
      <c r="K55" s="18"/>
      <c r="L55" s="16" t="str">
        <f aca="false">IF(OR(A55="",B55=""),"",SUMIFS('Registro por hora'!$H$5:$H$2004,'Registro por hora'!$A$5:$A$2004,A55,'Registro por hora'!$B$5:$B$2004,B55))</f>
        <v/>
      </c>
      <c r="M55" s="13" t="str">
        <f aca="false">IF(B55="","",IF(D55="","⚠ Falta estado",IF(AND(OR(D55="Ausente",D55="Medio día"),I55=""),"⚠ Falta motivo",IF(AND(OR(D55="Ausente",D55="Medio día"),J55=""),"⚠ Falta explicación",IF(D55="Ausente","✔ Ausencia justificada",IF(OR(E55="",F55=""),"⚠ Falta hora de entrada/salida",IF(K55="","⚠ Falta resumen del día",IF(N(L55)&lt;N(H55)-0.01,"⚠ Faltan "&amp;TEXT(N(H55)-N(L55),"0.0")&amp;" h por reportar","✔ OK"))))))))</f>
        <v/>
      </c>
    </row>
    <row r="56" customFormat="false" ht="15" hidden="false" customHeight="false" outlineLevel="0" collapsed="false">
      <c r="A56" s="17"/>
      <c r="B56" s="18"/>
      <c r="C56" s="13" t="str">
        <f aca="false">IF(B56="","",IFERROR(INDEX(Personal!$C$5:$C$104,MATCH(B56,Personal!$B$5:$B$104,0)),""))</f>
        <v/>
      </c>
      <c r="D56" s="18"/>
      <c r="E56" s="19"/>
      <c r="F56" s="19"/>
      <c r="G56" s="20"/>
      <c r="H56" s="16" t="str">
        <f aca="false">IF(OR(E56="",F56=""),"",ROUND(MOD(F56-E56,1)*24-N(G56),2))</f>
        <v/>
      </c>
      <c r="I56" s="18"/>
      <c r="J56" s="18"/>
      <c r="K56" s="18"/>
      <c r="L56" s="16" t="str">
        <f aca="false">IF(OR(A56="",B56=""),"",SUMIFS('Registro por hora'!$H$5:$H$2004,'Registro por hora'!$A$5:$A$2004,A56,'Registro por hora'!$B$5:$B$2004,B56))</f>
        <v/>
      </c>
      <c r="M56" s="13" t="str">
        <f aca="false">IF(B56="","",IF(D56="","⚠ Falta estado",IF(AND(OR(D56="Ausente",D56="Medio día"),I56=""),"⚠ Falta motivo",IF(AND(OR(D56="Ausente",D56="Medio día"),J56=""),"⚠ Falta explicación",IF(D56="Ausente","✔ Ausencia justificada",IF(OR(E56="",F56=""),"⚠ Falta hora de entrada/salida",IF(K56="","⚠ Falta resumen del día",IF(N(L56)&lt;N(H56)-0.01,"⚠ Faltan "&amp;TEXT(N(H56)-N(L56),"0.0")&amp;" h por reportar","✔ OK"))))))))</f>
        <v/>
      </c>
    </row>
    <row r="57" customFormat="false" ht="15" hidden="false" customHeight="false" outlineLevel="0" collapsed="false">
      <c r="A57" s="17"/>
      <c r="B57" s="18"/>
      <c r="C57" s="13" t="str">
        <f aca="false">IF(B57="","",IFERROR(INDEX(Personal!$C$5:$C$104,MATCH(B57,Personal!$B$5:$B$104,0)),""))</f>
        <v/>
      </c>
      <c r="D57" s="18"/>
      <c r="E57" s="19"/>
      <c r="F57" s="19"/>
      <c r="G57" s="20"/>
      <c r="H57" s="16" t="str">
        <f aca="false">IF(OR(E57="",F57=""),"",ROUND(MOD(F57-E57,1)*24-N(G57),2))</f>
        <v/>
      </c>
      <c r="I57" s="18"/>
      <c r="J57" s="18"/>
      <c r="K57" s="18"/>
      <c r="L57" s="16" t="str">
        <f aca="false">IF(OR(A57="",B57=""),"",SUMIFS('Registro por hora'!$H$5:$H$2004,'Registro por hora'!$A$5:$A$2004,A57,'Registro por hora'!$B$5:$B$2004,B57))</f>
        <v/>
      </c>
      <c r="M57" s="13" t="str">
        <f aca="false">IF(B57="","",IF(D57="","⚠ Falta estado",IF(AND(OR(D57="Ausente",D57="Medio día"),I57=""),"⚠ Falta motivo",IF(AND(OR(D57="Ausente",D57="Medio día"),J57=""),"⚠ Falta explicación",IF(D57="Ausente","✔ Ausencia justificada",IF(OR(E57="",F57=""),"⚠ Falta hora de entrada/salida",IF(K57="","⚠ Falta resumen del día",IF(N(L57)&lt;N(H57)-0.01,"⚠ Faltan "&amp;TEXT(N(H57)-N(L57),"0.0")&amp;" h por reportar","✔ OK"))))))))</f>
        <v/>
      </c>
    </row>
    <row r="58" customFormat="false" ht="15" hidden="false" customHeight="false" outlineLevel="0" collapsed="false">
      <c r="A58" s="17"/>
      <c r="B58" s="18"/>
      <c r="C58" s="13" t="str">
        <f aca="false">IF(B58="","",IFERROR(INDEX(Personal!$C$5:$C$104,MATCH(B58,Personal!$B$5:$B$104,0)),""))</f>
        <v/>
      </c>
      <c r="D58" s="18"/>
      <c r="E58" s="19"/>
      <c r="F58" s="19"/>
      <c r="G58" s="20"/>
      <c r="H58" s="16" t="str">
        <f aca="false">IF(OR(E58="",F58=""),"",ROUND(MOD(F58-E58,1)*24-N(G58),2))</f>
        <v/>
      </c>
      <c r="I58" s="18"/>
      <c r="J58" s="18"/>
      <c r="K58" s="18"/>
      <c r="L58" s="16" t="str">
        <f aca="false">IF(OR(A58="",B58=""),"",SUMIFS('Registro por hora'!$H$5:$H$2004,'Registro por hora'!$A$5:$A$2004,A58,'Registro por hora'!$B$5:$B$2004,B58))</f>
        <v/>
      </c>
      <c r="M58" s="13" t="str">
        <f aca="false">IF(B58="","",IF(D58="","⚠ Falta estado",IF(AND(OR(D58="Ausente",D58="Medio día"),I58=""),"⚠ Falta motivo",IF(AND(OR(D58="Ausente",D58="Medio día"),J58=""),"⚠ Falta explicación",IF(D58="Ausente","✔ Ausencia justificada",IF(OR(E58="",F58=""),"⚠ Falta hora de entrada/salida",IF(K58="","⚠ Falta resumen del día",IF(N(L58)&lt;N(H58)-0.01,"⚠ Faltan "&amp;TEXT(N(H58)-N(L58),"0.0")&amp;" h por reportar","✔ OK"))))))))</f>
        <v/>
      </c>
    </row>
    <row r="59" customFormat="false" ht="15" hidden="false" customHeight="false" outlineLevel="0" collapsed="false">
      <c r="A59" s="17"/>
      <c r="B59" s="18"/>
      <c r="C59" s="13" t="str">
        <f aca="false">IF(B59="","",IFERROR(INDEX(Personal!$C$5:$C$104,MATCH(B59,Personal!$B$5:$B$104,0)),""))</f>
        <v/>
      </c>
      <c r="D59" s="18"/>
      <c r="E59" s="19"/>
      <c r="F59" s="19"/>
      <c r="G59" s="20"/>
      <c r="H59" s="16" t="str">
        <f aca="false">IF(OR(E59="",F59=""),"",ROUND(MOD(F59-E59,1)*24-N(G59),2))</f>
        <v/>
      </c>
      <c r="I59" s="18"/>
      <c r="J59" s="18"/>
      <c r="K59" s="18"/>
      <c r="L59" s="16" t="str">
        <f aca="false">IF(OR(A59="",B59=""),"",SUMIFS('Registro por hora'!$H$5:$H$2004,'Registro por hora'!$A$5:$A$2004,A59,'Registro por hora'!$B$5:$B$2004,B59))</f>
        <v/>
      </c>
      <c r="M59" s="13" t="str">
        <f aca="false">IF(B59="","",IF(D59="","⚠ Falta estado",IF(AND(OR(D59="Ausente",D59="Medio día"),I59=""),"⚠ Falta motivo",IF(AND(OR(D59="Ausente",D59="Medio día"),J59=""),"⚠ Falta explicación",IF(D59="Ausente","✔ Ausencia justificada",IF(OR(E59="",F59=""),"⚠ Falta hora de entrada/salida",IF(K59="","⚠ Falta resumen del día",IF(N(L59)&lt;N(H59)-0.01,"⚠ Faltan "&amp;TEXT(N(H59)-N(L59),"0.0")&amp;" h por reportar","✔ OK"))))))))</f>
        <v/>
      </c>
    </row>
    <row r="60" customFormat="false" ht="15" hidden="false" customHeight="false" outlineLevel="0" collapsed="false">
      <c r="A60" s="17"/>
      <c r="B60" s="18"/>
      <c r="C60" s="13" t="str">
        <f aca="false">IF(B60="","",IFERROR(INDEX(Personal!$C$5:$C$104,MATCH(B60,Personal!$B$5:$B$104,0)),""))</f>
        <v/>
      </c>
      <c r="D60" s="18"/>
      <c r="E60" s="19"/>
      <c r="F60" s="19"/>
      <c r="G60" s="20"/>
      <c r="H60" s="16" t="str">
        <f aca="false">IF(OR(E60="",F60=""),"",ROUND(MOD(F60-E60,1)*24-N(G60),2))</f>
        <v/>
      </c>
      <c r="I60" s="18"/>
      <c r="J60" s="18"/>
      <c r="K60" s="18"/>
      <c r="L60" s="16" t="str">
        <f aca="false">IF(OR(A60="",B60=""),"",SUMIFS('Registro por hora'!$H$5:$H$2004,'Registro por hora'!$A$5:$A$2004,A60,'Registro por hora'!$B$5:$B$2004,B60))</f>
        <v/>
      </c>
      <c r="M60" s="13" t="str">
        <f aca="false">IF(B60="","",IF(D60="","⚠ Falta estado",IF(AND(OR(D60="Ausente",D60="Medio día"),I60=""),"⚠ Falta motivo",IF(AND(OR(D60="Ausente",D60="Medio día"),J60=""),"⚠ Falta explicación",IF(D60="Ausente","✔ Ausencia justificada",IF(OR(E60="",F60=""),"⚠ Falta hora de entrada/salida",IF(K60="","⚠ Falta resumen del día",IF(N(L60)&lt;N(H60)-0.01,"⚠ Faltan "&amp;TEXT(N(H60)-N(L60),"0.0")&amp;" h por reportar","✔ OK"))))))))</f>
        <v/>
      </c>
    </row>
    <row r="61" customFormat="false" ht="15" hidden="false" customHeight="false" outlineLevel="0" collapsed="false">
      <c r="A61" s="17"/>
      <c r="B61" s="18"/>
      <c r="C61" s="13" t="str">
        <f aca="false">IF(B61="","",IFERROR(INDEX(Personal!$C$5:$C$104,MATCH(B61,Personal!$B$5:$B$104,0)),""))</f>
        <v/>
      </c>
      <c r="D61" s="18"/>
      <c r="E61" s="19"/>
      <c r="F61" s="19"/>
      <c r="G61" s="20"/>
      <c r="H61" s="16" t="str">
        <f aca="false">IF(OR(E61="",F61=""),"",ROUND(MOD(F61-E61,1)*24-N(G61),2))</f>
        <v/>
      </c>
      <c r="I61" s="18"/>
      <c r="J61" s="18"/>
      <c r="K61" s="18"/>
      <c r="L61" s="16" t="str">
        <f aca="false">IF(OR(A61="",B61=""),"",SUMIFS('Registro por hora'!$H$5:$H$2004,'Registro por hora'!$A$5:$A$2004,A61,'Registro por hora'!$B$5:$B$2004,B61))</f>
        <v/>
      </c>
      <c r="M61" s="13" t="str">
        <f aca="false">IF(B61="","",IF(D61="","⚠ Falta estado",IF(AND(OR(D61="Ausente",D61="Medio día"),I61=""),"⚠ Falta motivo",IF(AND(OR(D61="Ausente",D61="Medio día"),J61=""),"⚠ Falta explicación",IF(D61="Ausente","✔ Ausencia justificada",IF(OR(E61="",F61=""),"⚠ Falta hora de entrada/salida",IF(K61="","⚠ Falta resumen del día",IF(N(L61)&lt;N(H61)-0.01,"⚠ Faltan "&amp;TEXT(N(H61)-N(L61),"0.0")&amp;" h por reportar","✔ OK"))))))))</f>
        <v/>
      </c>
    </row>
    <row r="62" customFormat="false" ht="15" hidden="false" customHeight="false" outlineLevel="0" collapsed="false">
      <c r="A62" s="17"/>
      <c r="B62" s="18"/>
      <c r="C62" s="13" t="str">
        <f aca="false">IF(B62="","",IFERROR(INDEX(Personal!$C$5:$C$104,MATCH(B62,Personal!$B$5:$B$104,0)),""))</f>
        <v/>
      </c>
      <c r="D62" s="18"/>
      <c r="E62" s="19"/>
      <c r="F62" s="19"/>
      <c r="G62" s="20"/>
      <c r="H62" s="16" t="str">
        <f aca="false">IF(OR(E62="",F62=""),"",ROUND(MOD(F62-E62,1)*24-N(G62),2))</f>
        <v/>
      </c>
      <c r="I62" s="18"/>
      <c r="J62" s="18"/>
      <c r="K62" s="18"/>
      <c r="L62" s="16" t="str">
        <f aca="false">IF(OR(A62="",B62=""),"",SUMIFS('Registro por hora'!$H$5:$H$2004,'Registro por hora'!$A$5:$A$2004,A62,'Registro por hora'!$B$5:$B$2004,B62))</f>
        <v/>
      </c>
      <c r="M62" s="13" t="str">
        <f aca="false">IF(B62="","",IF(D62="","⚠ Falta estado",IF(AND(OR(D62="Ausente",D62="Medio día"),I62=""),"⚠ Falta motivo",IF(AND(OR(D62="Ausente",D62="Medio día"),J62=""),"⚠ Falta explicación",IF(D62="Ausente","✔ Ausencia justificada",IF(OR(E62="",F62=""),"⚠ Falta hora de entrada/salida",IF(K62="","⚠ Falta resumen del día",IF(N(L62)&lt;N(H62)-0.01,"⚠ Faltan "&amp;TEXT(N(H62)-N(L62),"0.0")&amp;" h por reportar","✔ OK"))))))))</f>
        <v/>
      </c>
    </row>
    <row r="63" customFormat="false" ht="15" hidden="false" customHeight="false" outlineLevel="0" collapsed="false">
      <c r="A63" s="17"/>
      <c r="B63" s="18"/>
      <c r="C63" s="13" t="str">
        <f aca="false">IF(B63="","",IFERROR(INDEX(Personal!$C$5:$C$104,MATCH(B63,Personal!$B$5:$B$104,0)),""))</f>
        <v/>
      </c>
      <c r="D63" s="18"/>
      <c r="E63" s="19"/>
      <c r="F63" s="19"/>
      <c r="G63" s="20"/>
      <c r="H63" s="16" t="str">
        <f aca="false">IF(OR(E63="",F63=""),"",ROUND(MOD(F63-E63,1)*24-N(G63),2))</f>
        <v/>
      </c>
      <c r="I63" s="18"/>
      <c r="J63" s="18"/>
      <c r="K63" s="18"/>
      <c r="L63" s="16" t="str">
        <f aca="false">IF(OR(A63="",B63=""),"",SUMIFS('Registro por hora'!$H$5:$H$2004,'Registro por hora'!$A$5:$A$2004,A63,'Registro por hora'!$B$5:$B$2004,B63))</f>
        <v/>
      </c>
      <c r="M63" s="13" t="str">
        <f aca="false">IF(B63="","",IF(D63="","⚠ Falta estado",IF(AND(OR(D63="Ausente",D63="Medio día"),I63=""),"⚠ Falta motivo",IF(AND(OR(D63="Ausente",D63="Medio día"),J63=""),"⚠ Falta explicación",IF(D63="Ausente","✔ Ausencia justificada",IF(OR(E63="",F63=""),"⚠ Falta hora de entrada/salida",IF(K63="","⚠ Falta resumen del día",IF(N(L63)&lt;N(H63)-0.01,"⚠ Faltan "&amp;TEXT(N(H63)-N(L63),"0.0")&amp;" h por reportar","✔ OK"))))))))</f>
        <v/>
      </c>
    </row>
    <row r="64" customFormat="false" ht="15" hidden="false" customHeight="false" outlineLevel="0" collapsed="false">
      <c r="A64" s="17"/>
      <c r="B64" s="18"/>
      <c r="C64" s="13" t="str">
        <f aca="false">IF(B64="","",IFERROR(INDEX(Personal!$C$5:$C$104,MATCH(B64,Personal!$B$5:$B$104,0)),""))</f>
        <v/>
      </c>
      <c r="D64" s="18"/>
      <c r="E64" s="19"/>
      <c r="F64" s="19"/>
      <c r="G64" s="20"/>
      <c r="H64" s="16" t="str">
        <f aca="false">IF(OR(E64="",F64=""),"",ROUND(MOD(F64-E64,1)*24-N(G64),2))</f>
        <v/>
      </c>
      <c r="I64" s="18"/>
      <c r="J64" s="18"/>
      <c r="K64" s="18"/>
      <c r="L64" s="16" t="str">
        <f aca="false">IF(OR(A64="",B64=""),"",SUMIFS('Registro por hora'!$H$5:$H$2004,'Registro por hora'!$A$5:$A$2004,A64,'Registro por hora'!$B$5:$B$2004,B64))</f>
        <v/>
      </c>
      <c r="M64" s="13" t="str">
        <f aca="false">IF(B64="","",IF(D64="","⚠ Falta estado",IF(AND(OR(D64="Ausente",D64="Medio día"),I64=""),"⚠ Falta motivo",IF(AND(OR(D64="Ausente",D64="Medio día"),J64=""),"⚠ Falta explicación",IF(D64="Ausente","✔ Ausencia justificada",IF(OR(E64="",F64=""),"⚠ Falta hora de entrada/salida",IF(K64="","⚠ Falta resumen del día",IF(N(L64)&lt;N(H64)-0.01,"⚠ Faltan "&amp;TEXT(N(H64)-N(L64),"0.0")&amp;" h por reportar","✔ OK"))))))))</f>
        <v/>
      </c>
    </row>
    <row r="65" customFormat="false" ht="15" hidden="false" customHeight="false" outlineLevel="0" collapsed="false">
      <c r="A65" s="17"/>
      <c r="B65" s="18"/>
      <c r="C65" s="13" t="str">
        <f aca="false">IF(B65="","",IFERROR(INDEX(Personal!$C$5:$C$104,MATCH(B65,Personal!$B$5:$B$104,0)),""))</f>
        <v/>
      </c>
      <c r="D65" s="18"/>
      <c r="E65" s="19"/>
      <c r="F65" s="19"/>
      <c r="G65" s="20"/>
      <c r="H65" s="16" t="str">
        <f aca="false">IF(OR(E65="",F65=""),"",ROUND(MOD(F65-E65,1)*24-N(G65),2))</f>
        <v/>
      </c>
      <c r="I65" s="18"/>
      <c r="J65" s="18"/>
      <c r="K65" s="18"/>
      <c r="L65" s="16" t="str">
        <f aca="false">IF(OR(A65="",B65=""),"",SUMIFS('Registro por hora'!$H$5:$H$2004,'Registro por hora'!$A$5:$A$2004,A65,'Registro por hora'!$B$5:$B$2004,B65))</f>
        <v/>
      </c>
      <c r="M65" s="13" t="str">
        <f aca="false">IF(B65="","",IF(D65="","⚠ Falta estado",IF(AND(OR(D65="Ausente",D65="Medio día"),I65=""),"⚠ Falta motivo",IF(AND(OR(D65="Ausente",D65="Medio día"),J65=""),"⚠ Falta explicación",IF(D65="Ausente","✔ Ausencia justificada",IF(OR(E65="",F65=""),"⚠ Falta hora de entrada/salida",IF(K65="","⚠ Falta resumen del día",IF(N(L65)&lt;N(H65)-0.01,"⚠ Faltan "&amp;TEXT(N(H65)-N(L65),"0.0")&amp;" h por reportar","✔ OK"))))))))</f>
        <v/>
      </c>
    </row>
    <row r="66" customFormat="false" ht="15" hidden="false" customHeight="false" outlineLevel="0" collapsed="false">
      <c r="A66" s="17"/>
      <c r="B66" s="18"/>
      <c r="C66" s="13" t="str">
        <f aca="false">IF(B66="","",IFERROR(INDEX(Personal!$C$5:$C$104,MATCH(B66,Personal!$B$5:$B$104,0)),""))</f>
        <v/>
      </c>
      <c r="D66" s="18"/>
      <c r="E66" s="19"/>
      <c r="F66" s="19"/>
      <c r="G66" s="20"/>
      <c r="H66" s="16" t="str">
        <f aca="false">IF(OR(E66="",F66=""),"",ROUND(MOD(F66-E66,1)*24-N(G66),2))</f>
        <v/>
      </c>
      <c r="I66" s="18"/>
      <c r="J66" s="18"/>
      <c r="K66" s="18"/>
      <c r="L66" s="16" t="str">
        <f aca="false">IF(OR(A66="",B66=""),"",SUMIFS('Registro por hora'!$H$5:$H$2004,'Registro por hora'!$A$5:$A$2004,A66,'Registro por hora'!$B$5:$B$2004,B66))</f>
        <v/>
      </c>
      <c r="M66" s="13" t="str">
        <f aca="false">IF(B66="","",IF(D66="","⚠ Falta estado",IF(AND(OR(D66="Ausente",D66="Medio día"),I66=""),"⚠ Falta motivo",IF(AND(OR(D66="Ausente",D66="Medio día"),J66=""),"⚠ Falta explicación",IF(D66="Ausente","✔ Ausencia justificada",IF(OR(E66="",F66=""),"⚠ Falta hora de entrada/salida",IF(K66="","⚠ Falta resumen del día",IF(N(L66)&lt;N(H66)-0.01,"⚠ Faltan "&amp;TEXT(N(H66)-N(L66),"0.0")&amp;" h por reportar","✔ OK"))))))))</f>
        <v/>
      </c>
    </row>
    <row r="67" customFormat="false" ht="15" hidden="false" customHeight="false" outlineLevel="0" collapsed="false">
      <c r="A67" s="17"/>
      <c r="B67" s="18"/>
      <c r="C67" s="13" t="str">
        <f aca="false">IF(B67="","",IFERROR(INDEX(Personal!$C$5:$C$104,MATCH(B67,Personal!$B$5:$B$104,0)),""))</f>
        <v/>
      </c>
      <c r="D67" s="18"/>
      <c r="E67" s="19"/>
      <c r="F67" s="19"/>
      <c r="G67" s="20"/>
      <c r="H67" s="16" t="str">
        <f aca="false">IF(OR(E67="",F67=""),"",ROUND(MOD(F67-E67,1)*24-N(G67),2))</f>
        <v/>
      </c>
      <c r="I67" s="18"/>
      <c r="J67" s="18"/>
      <c r="K67" s="18"/>
      <c r="L67" s="16" t="str">
        <f aca="false">IF(OR(A67="",B67=""),"",SUMIFS('Registro por hora'!$H$5:$H$2004,'Registro por hora'!$A$5:$A$2004,A67,'Registro por hora'!$B$5:$B$2004,B67))</f>
        <v/>
      </c>
      <c r="M67" s="13" t="str">
        <f aca="false">IF(B67="","",IF(D67="","⚠ Falta estado",IF(AND(OR(D67="Ausente",D67="Medio día"),I67=""),"⚠ Falta motivo",IF(AND(OR(D67="Ausente",D67="Medio día"),J67=""),"⚠ Falta explicación",IF(D67="Ausente","✔ Ausencia justificada",IF(OR(E67="",F67=""),"⚠ Falta hora de entrada/salida",IF(K67="","⚠ Falta resumen del día",IF(N(L67)&lt;N(H67)-0.01,"⚠ Faltan "&amp;TEXT(N(H67)-N(L67),"0.0")&amp;" h por reportar","✔ OK"))))))))</f>
        <v/>
      </c>
    </row>
    <row r="68" customFormat="false" ht="15" hidden="false" customHeight="false" outlineLevel="0" collapsed="false">
      <c r="A68" s="17"/>
      <c r="B68" s="18"/>
      <c r="C68" s="13" t="str">
        <f aca="false">IF(B68="","",IFERROR(INDEX(Personal!$C$5:$C$104,MATCH(B68,Personal!$B$5:$B$104,0)),""))</f>
        <v/>
      </c>
      <c r="D68" s="18"/>
      <c r="E68" s="19"/>
      <c r="F68" s="19"/>
      <c r="G68" s="20"/>
      <c r="H68" s="16" t="str">
        <f aca="false">IF(OR(E68="",F68=""),"",ROUND(MOD(F68-E68,1)*24-N(G68),2))</f>
        <v/>
      </c>
      <c r="I68" s="18"/>
      <c r="J68" s="18"/>
      <c r="K68" s="18"/>
      <c r="L68" s="16" t="str">
        <f aca="false">IF(OR(A68="",B68=""),"",SUMIFS('Registro por hora'!$H$5:$H$2004,'Registro por hora'!$A$5:$A$2004,A68,'Registro por hora'!$B$5:$B$2004,B68))</f>
        <v/>
      </c>
      <c r="M68" s="13" t="str">
        <f aca="false">IF(B68="","",IF(D68="","⚠ Falta estado",IF(AND(OR(D68="Ausente",D68="Medio día"),I68=""),"⚠ Falta motivo",IF(AND(OR(D68="Ausente",D68="Medio día"),J68=""),"⚠ Falta explicación",IF(D68="Ausente","✔ Ausencia justificada",IF(OR(E68="",F68=""),"⚠ Falta hora de entrada/salida",IF(K68="","⚠ Falta resumen del día",IF(N(L68)&lt;N(H68)-0.01,"⚠ Faltan "&amp;TEXT(N(H68)-N(L68),"0.0")&amp;" h por reportar","✔ OK"))))))))</f>
        <v/>
      </c>
    </row>
    <row r="69" customFormat="false" ht="15" hidden="false" customHeight="false" outlineLevel="0" collapsed="false">
      <c r="A69" s="17"/>
      <c r="B69" s="18"/>
      <c r="C69" s="13" t="str">
        <f aca="false">IF(B69="","",IFERROR(INDEX(Personal!$C$5:$C$104,MATCH(B69,Personal!$B$5:$B$104,0)),""))</f>
        <v/>
      </c>
      <c r="D69" s="18"/>
      <c r="E69" s="19"/>
      <c r="F69" s="19"/>
      <c r="G69" s="20"/>
      <c r="H69" s="16" t="str">
        <f aca="false">IF(OR(E69="",F69=""),"",ROUND(MOD(F69-E69,1)*24-N(G69),2))</f>
        <v/>
      </c>
      <c r="I69" s="18"/>
      <c r="J69" s="18"/>
      <c r="K69" s="18"/>
      <c r="L69" s="16" t="str">
        <f aca="false">IF(OR(A69="",B69=""),"",SUMIFS('Registro por hora'!$H$5:$H$2004,'Registro por hora'!$A$5:$A$2004,A69,'Registro por hora'!$B$5:$B$2004,B69))</f>
        <v/>
      </c>
      <c r="M69" s="13" t="str">
        <f aca="false">IF(B69="","",IF(D69="","⚠ Falta estado",IF(AND(OR(D69="Ausente",D69="Medio día"),I69=""),"⚠ Falta motivo",IF(AND(OR(D69="Ausente",D69="Medio día"),J69=""),"⚠ Falta explicación",IF(D69="Ausente","✔ Ausencia justificada",IF(OR(E69="",F69=""),"⚠ Falta hora de entrada/salida",IF(K69="","⚠ Falta resumen del día",IF(N(L69)&lt;N(H69)-0.01,"⚠ Faltan "&amp;TEXT(N(H69)-N(L69),"0.0")&amp;" h por reportar","✔ OK"))))))))</f>
        <v/>
      </c>
    </row>
    <row r="70" customFormat="false" ht="15" hidden="false" customHeight="false" outlineLevel="0" collapsed="false">
      <c r="A70" s="17"/>
      <c r="B70" s="18"/>
      <c r="C70" s="13" t="str">
        <f aca="false">IF(B70="","",IFERROR(INDEX(Personal!$C$5:$C$104,MATCH(B70,Personal!$B$5:$B$104,0)),""))</f>
        <v/>
      </c>
      <c r="D70" s="18"/>
      <c r="E70" s="19"/>
      <c r="F70" s="19"/>
      <c r="G70" s="20"/>
      <c r="H70" s="16" t="str">
        <f aca="false">IF(OR(E70="",F70=""),"",ROUND(MOD(F70-E70,1)*24-N(G70),2))</f>
        <v/>
      </c>
      <c r="I70" s="18"/>
      <c r="J70" s="18"/>
      <c r="K70" s="18"/>
      <c r="L70" s="16" t="str">
        <f aca="false">IF(OR(A70="",B70=""),"",SUMIFS('Registro por hora'!$H$5:$H$2004,'Registro por hora'!$A$5:$A$2004,A70,'Registro por hora'!$B$5:$B$2004,B70))</f>
        <v/>
      </c>
      <c r="M70" s="13" t="str">
        <f aca="false">IF(B70="","",IF(D70="","⚠ Falta estado",IF(AND(OR(D70="Ausente",D70="Medio día"),I70=""),"⚠ Falta motivo",IF(AND(OR(D70="Ausente",D70="Medio día"),J70=""),"⚠ Falta explicación",IF(D70="Ausente","✔ Ausencia justificada",IF(OR(E70="",F70=""),"⚠ Falta hora de entrada/salida",IF(K70="","⚠ Falta resumen del día",IF(N(L70)&lt;N(H70)-0.01,"⚠ Faltan "&amp;TEXT(N(H70)-N(L70),"0.0")&amp;" h por reportar","✔ OK"))))))))</f>
        <v/>
      </c>
    </row>
    <row r="71" customFormat="false" ht="15" hidden="false" customHeight="false" outlineLevel="0" collapsed="false">
      <c r="A71" s="17"/>
      <c r="B71" s="18"/>
      <c r="C71" s="13" t="str">
        <f aca="false">IF(B71="","",IFERROR(INDEX(Personal!$C$5:$C$104,MATCH(B71,Personal!$B$5:$B$104,0)),""))</f>
        <v/>
      </c>
      <c r="D71" s="18"/>
      <c r="E71" s="19"/>
      <c r="F71" s="19"/>
      <c r="G71" s="20"/>
      <c r="H71" s="16" t="str">
        <f aca="false">IF(OR(E71="",F71=""),"",ROUND(MOD(F71-E71,1)*24-N(G71),2))</f>
        <v/>
      </c>
      <c r="I71" s="18"/>
      <c r="J71" s="18"/>
      <c r="K71" s="18"/>
      <c r="L71" s="16" t="str">
        <f aca="false">IF(OR(A71="",B71=""),"",SUMIFS('Registro por hora'!$H$5:$H$2004,'Registro por hora'!$A$5:$A$2004,A71,'Registro por hora'!$B$5:$B$2004,B71))</f>
        <v/>
      </c>
      <c r="M71" s="13" t="str">
        <f aca="false">IF(B71="","",IF(D71="","⚠ Falta estado",IF(AND(OR(D71="Ausente",D71="Medio día"),I71=""),"⚠ Falta motivo",IF(AND(OR(D71="Ausente",D71="Medio día"),J71=""),"⚠ Falta explicación",IF(D71="Ausente","✔ Ausencia justificada",IF(OR(E71="",F71=""),"⚠ Falta hora de entrada/salida",IF(K71="","⚠ Falta resumen del día",IF(N(L71)&lt;N(H71)-0.01,"⚠ Faltan "&amp;TEXT(N(H71)-N(L71),"0.0")&amp;" h por reportar","✔ OK"))))))))</f>
        <v/>
      </c>
    </row>
    <row r="72" customFormat="false" ht="15" hidden="false" customHeight="false" outlineLevel="0" collapsed="false">
      <c r="A72" s="17"/>
      <c r="B72" s="18"/>
      <c r="C72" s="13" t="str">
        <f aca="false">IF(B72="","",IFERROR(INDEX(Personal!$C$5:$C$104,MATCH(B72,Personal!$B$5:$B$104,0)),""))</f>
        <v/>
      </c>
      <c r="D72" s="18"/>
      <c r="E72" s="19"/>
      <c r="F72" s="19"/>
      <c r="G72" s="20"/>
      <c r="H72" s="16" t="str">
        <f aca="false">IF(OR(E72="",F72=""),"",ROUND(MOD(F72-E72,1)*24-N(G72),2))</f>
        <v/>
      </c>
      <c r="I72" s="18"/>
      <c r="J72" s="18"/>
      <c r="K72" s="18"/>
      <c r="L72" s="16" t="str">
        <f aca="false">IF(OR(A72="",B72=""),"",SUMIFS('Registro por hora'!$H$5:$H$2004,'Registro por hora'!$A$5:$A$2004,A72,'Registro por hora'!$B$5:$B$2004,B72))</f>
        <v/>
      </c>
      <c r="M72" s="13" t="str">
        <f aca="false">IF(B72="","",IF(D72="","⚠ Falta estado",IF(AND(OR(D72="Ausente",D72="Medio día"),I72=""),"⚠ Falta motivo",IF(AND(OR(D72="Ausente",D72="Medio día"),J72=""),"⚠ Falta explicación",IF(D72="Ausente","✔ Ausencia justificada",IF(OR(E72="",F72=""),"⚠ Falta hora de entrada/salida",IF(K72="","⚠ Falta resumen del día",IF(N(L72)&lt;N(H72)-0.01,"⚠ Faltan "&amp;TEXT(N(H72)-N(L72),"0.0")&amp;" h por reportar","✔ OK"))))))))</f>
        <v/>
      </c>
    </row>
    <row r="73" customFormat="false" ht="15" hidden="false" customHeight="false" outlineLevel="0" collapsed="false">
      <c r="A73" s="17"/>
      <c r="B73" s="18"/>
      <c r="C73" s="13" t="str">
        <f aca="false">IF(B73="","",IFERROR(INDEX(Personal!$C$5:$C$104,MATCH(B73,Personal!$B$5:$B$104,0)),""))</f>
        <v/>
      </c>
      <c r="D73" s="18"/>
      <c r="E73" s="19"/>
      <c r="F73" s="19"/>
      <c r="G73" s="20"/>
      <c r="H73" s="16" t="str">
        <f aca="false">IF(OR(E73="",F73=""),"",ROUND(MOD(F73-E73,1)*24-N(G73),2))</f>
        <v/>
      </c>
      <c r="I73" s="18"/>
      <c r="J73" s="18"/>
      <c r="K73" s="18"/>
      <c r="L73" s="16" t="str">
        <f aca="false">IF(OR(A73="",B73=""),"",SUMIFS('Registro por hora'!$H$5:$H$2004,'Registro por hora'!$A$5:$A$2004,A73,'Registro por hora'!$B$5:$B$2004,B73))</f>
        <v/>
      </c>
      <c r="M73" s="13" t="str">
        <f aca="false">IF(B73="","",IF(D73="","⚠ Falta estado",IF(AND(OR(D73="Ausente",D73="Medio día"),I73=""),"⚠ Falta motivo",IF(AND(OR(D73="Ausente",D73="Medio día"),J73=""),"⚠ Falta explicación",IF(D73="Ausente","✔ Ausencia justificada",IF(OR(E73="",F73=""),"⚠ Falta hora de entrada/salida",IF(K73="","⚠ Falta resumen del día",IF(N(L73)&lt;N(H73)-0.01,"⚠ Faltan "&amp;TEXT(N(H73)-N(L73),"0.0")&amp;" h por reportar","✔ OK"))))))))</f>
        <v/>
      </c>
    </row>
    <row r="74" customFormat="false" ht="15" hidden="false" customHeight="false" outlineLevel="0" collapsed="false">
      <c r="A74" s="17"/>
      <c r="B74" s="18"/>
      <c r="C74" s="13" t="str">
        <f aca="false">IF(B74="","",IFERROR(INDEX(Personal!$C$5:$C$104,MATCH(B74,Personal!$B$5:$B$104,0)),""))</f>
        <v/>
      </c>
      <c r="D74" s="18"/>
      <c r="E74" s="19"/>
      <c r="F74" s="19"/>
      <c r="G74" s="20"/>
      <c r="H74" s="16" t="str">
        <f aca="false">IF(OR(E74="",F74=""),"",ROUND(MOD(F74-E74,1)*24-N(G74),2))</f>
        <v/>
      </c>
      <c r="I74" s="18"/>
      <c r="J74" s="18"/>
      <c r="K74" s="18"/>
      <c r="L74" s="16" t="str">
        <f aca="false">IF(OR(A74="",B74=""),"",SUMIFS('Registro por hora'!$H$5:$H$2004,'Registro por hora'!$A$5:$A$2004,A74,'Registro por hora'!$B$5:$B$2004,B74))</f>
        <v/>
      </c>
      <c r="M74" s="13" t="str">
        <f aca="false">IF(B74="","",IF(D74="","⚠ Falta estado",IF(AND(OR(D74="Ausente",D74="Medio día"),I74=""),"⚠ Falta motivo",IF(AND(OR(D74="Ausente",D74="Medio día"),J74=""),"⚠ Falta explicación",IF(D74="Ausente","✔ Ausencia justificada",IF(OR(E74="",F74=""),"⚠ Falta hora de entrada/salida",IF(K74="","⚠ Falta resumen del día",IF(N(L74)&lt;N(H74)-0.01,"⚠ Faltan "&amp;TEXT(N(H74)-N(L74),"0.0")&amp;" h por reportar","✔ OK"))))))))</f>
        <v/>
      </c>
    </row>
    <row r="75" customFormat="false" ht="15" hidden="false" customHeight="false" outlineLevel="0" collapsed="false">
      <c r="A75" s="17"/>
      <c r="B75" s="18"/>
      <c r="C75" s="13" t="str">
        <f aca="false">IF(B75="","",IFERROR(INDEX(Personal!$C$5:$C$104,MATCH(B75,Personal!$B$5:$B$104,0)),""))</f>
        <v/>
      </c>
      <c r="D75" s="18"/>
      <c r="E75" s="19"/>
      <c r="F75" s="19"/>
      <c r="G75" s="20"/>
      <c r="H75" s="16" t="str">
        <f aca="false">IF(OR(E75="",F75=""),"",ROUND(MOD(F75-E75,1)*24-N(G75),2))</f>
        <v/>
      </c>
      <c r="I75" s="18"/>
      <c r="J75" s="18"/>
      <c r="K75" s="18"/>
      <c r="L75" s="16" t="str">
        <f aca="false">IF(OR(A75="",B75=""),"",SUMIFS('Registro por hora'!$H$5:$H$2004,'Registro por hora'!$A$5:$A$2004,A75,'Registro por hora'!$B$5:$B$2004,B75))</f>
        <v/>
      </c>
      <c r="M75" s="13" t="str">
        <f aca="false">IF(B75="","",IF(D75="","⚠ Falta estado",IF(AND(OR(D75="Ausente",D75="Medio día"),I75=""),"⚠ Falta motivo",IF(AND(OR(D75="Ausente",D75="Medio día"),J75=""),"⚠ Falta explicación",IF(D75="Ausente","✔ Ausencia justificada",IF(OR(E75="",F75=""),"⚠ Falta hora de entrada/salida",IF(K75="","⚠ Falta resumen del día",IF(N(L75)&lt;N(H75)-0.01,"⚠ Faltan "&amp;TEXT(N(H75)-N(L75),"0.0")&amp;" h por reportar","✔ OK"))))))))</f>
        <v/>
      </c>
    </row>
    <row r="76" customFormat="false" ht="15" hidden="false" customHeight="false" outlineLevel="0" collapsed="false">
      <c r="A76" s="17"/>
      <c r="B76" s="18"/>
      <c r="C76" s="13" t="str">
        <f aca="false">IF(B76="","",IFERROR(INDEX(Personal!$C$5:$C$104,MATCH(B76,Personal!$B$5:$B$104,0)),""))</f>
        <v/>
      </c>
      <c r="D76" s="18"/>
      <c r="E76" s="19"/>
      <c r="F76" s="19"/>
      <c r="G76" s="20"/>
      <c r="H76" s="16" t="str">
        <f aca="false">IF(OR(E76="",F76=""),"",ROUND(MOD(F76-E76,1)*24-N(G76),2))</f>
        <v/>
      </c>
      <c r="I76" s="18"/>
      <c r="J76" s="18"/>
      <c r="K76" s="18"/>
      <c r="L76" s="16" t="str">
        <f aca="false">IF(OR(A76="",B76=""),"",SUMIFS('Registro por hora'!$H$5:$H$2004,'Registro por hora'!$A$5:$A$2004,A76,'Registro por hora'!$B$5:$B$2004,B76))</f>
        <v/>
      </c>
      <c r="M76" s="13" t="str">
        <f aca="false">IF(B76="","",IF(D76="","⚠ Falta estado",IF(AND(OR(D76="Ausente",D76="Medio día"),I76=""),"⚠ Falta motivo",IF(AND(OR(D76="Ausente",D76="Medio día"),J76=""),"⚠ Falta explicación",IF(D76="Ausente","✔ Ausencia justificada",IF(OR(E76="",F76=""),"⚠ Falta hora de entrada/salida",IF(K76="","⚠ Falta resumen del día",IF(N(L76)&lt;N(H76)-0.01,"⚠ Faltan "&amp;TEXT(N(H76)-N(L76),"0.0")&amp;" h por reportar","✔ OK"))))))))</f>
        <v/>
      </c>
    </row>
    <row r="77" customFormat="false" ht="15" hidden="false" customHeight="false" outlineLevel="0" collapsed="false">
      <c r="A77" s="17"/>
      <c r="B77" s="18"/>
      <c r="C77" s="13" t="str">
        <f aca="false">IF(B77="","",IFERROR(INDEX(Personal!$C$5:$C$104,MATCH(B77,Personal!$B$5:$B$104,0)),""))</f>
        <v/>
      </c>
      <c r="D77" s="18"/>
      <c r="E77" s="19"/>
      <c r="F77" s="19"/>
      <c r="G77" s="20"/>
      <c r="H77" s="16" t="str">
        <f aca="false">IF(OR(E77="",F77=""),"",ROUND(MOD(F77-E77,1)*24-N(G77),2))</f>
        <v/>
      </c>
      <c r="I77" s="18"/>
      <c r="J77" s="18"/>
      <c r="K77" s="18"/>
      <c r="L77" s="16" t="str">
        <f aca="false">IF(OR(A77="",B77=""),"",SUMIFS('Registro por hora'!$H$5:$H$2004,'Registro por hora'!$A$5:$A$2004,A77,'Registro por hora'!$B$5:$B$2004,B77))</f>
        <v/>
      </c>
      <c r="M77" s="13" t="str">
        <f aca="false">IF(B77="","",IF(D77="","⚠ Falta estado",IF(AND(OR(D77="Ausente",D77="Medio día"),I77=""),"⚠ Falta motivo",IF(AND(OR(D77="Ausente",D77="Medio día"),J77=""),"⚠ Falta explicación",IF(D77="Ausente","✔ Ausencia justificada",IF(OR(E77="",F77=""),"⚠ Falta hora de entrada/salida",IF(K77="","⚠ Falta resumen del día",IF(N(L77)&lt;N(H77)-0.01,"⚠ Faltan "&amp;TEXT(N(H77)-N(L77),"0.0")&amp;" h por reportar","✔ OK"))))))))</f>
        <v/>
      </c>
    </row>
    <row r="78" customFormat="false" ht="15" hidden="false" customHeight="false" outlineLevel="0" collapsed="false">
      <c r="A78" s="17"/>
      <c r="B78" s="18"/>
      <c r="C78" s="13" t="str">
        <f aca="false">IF(B78="","",IFERROR(INDEX(Personal!$C$5:$C$104,MATCH(B78,Personal!$B$5:$B$104,0)),""))</f>
        <v/>
      </c>
      <c r="D78" s="18"/>
      <c r="E78" s="19"/>
      <c r="F78" s="19"/>
      <c r="G78" s="20"/>
      <c r="H78" s="16" t="str">
        <f aca="false">IF(OR(E78="",F78=""),"",ROUND(MOD(F78-E78,1)*24-N(G78),2))</f>
        <v/>
      </c>
      <c r="I78" s="18"/>
      <c r="J78" s="18"/>
      <c r="K78" s="18"/>
      <c r="L78" s="16" t="str">
        <f aca="false">IF(OR(A78="",B78=""),"",SUMIFS('Registro por hora'!$H$5:$H$2004,'Registro por hora'!$A$5:$A$2004,A78,'Registro por hora'!$B$5:$B$2004,B78))</f>
        <v/>
      </c>
      <c r="M78" s="13" t="str">
        <f aca="false">IF(B78="","",IF(D78="","⚠ Falta estado",IF(AND(OR(D78="Ausente",D78="Medio día"),I78=""),"⚠ Falta motivo",IF(AND(OR(D78="Ausente",D78="Medio día"),J78=""),"⚠ Falta explicación",IF(D78="Ausente","✔ Ausencia justificada",IF(OR(E78="",F78=""),"⚠ Falta hora de entrada/salida",IF(K78="","⚠ Falta resumen del día",IF(N(L78)&lt;N(H78)-0.01,"⚠ Faltan "&amp;TEXT(N(H78)-N(L78),"0.0")&amp;" h por reportar","✔ OK"))))))))</f>
        <v/>
      </c>
    </row>
    <row r="79" customFormat="false" ht="15" hidden="false" customHeight="false" outlineLevel="0" collapsed="false">
      <c r="A79" s="17"/>
      <c r="B79" s="18"/>
      <c r="C79" s="13" t="str">
        <f aca="false">IF(B79="","",IFERROR(INDEX(Personal!$C$5:$C$104,MATCH(B79,Personal!$B$5:$B$104,0)),""))</f>
        <v/>
      </c>
      <c r="D79" s="18"/>
      <c r="E79" s="19"/>
      <c r="F79" s="19"/>
      <c r="G79" s="20"/>
      <c r="H79" s="16" t="str">
        <f aca="false">IF(OR(E79="",F79=""),"",ROUND(MOD(F79-E79,1)*24-N(G79),2))</f>
        <v/>
      </c>
      <c r="I79" s="18"/>
      <c r="J79" s="18"/>
      <c r="K79" s="18"/>
      <c r="L79" s="16" t="str">
        <f aca="false">IF(OR(A79="",B79=""),"",SUMIFS('Registro por hora'!$H$5:$H$2004,'Registro por hora'!$A$5:$A$2004,A79,'Registro por hora'!$B$5:$B$2004,B79))</f>
        <v/>
      </c>
      <c r="M79" s="13" t="str">
        <f aca="false">IF(B79="","",IF(D79="","⚠ Falta estado",IF(AND(OR(D79="Ausente",D79="Medio día"),I79=""),"⚠ Falta motivo",IF(AND(OR(D79="Ausente",D79="Medio día"),J79=""),"⚠ Falta explicación",IF(D79="Ausente","✔ Ausencia justificada",IF(OR(E79="",F79=""),"⚠ Falta hora de entrada/salida",IF(K79="","⚠ Falta resumen del día",IF(N(L79)&lt;N(H79)-0.01,"⚠ Faltan "&amp;TEXT(N(H79)-N(L79),"0.0")&amp;" h por reportar","✔ OK"))))))))</f>
        <v/>
      </c>
    </row>
    <row r="80" customFormat="false" ht="15" hidden="false" customHeight="false" outlineLevel="0" collapsed="false">
      <c r="A80" s="17"/>
      <c r="B80" s="18"/>
      <c r="C80" s="13" t="str">
        <f aca="false">IF(B80="","",IFERROR(INDEX(Personal!$C$5:$C$104,MATCH(B80,Personal!$B$5:$B$104,0)),""))</f>
        <v/>
      </c>
      <c r="D80" s="18"/>
      <c r="E80" s="19"/>
      <c r="F80" s="19"/>
      <c r="G80" s="20"/>
      <c r="H80" s="16" t="str">
        <f aca="false">IF(OR(E80="",F80=""),"",ROUND(MOD(F80-E80,1)*24-N(G80),2))</f>
        <v/>
      </c>
      <c r="I80" s="18"/>
      <c r="J80" s="18"/>
      <c r="K80" s="18"/>
      <c r="L80" s="16" t="str">
        <f aca="false">IF(OR(A80="",B80=""),"",SUMIFS('Registro por hora'!$H$5:$H$2004,'Registro por hora'!$A$5:$A$2004,A80,'Registro por hora'!$B$5:$B$2004,B80))</f>
        <v/>
      </c>
      <c r="M80" s="13" t="str">
        <f aca="false">IF(B80="","",IF(D80="","⚠ Falta estado",IF(AND(OR(D80="Ausente",D80="Medio día"),I80=""),"⚠ Falta motivo",IF(AND(OR(D80="Ausente",D80="Medio día"),J80=""),"⚠ Falta explicación",IF(D80="Ausente","✔ Ausencia justificada",IF(OR(E80="",F80=""),"⚠ Falta hora de entrada/salida",IF(K80="","⚠ Falta resumen del día",IF(N(L80)&lt;N(H80)-0.01,"⚠ Faltan "&amp;TEXT(N(H80)-N(L80),"0.0")&amp;" h por reportar","✔ OK"))))))))</f>
        <v/>
      </c>
    </row>
    <row r="81" customFormat="false" ht="15" hidden="false" customHeight="false" outlineLevel="0" collapsed="false">
      <c r="A81" s="17"/>
      <c r="B81" s="18"/>
      <c r="C81" s="13" t="str">
        <f aca="false">IF(B81="","",IFERROR(INDEX(Personal!$C$5:$C$104,MATCH(B81,Personal!$B$5:$B$104,0)),""))</f>
        <v/>
      </c>
      <c r="D81" s="18"/>
      <c r="E81" s="19"/>
      <c r="F81" s="19"/>
      <c r="G81" s="20"/>
      <c r="H81" s="16" t="str">
        <f aca="false">IF(OR(E81="",F81=""),"",ROUND(MOD(F81-E81,1)*24-N(G81),2))</f>
        <v/>
      </c>
      <c r="I81" s="18"/>
      <c r="J81" s="18"/>
      <c r="K81" s="18"/>
      <c r="L81" s="16" t="str">
        <f aca="false">IF(OR(A81="",B81=""),"",SUMIFS('Registro por hora'!$H$5:$H$2004,'Registro por hora'!$A$5:$A$2004,A81,'Registro por hora'!$B$5:$B$2004,B81))</f>
        <v/>
      </c>
      <c r="M81" s="13" t="str">
        <f aca="false">IF(B81="","",IF(D81="","⚠ Falta estado",IF(AND(OR(D81="Ausente",D81="Medio día"),I81=""),"⚠ Falta motivo",IF(AND(OR(D81="Ausente",D81="Medio día"),J81=""),"⚠ Falta explicación",IF(D81="Ausente","✔ Ausencia justificada",IF(OR(E81="",F81=""),"⚠ Falta hora de entrada/salida",IF(K81="","⚠ Falta resumen del día",IF(N(L81)&lt;N(H81)-0.01,"⚠ Faltan "&amp;TEXT(N(H81)-N(L81),"0.0")&amp;" h por reportar","✔ OK"))))))))</f>
        <v/>
      </c>
    </row>
    <row r="82" customFormat="false" ht="15" hidden="false" customHeight="false" outlineLevel="0" collapsed="false">
      <c r="A82" s="17"/>
      <c r="B82" s="18"/>
      <c r="C82" s="13" t="str">
        <f aca="false">IF(B82="","",IFERROR(INDEX(Personal!$C$5:$C$104,MATCH(B82,Personal!$B$5:$B$104,0)),""))</f>
        <v/>
      </c>
      <c r="D82" s="18"/>
      <c r="E82" s="19"/>
      <c r="F82" s="19"/>
      <c r="G82" s="20"/>
      <c r="H82" s="16" t="str">
        <f aca="false">IF(OR(E82="",F82=""),"",ROUND(MOD(F82-E82,1)*24-N(G82),2))</f>
        <v/>
      </c>
      <c r="I82" s="18"/>
      <c r="J82" s="18"/>
      <c r="K82" s="18"/>
      <c r="L82" s="16" t="str">
        <f aca="false">IF(OR(A82="",B82=""),"",SUMIFS('Registro por hora'!$H$5:$H$2004,'Registro por hora'!$A$5:$A$2004,A82,'Registro por hora'!$B$5:$B$2004,B82))</f>
        <v/>
      </c>
      <c r="M82" s="13" t="str">
        <f aca="false">IF(B82="","",IF(D82="","⚠ Falta estado",IF(AND(OR(D82="Ausente",D82="Medio día"),I82=""),"⚠ Falta motivo",IF(AND(OR(D82="Ausente",D82="Medio día"),J82=""),"⚠ Falta explicación",IF(D82="Ausente","✔ Ausencia justificada",IF(OR(E82="",F82=""),"⚠ Falta hora de entrada/salida",IF(K82="","⚠ Falta resumen del día",IF(N(L82)&lt;N(H82)-0.01,"⚠ Faltan "&amp;TEXT(N(H82)-N(L82),"0.0")&amp;" h por reportar","✔ OK"))))))))</f>
        <v/>
      </c>
    </row>
    <row r="83" customFormat="false" ht="15" hidden="false" customHeight="false" outlineLevel="0" collapsed="false">
      <c r="A83" s="17"/>
      <c r="B83" s="18"/>
      <c r="C83" s="13" t="str">
        <f aca="false">IF(B83="","",IFERROR(INDEX(Personal!$C$5:$C$104,MATCH(B83,Personal!$B$5:$B$104,0)),""))</f>
        <v/>
      </c>
      <c r="D83" s="18"/>
      <c r="E83" s="19"/>
      <c r="F83" s="19"/>
      <c r="G83" s="20"/>
      <c r="H83" s="16" t="str">
        <f aca="false">IF(OR(E83="",F83=""),"",ROUND(MOD(F83-E83,1)*24-N(G83),2))</f>
        <v/>
      </c>
      <c r="I83" s="18"/>
      <c r="J83" s="18"/>
      <c r="K83" s="18"/>
      <c r="L83" s="16" t="str">
        <f aca="false">IF(OR(A83="",B83=""),"",SUMIFS('Registro por hora'!$H$5:$H$2004,'Registro por hora'!$A$5:$A$2004,A83,'Registro por hora'!$B$5:$B$2004,B83))</f>
        <v/>
      </c>
      <c r="M83" s="13" t="str">
        <f aca="false">IF(B83="","",IF(D83="","⚠ Falta estado",IF(AND(OR(D83="Ausente",D83="Medio día"),I83=""),"⚠ Falta motivo",IF(AND(OR(D83="Ausente",D83="Medio día"),J83=""),"⚠ Falta explicación",IF(D83="Ausente","✔ Ausencia justificada",IF(OR(E83="",F83=""),"⚠ Falta hora de entrada/salida",IF(K83="","⚠ Falta resumen del día",IF(N(L83)&lt;N(H83)-0.01,"⚠ Faltan "&amp;TEXT(N(H83)-N(L83),"0.0")&amp;" h por reportar","✔ OK"))))))))</f>
        <v/>
      </c>
    </row>
    <row r="84" customFormat="false" ht="15" hidden="false" customHeight="false" outlineLevel="0" collapsed="false">
      <c r="A84" s="17"/>
      <c r="B84" s="18"/>
      <c r="C84" s="13" t="str">
        <f aca="false">IF(B84="","",IFERROR(INDEX(Personal!$C$5:$C$104,MATCH(B84,Personal!$B$5:$B$104,0)),""))</f>
        <v/>
      </c>
      <c r="D84" s="18"/>
      <c r="E84" s="19"/>
      <c r="F84" s="19"/>
      <c r="G84" s="20"/>
      <c r="H84" s="16" t="str">
        <f aca="false">IF(OR(E84="",F84=""),"",ROUND(MOD(F84-E84,1)*24-N(G84),2))</f>
        <v/>
      </c>
      <c r="I84" s="18"/>
      <c r="J84" s="18"/>
      <c r="K84" s="18"/>
      <c r="L84" s="16" t="str">
        <f aca="false">IF(OR(A84="",B84=""),"",SUMIFS('Registro por hora'!$H$5:$H$2004,'Registro por hora'!$A$5:$A$2004,A84,'Registro por hora'!$B$5:$B$2004,B84))</f>
        <v/>
      </c>
      <c r="M84" s="13" t="str">
        <f aca="false">IF(B84="","",IF(D84="","⚠ Falta estado",IF(AND(OR(D84="Ausente",D84="Medio día"),I84=""),"⚠ Falta motivo",IF(AND(OR(D84="Ausente",D84="Medio día"),J84=""),"⚠ Falta explicación",IF(D84="Ausente","✔ Ausencia justificada",IF(OR(E84="",F84=""),"⚠ Falta hora de entrada/salida",IF(K84="","⚠ Falta resumen del día",IF(N(L84)&lt;N(H84)-0.01,"⚠ Faltan "&amp;TEXT(N(H84)-N(L84),"0.0")&amp;" h por reportar","✔ OK"))))))))</f>
        <v/>
      </c>
    </row>
    <row r="85" customFormat="false" ht="15" hidden="false" customHeight="false" outlineLevel="0" collapsed="false">
      <c r="A85" s="17"/>
      <c r="B85" s="18"/>
      <c r="C85" s="13" t="str">
        <f aca="false">IF(B85="","",IFERROR(INDEX(Personal!$C$5:$C$104,MATCH(B85,Personal!$B$5:$B$104,0)),""))</f>
        <v/>
      </c>
      <c r="D85" s="18"/>
      <c r="E85" s="19"/>
      <c r="F85" s="19"/>
      <c r="G85" s="20"/>
      <c r="H85" s="16" t="str">
        <f aca="false">IF(OR(E85="",F85=""),"",ROUND(MOD(F85-E85,1)*24-N(G85),2))</f>
        <v/>
      </c>
      <c r="I85" s="18"/>
      <c r="J85" s="18"/>
      <c r="K85" s="18"/>
      <c r="L85" s="16" t="str">
        <f aca="false">IF(OR(A85="",B85=""),"",SUMIFS('Registro por hora'!$H$5:$H$2004,'Registro por hora'!$A$5:$A$2004,A85,'Registro por hora'!$B$5:$B$2004,B85))</f>
        <v/>
      </c>
      <c r="M85" s="13" t="str">
        <f aca="false">IF(B85="","",IF(D85="","⚠ Falta estado",IF(AND(OR(D85="Ausente",D85="Medio día"),I85=""),"⚠ Falta motivo",IF(AND(OR(D85="Ausente",D85="Medio día"),J85=""),"⚠ Falta explicación",IF(D85="Ausente","✔ Ausencia justificada",IF(OR(E85="",F85=""),"⚠ Falta hora de entrada/salida",IF(K85="","⚠ Falta resumen del día",IF(N(L85)&lt;N(H85)-0.01,"⚠ Faltan "&amp;TEXT(N(H85)-N(L85),"0.0")&amp;" h por reportar","✔ OK"))))))))</f>
        <v/>
      </c>
    </row>
    <row r="86" customFormat="false" ht="15" hidden="false" customHeight="false" outlineLevel="0" collapsed="false">
      <c r="A86" s="17"/>
      <c r="B86" s="18"/>
      <c r="C86" s="13" t="str">
        <f aca="false">IF(B86="","",IFERROR(INDEX(Personal!$C$5:$C$104,MATCH(B86,Personal!$B$5:$B$104,0)),""))</f>
        <v/>
      </c>
      <c r="D86" s="18"/>
      <c r="E86" s="19"/>
      <c r="F86" s="19"/>
      <c r="G86" s="20"/>
      <c r="H86" s="16" t="str">
        <f aca="false">IF(OR(E86="",F86=""),"",ROUND(MOD(F86-E86,1)*24-N(G86),2))</f>
        <v/>
      </c>
      <c r="I86" s="18"/>
      <c r="J86" s="18"/>
      <c r="K86" s="18"/>
      <c r="L86" s="16" t="str">
        <f aca="false">IF(OR(A86="",B86=""),"",SUMIFS('Registro por hora'!$H$5:$H$2004,'Registro por hora'!$A$5:$A$2004,A86,'Registro por hora'!$B$5:$B$2004,B86))</f>
        <v/>
      </c>
      <c r="M86" s="13" t="str">
        <f aca="false">IF(B86="","",IF(D86="","⚠ Falta estado",IF(AND(OR(D86="Ausente",D86="Medio día"),I86=""),"⚠ Falta motivo",IF(AND(OR(D86="Ausente",D86="Medio día"),J86=""),"⚠ Falta explicación",IF(D86="Ausente","✔ Ausencia justificada",IF(OR(E86="",F86=""),"⚠ Falta hora de entrada/salida",IF(K86="","⚠ Falta resumen del día",IF(N(L86)&lt;N(H86)-0.01,"⚠ Faltan "&amp;TEXT(N(H86)-N(L86),"0.0")&amp;" h por reportar","✔ OK"))))))))</f>
        <v/>
      </c>
    </row>
    <row r="87" customFormat="false" ht="15" hidden="false" customHeight="false" outlineLevel="0" collapsed="false">
      <c r="A87" s="17"/>
      <c r="B87" s="18"/>
      <c r="C87" s="13" t="str">
        <f aca="false">IF(B87="","",IFERROR(INDEX(Personal!$C$5:$C$104,MATCH(B87,Personal!$B$5:$B$104,0)),""))</f>
        <v/>
      </c>
      <c r="D87" s="18"/>
      <c r="E87" s="19"/>
      <c r="F87" s="19"/>
      <c r="G87" s="20"/>
      <c r="H87" s="16" t="str">
        <f aca="false">IF(OR(E87="",F87=""),"",ROUND(MOD(F87-E87,1)*24-N(G87),2))</f>
        <v/>
      </c>
      <c r="I87" s="18"/>
      <c r="J87" s="18"/>
      <c r="K87" s="18"/>
      <c r="L87" s="16" t="str">
        <f aca="false">IF(OR(A87="",B87=""),"",SUMIFS('Registro por hora'!$H$5:$H$2004,'Registro por hora'!$A$5:$A$2004,A87,'Registro por hora'!$B$5:$B$2004,B87))</f>
        <v/>
      </c>
      <c r="M87" s="13" t="str">
        <f aca="false">IF(B87="","",IF(D87="","⚠ Falta estado",IF(AND(OR(D87="Ausente",D87="Medio día"),I87=""),"⚠ Falta motivo",IF(AND(OR(D87="Ausente",D87="Medio día"),J87=""),"⚠ Falta explicación",IF(D87="Ausente","✔ Ausencia justificada",IF(OR(E87="",F87=""),"⚠ Falta hora de entrada/salida",IF(K87="","⚠ Falta resumen del día",IF(N(L87)&lt;N(H87)-0.01,"⚠ Faltan "&amp;TEXT(N(H87)-N(L87),"0.0")&amp;" h por reportar","✔ OK"))))))))</f>
        <v/>
      </c>
    </row>
    <row r="88" customFormat="false" ht="15" hidden="false" customHeight="false" outlineLevel="0" collapsed="false">
      <c r="A88" s="17"/>
      <c r="B88" s="18"/>
      <c r="C88" s="13" t="str">
        <f aca="false">IF(B88="","",IFERROR(INDEX(Personal!$C$5:$C$104,MATCH(B88,Personal!$B$5:$B$104,0)),""))</f>
        <v/>
      </c>
      <c r="D88" s="18"/>
      <c r="E88" s="19"/>
      <c r="F88" s="19"/>
      <c r="G88" s="20"/>
      <c r="H88" s="16" t="str">
        <f aca="false">IF(OR(E88="",F88=""),"",ROUND(MOD(F88-E88,1)*24-N(G88),2))</f>
        <v/>
      </c>
      <c r="I88" s="18"/>
      <c r="J88" s="18"/>
      <c r="K88" s="18"/>
      <c r="L88" s="16" t="str">
        <f aca="false">IF(OR(A88="",B88=""),"",SUMIFS('Registro por hora'!$H$5:$H$2004,'Registro por hora'!$A$5:$A$2004,A88,'Registro por hora'!$B$5:$B$2004,B88))</f>
        <v/>
      </c>
      <c r="M88" s="13" t="str">
        <f aca="false">IF(B88="","",IF(D88="","⚠ Falta estado",IF(AND(OR(D88="Ausente",D88="Medio día"),I88=""),"⚠ Falta motivo",IF(AND(OR(D88="Ausente",D88="Medio día"),J88=""),"⚠ Falta explicación",IF(D88="Ausente","✔ Ausencia justificada",IF(OR(E88="",F88=""),"⚠ Falta hora de entrada/salida",IF(K88="","⚠ Falta resumen del día",IF(N(L88)&lt;N(H88)-0.01,"⚠ Faltan "&amp;TEXT(N(H88)-N(L88),"0.0")&amp;" h por reportar","✔ OK"))))))))</f>
        <v/>
      </c>
    </row>
    <row r="89" customFormat="false" ht="15" hidden="false" customHeight="false" outlineLevel="0" collapsed="false">
      <c r="A89" s="17"/>
      <c r="B89" s="18"/>
      <c r="C89" s="13" t="str">
        <f aca="false">IF(B89="","",IFERROR(INDEX(Personal!$C$5:$C$104,MATCH(B89,Personal!$B$5:$B$104,0)),""))</f>
        <v/>
      </c>
      <c r="D89" s="18"/>
      <c r="E89" s="19"/>
      <c r="F89" s="19"/>
      <c r="G89" s="20"/>
      <c r="H89" s="16" t="str">
        <f aca="false">IF(OR(E89="",F89=""),"",ROUND(MOD(F89-E89,1)*24-N(G89),2))</f>
        <v/>
      </c>
      <c r="I89" s="18"/>
      <c r="J89" s="18"/>
      <c r="K89" s="18"/>
      <c r="L89" s="16" t="str">
        <f aca="false">IF(OR(A89="",B89=""),"",SUMIFS('Registro por hora'!$H$5:$H$2004,'Registro por hora'!$A$5:$A$2004,A89,'Registro por hora'!$B$5:$B$2004,B89))</f>
        <v/>
      </c>
      <c r="M89" s="13" t="str">
        <f aca="false">IF(B89="","",IF(D89="","⚠ Falta estado",IF(AND(OR(D89="Ausente",D89="Medio día"),I89=""),"⚠ Falta motivo",IF(AND(OR(D89="Ausente",D89="Medio día"),J89=""),"⚠ Falta explicación",IF(D89="Ausente","✔ Ausencia justificada",IF(OR(E89="",F89=""),"⚠ Falta hora de entrada/salida",IF(K89="","⚠ Falta resumen del día",IF(N(L89)&lt;N(H89)-0.01,"⚠ Faltan "&amp;TEXT(N(H89)-N(L89),"0.0")&amp;" h por reportar","✔ OK"))))))))</f>
        <v/>
      </c>
    </row>
    <row r="90" customFormat="false" ht="15" hidden="false" customHeight="false" outlineLevel="0" collapsed="false">
      <c r="A90" s="17"/>
      <c r="B90" s="18"/>
      <c r="C90" s="13" t="str">
        <f aca="false">IF(B90="","",IFERROR(INDEX(Personal!$C$5:$C$104,MATCH(B90,Personal!$B$5:$B$104,0)),""))</f>
        <v/>
      </c>
      <c r="D90" s="18"/>
      <c r="E90" s="19"/>
      <c r="F90" s="19"/>
      <c r="G90" s="20"/>
      <c r="H90" s="16" t="str">
        <f aca="false">IF(OR(E90="",F90=""),"",ROUND(MOD(F90-E90,1)*24-N(G90),2))</f>
        <v/>
      </c>
      <c r="I90" s="18"/>
      <c r="J90" s="18"/>
      <c r="K90" s="18"/>
      <c r="L90" s="16" t="str">
        <f aca="false">IF(OR(A90="",B90=""),"",SUMIFS('Registro por hora'!$H$5:$H$2004,'Registro por hora'!$A$5:$A$2004,A90,'Registro por hora'!$B$5:$B$2004,B90))</f>
        <v/>
      </c>
      <c r="M90" s="13" t="str">
        <f aca="false">IF(B90="","",IF(D90="","⚠ Falta estado",IF(AND(OR(D90="Ausente",D90="Medio día"),I90=""),"⚠ Falta motivo",IF(AND(OR(D90="Ausente",D90="Medio día"),J90=""),"⚠ Falta explicación",IF(D90="Ausente","✔ Ausencia justificada",IF(OR(E90="",F90=""),"⚠ Falta hora de entrada/salida",IF(K90="","⚠ Falta resumen del día",IF(N(L90)&lt;N(H90)-0.01,"⚠ Faltan "&amp;TEXT(N(H90)-N(L90),"0.0")&amp;" h por reportar","✔ OK"))))))))</f>
        <v/>
      </c>
    </row>
    <row r="91" customFormat="false" ht="15" hidden="false" customHeight="false" outlineLevel="0" collapsed="false">
      <c r="A91" s="17"/>
      <c r="B91" s="18"/>
      <c r="C91" s="13" t="str">
        <f aca="false">IF(B91="","",IFERROR(INDEX(Personal!$C$5:$C$104,MATCH(B91,Personal!$B$5:$B$104,0)),""))</f>
        <v/>
      </c>
      <c r="D91" s="18"/>
      <c r="E91" s="19"/>
      <c r="F91" s="19"/>
      <c r="G91" s="20"/>
      <c r="H91" s="16" t="str">
        <f aca="false">IF(OR(E91="",F91=""),"",ROUND(MOD(F91-E91,1)*24-N(G91),2))</f>
        <v/>
      </c>
      <c r="I91" s="18"/>
      <c r="J91" s="18"/>
      <c r="K91" s="18"/>
      <c r="L91" s="16" t="str">
        <f aca="false">IF(OR(A91="",B91=""),"",SUMIFS('Registro por hora'!$H$5:$H$2004,'Registro por hora'!$A$5:$A$2004,A91,'Registro por hora'!$B$5:$B$2004,B91))</f>
        <v/>
      </c>
      <c r="M91" s="13" t="str">
        <f aca="false">IF(B91="","",IF(D91="","⚠ Falta estado",IF(AND(OR(D91="Ausente",D91="Medio día"),I91=""),"⚠ Falta motivo",IF(AND(OR(D91="Ausente",D91="Medio día"),J91=""),"⚠ Falta explicación",IF(D91="Ausente","✔ Ausencia justificada",IF(OR(E91="",F91=""),"⚠ Falta hora de entrada/salida",IF(K91="","⚠ Falta resumen del día",IF(N(L91)&lt;N(H91)-0.01,"⚠ Faltan "&amp;TEXT(N(H91)-N(L91),"0.0")&amp;" h por reportar","✔ OK"))))))))</f>
        <v/>
      </c>
    </row>
    <row r="92" customFormat="false" ht="15" hidden="false" customHeight="false" outlineLevel="0" collapsed="false">
      <c r="A92" s="17"/>
      <c r="B92" s="18"/>
      <c r="C92" s="13" t="str">
        <f aca="false">IF(B92="","",IFERROR(INDEX(Personal!$C$5:$C$104,MATCH(B92,Personal!$B$5:$B$104,0)),""))</f>
        <v/>
      </c>
      <c r="D92" s="18"/>
      <c r="E92" s="19"/>
      <c r="F92" s="19"/>
      <c r="G92" s="20"/>
      <c r="H92" s="16" t="str">
        <f aca="false">IF(OR(E92="",F92=""),"",ROUND(MOD(F92-E92,1)*24-N(G92),2))</f>
        <v/>
      </c>
      <c r="I92" s="18"/>
      <c r="J92" s="18"/>
      <c r="K92" s="18"/>
      <c r="L92" s="16" t="str">
        <f aca="false">IF(OR(A92="",B92=""),"",SUMIFS('Registro por hora'!$H$5:$H$2004,'Registro por hora'!$A$5:$A$2004,A92,'Registro por hora'!$B$5:$B$2004,B92))</f>
        <v/>
      </c>
      <c r="M92" s="13" t="str">
        <f aca="false">IF(B92="","",IF(D92="","⚠ Falta estado",IF(AND(OR(D92="Ausente",D92="Medio día"),I92=""),"⚠ Falta motivo",IF(AND(OR(D92="Ausente",D92="Medio día"),J92=""),"⚠ Falta explicación",IF(D92="Ausente","✔ Ausencia justificada",IF(OR(E92="",F92=""),"⚠ Falta hora de entrada/salida",IF(K92="","⚠ Falta resumen del día",IF(N(L92)&lt;N(H92)-0.01,"⚠ Faltan "&amp;TEXT(N(H92)-N(L92),"0.0")&amp;" h por reportar","✔ OK"))))))))</f>
        <v/>
      </c>
    </row>
    <row r="93" customFormat="false" ht="15" hidden="false" customHeight="false" outlineLevel="0" collapsed="false">
      <c r="A93" s="17"/>
      <c r="B93" s="18"/>
      <c r="C93" s="13" t="str">
        <f aca="false">IF(B93="","",IFERROR(INDEX(Personal!$C$5:$C$104,MATCH(B93,Personal!$B$5:$B$104,0)),""))</f>
        <v/>
      </c>
      <c r="D93" s="18"/>
      <c r="E93" s="19"/>
      <c r="F93" s="19"/>
      <c r="G93" s="20"/>
      <c r="H93" s="16" t="str">
        <f aca="false">IF(OR(E93="",F93=""),"",ROUND(MOD(F93-E93,1)*24-N(G93),2))</f>
        <v/>
      </c>
      <c r="I93" s="18"/>
      <c r="J93" s="18"/>
      <c r="K93" s="18"/>
      <c r="L93" s="16" t="str">
        <f aca="false">IF(OR(A93="",B93=""),"",SUMIFS('Registro por hora'!$H$5:$H$2004,'Registro por hora'!$A$5:$A$2004,A93,'Registro por hora'!$B$5:$B$2004,B93))</f>
        <v/>
      </c>
      <c r="M93" s="13" t="str">
        <f aca="false">IF(B93="","",IF(D93="","⚠ Falta estado",IF(AND(OR(D93="Ausente",D93="Medio día"),I93=""),"⚠ Falta motivo",IF(AND(OR(D93="Ausente",D93="Medio día"),J93=""),"⚠ Falta explicación",IF(D93="Ausente","✔ Ausencia justificada",IF(OR(E93="",F93=""),"⚠ Falta hora de entrada/salida",IF(K93="","⚠ Falta resumen del día",IF(N(L93)&lt;N(H93)-0.01,"⚠ Faltan "&amp;TEXT(N(H93)-N(L93),"0.0")&amp;" h por reportar","✔ OK"))))))))</f>
        <v/>
      </c>
    </row>
    <row r="94" customFormat="false" ht="15" hidden="false" customHeight="false" outlineLevel="0" collapsed="false">
      <c r="A94" s="17"/>
      <c r="B94" s="18"/>
      <c r="C94" s="13" t="str">
        <f aca="false">IF(B94="","",IFERROR(INDEX(Personal!$C$5:$C$104,MATCH(B94,Personal!$B$5:$B$104,0)),""))</f>
        <v/>
      </c>
      <c r="D94" s="18"/>
      <c r="E94" s="19"/>
      <c r="F94" s="19"/>
      <c r="G94" s="20"/>
      <c r="H94" s="16" t="str">
        <f aca="false">IF(OR(E94="",F94=""),"",ROUND(MOD(F94-E94,1)*24-N(G94),2))</f>
        <v/>
      </c>
      <c r="I94" s="18"/>
      <c r="J94" s="18"/>
      <c r="K94" s="18"/>
      <c r="L94" s="16" t="str">
        <f aca="false">IF(OR(A94="",B94=""),"",SUMIFS('Registro por hora'!$H$5:$H$2004,'Registro por hora'!$A$5:$A$2004,A94,'Registro por hora'!$B$5:$B$2004,B94))</f>
        <v/>
      </c>
      <c r="M94" s="13" t="str">
        <f aca="false">IF(B94="","",IF(D94="","⚠ Falta estado",IF(AND(OR(D94="Ausente",D94="Medio día"),I94=""),"⚠ Falta motivo",IF(AND(OR(D94="Ausente",D94="Medio día"),J94=""),"⚠ Falta explicación",IF(D94="Ausente","✔ Ausencia justificada",IF(OR(E94="",F94=""),"⚠ Falta hora de entrada/salida",IF(K94="","⚠ Falta resumen del día",IF(N(L94)&lt;N(H94)-0.01,"⚠ Faltan "&amp;TEXT(N(H94)-N(L94),"0.0")&amp;" h por reportar","✔ OK"))))))))</f>
        <v/>
      </c>
    </row>
    <row r="95" customFormat="false" ht="15" hidden="false" customHeight="false" outlineLevel="0" collapsed="false">
      <c r="A95" s="17"/>
      <c r="B95" s="18"/>
      <c r="C95" s="13" t="str">
        <f aca="false">IF(B95="","",IFERROR(INDEX(Personal!$C$5:$C$104,MATCH(B95,Personal!$B$5:$B$104,0)),""))</f>
        <v/>
      </c>
      <c r="D95" s="18"/>
      <c r="E95" s="19"/>
      <c r="F95" s="19"/>
      <c r="G95" s="20"/>
      <c r="H95" s="16" t="str">
        <f aca="false">IF(OR(E95="",F95=""),"",ROUND(MOD(F95-E95,1)*24-N(G95),2))</f>
        <v/>
      </c>
      <c r="I95" s="18"/>
      <c r="J95" s="18"/>
      <c r="K95" s="18"/>
      <c r="L95" s="16" t="str">
        <f aca="false">IF(OR(A95="",B95=""),"",SUMIFS('Registro por hora'!$H$5:$H$2004,'Registro por hora'!$A$5:$A$2004,A95,'Registro por hora'!$B$5:$B$2004,B95))</f>
        <v/>
      </c>
      <c r="M95" s="13" t="str">
        <f aca="false">IF(B95="","",IF(D95="","⚠ Falta estado",IF(AND(OR(D95="Ausente",D95="Medio día"),I95=""),"⚠ Falta motivo",IF(AND(OR(D95="Ausente",D95="Medio día"),J95=""),"⚠ Falta explicación",IF(D95="Ausente","✔ Ausencia justificada",IF(OR(E95="",F95=""),"⚠ Falta hora de entrada/salida",IF(K95="","⚠ Falta resumen del día",IF(N(L95)&lt;N(H95)-0.01,"⚠ Faltan "&amp;TEXT(N(H95)-N(L95),"0.0")&amp;" h por reportar","✔ OK"))))))))</f>
        <v/>
      </c>
    </row>
    <row r="96" customFormat="false" ht="15" hidden="false" customHeight="false" outlineLevel="0" collapsed="false">
      <c r="A96" s="17"/>
      <c r="B96" s="18"/>
      <c r="C96" s="13" t="str">
        <f aca="false">IF(B96="","",IFERROR(INDEX(Personal!$C$5:$C$104,MATCH(B96,Personal!$B$5:$B$104,0)),""))</f>
        <v/>
      </c>
      <c r="D96" s="18"/>
      <c r="E96" s="19"/>
      <c r="F96" s="19"/>
      <c r="G96" s="20"/>
      <c r="H96" s="16" t="str">
        <f aca="false">IF(OR(E96="",F96=""),"",ROUND(MOD(F96-E96,1)*24-N(G96),2))</f>
        <v/>
      </c>
      <c r="I96" s="18"/>
      <c r="J96" s="18"/>
      <c r="K96" s="18"/>
      <c r="L96" s="16" t="str">
        <f aca="false">IF(OR(A96="",B96=""),"",SUMIFS('Registro por hora'!$H$5:$H$2004,'Registro por hora'!$A$5:$A$2004,A96,'Registro por hora'!$B$5:$B$2004,B96))</f>
        <v/>
      </c>
      <c r="M96" s="13" t="str">
        <f aca="false">IF(B96="","",IF(D96="","⚠ Falta estado",IF(AND(OR(D96="Ausente",D96="Medio día"),I96=""),"⚠ Falta motivo",IF(AND(OR(D96="Ausente",D96="Medio día"),J96=""),"⚠ Falta explicación",IF(D96="Ausente","✔ Ausencia justificada",IF(OR(E96="",F96=""),"⚠ Falta hora de entrada/salida",IF(K96="","⚠ Falta resumen del día",IF(N(L96)&lt;N(H96)-0.01,"⚠ Faltan "&amp;TEXT(N(H96)-N(L96),"0.0")&amp;" h por reportar","✔ OK"))))))))</f>
        <v/>
      </c>
    </row>
    <row r="97" customFormat="false" ht="15" hidden="false" customHeight="false" outlineLevel="0" collapsed="false">
      <c r="A97" s="17"/>
      <c r="B97" s="18"/>
      <c r="C97" s="13" t="str">
        <f aca="false">IF(B97="","",IFERROR(INDEX(Personal!$C$5:$C$104,MATCH(B97,Personal!$B$5:$B$104,0)),""))</f>
        <v/>
      </c>
      <c r="D97" s="18"/>
      <c r="E97" s="19"/>
      <c r="F97" s="19"/>
      <c r="G97" s="20"/>
      <c r="H97" s="16" t="str">
        <f aca="false">IF(OR(E97="",F97=""),"",ROUND(MOD(F97-E97,1)*24-N(G97),2))</f>
        <v/>
      </c>
      <c r="I97" s="18"/>
      <c r="J97" s="18"/>
      <c r="K97" s="18"/>
      <c r="L97" s="16" t="str">
        <f aca="false">IF(OR(A97="",B97=""),"",SUMIFS('Registro por hora'!$H$5:$H$2004,'Registro por hora'!$A$5:$A$2004,A97,'Registro por hora'!$B$5:$B$2004,B97))</f>
        <v/>
      </c>
      <c r="M97" s="13" t="str">
        <f aca="false">IF(B97="","",IF(D97="","⚠ Falta estado",IF(AND(OR(D97="Ausente",D97="Medio día"),I97=""),"⚠ Falta motivo",IF(AND(OR(D97="Ausente",D97="Medio día"),J97=""),"⚠ Falta explicación",IF(D97="Ausente","✔ Ausencia justificada",IF(OR(E97="",F97=""),"⚠ Falta hora de entrada/salida",IF(K97="","⚠ Falta resumen del día",IF(N(L97)&lt;N(H97)-0.01,"⚠ Faltan "&amp;TEXT(N(H97)-N(L97),"0.0")&amp;" h por reportar","✔ OK"))))))))</f>
        <v/>
      </c>
    </row>
    <row r="98" customFormat="false" ht="15" hidden="false" customHeight="false" outlineLevel="0" collapsed="false">
      <c r="A98" s="17"/>
      <c r="B98" s="18"/>
      <c r="C98" s="13" t="str">
        <f aca="false">IF(B98="","",IFERROR(INDEX(Personal!$C$5:$C$104,MATCH(B98,Personal!$B$5:$B$104,0)),""))</f>
        <v/>
      </c>
      <c r="D98" s="18"/>
      <c r="E98" s="19"/>
      <c r="F98" s="19"/>
      <c r="G98" s="20"/>
      <c r="H98" s="16" t="str">
        <f aca="false">IF(OR(E98="",F98=""),"",ROUND(MOD(F98-E98,1)*24-N(G98),2))</f>
        <v/>
      </c>
      <c r="I98" s="18"/>
      <c r="J98" s="18"/>
      <c r="K98" s="18"/>
      <c r="L98" s="16" t="str">
        <f aca="false">IF(OR(A98="",B98=""),"",SUMIFS('Registro por hora'!$H$5:$H$2004,'Registro por hora'!$A$5:$A$2004,A98,'Registro por hora'!$B$5:$B$2004,B98))</f>
        <v/>
      </c>
      <c r="M98" s="13" t="str">
        <f aca="false">IF(B98="","",IF(D98="","⚠ Falta estado",IF(AND(OR(D98="Ausente",D98="Medio día"),I98=""),"⚠ Falta motivo",IF(AND(OR(D98="Ausente",D98="Medio día"),J98=""),"⚠ Falta explicación",IF(D98="Ausente","✔ Ausencia justificada",IF(OR(E98="",F98=""),"⚠ Falta hora de entrada/salida",IF(K98="","⚠ Falta resumen del día",IF(N(L98)&lt;N(H98)-0.01,"⚠ Faltan "&amp;TEXT(N(H98)-N(L98),"0.0")&amp;" h por reportar","✔ OK"))))))))</f>
        <v/>
      </c>
    </row>
    <row r="99" customFormat="false" ht="15" hidden="false" customHeight="false" outlineLevel="0" collapsed="false">
      <c r="A99" s="17"/>
      <c r="B99" s="18"/>
      <c r="C99" s="13" t="str">
        <f aca="false">IF(B99="","",IFERROR(INDEX(Personal!$C$5:$C$104,MATCH(B99,Personal!$B$5:$B$104,0)),""))</f>
        <v/>
      </c>
      <c r="D99" s="18"/>
      <c r="E99" s="19"/>
      <c r="F99" s="19"/>
      <c r="G99" s="20"/>
      <c r="H99" s="16" t="str">
        <f aca="false">IF(OR(E99="",F99=""),"",ROUND(MOD(F99-E99,1)*24-N(G99),2))</f>
        <v/>
      </c>
      <c r="I99" s="18"/>
      <c r="J99" s="18"/>
      <c r="K99" s="18"/>
      <c r="L99" s="16" t="str">
        <f aca="false">IF(OR(A99="",B99=""),"",SUMIFS('Registro por hora'!$H$5:$H$2004,'Registro por hora'!$A$5:$A$2004,A99,'Registro por hora'!$B$5:$B$2004,B99))</f>
        <v/>
      </c>
      <c r="M99" s="13" t="str">
        <f aca="false">IF(B99="","",IF(D99="","⚠ Falta estado",IF(AND(OR(D99="Ausente",D99="Medio día"),I99=""),"⚠ Falta motivo",IF(AND(OR(D99="Ausente",D99="Medio día"),J99=""),"⚠ Falta explicación",IF(D99="Ausente","✔ Ausencia justificada",IF(OR(E99="",F99=""),"⚠ Falta hora de entrada/salida",IF(K99="","⚠ Falta resumen del día",IF(N(L99)&lt;N(H99)-0.01,"⚠ Faltan "&amp;TEXT(N(H99)-N(L99),"0.0")&amp;" h por reportar","✔ OK"))))))))</f>
        <v/>
      </c>
    </row>
    <row r="100" customFormat="false" ht="15" hidden="false" customHeight="false" outlineLevel="0" collapsed="false">
      <c r="A100" s="17"/>
      <c r="B100" s="18"/>
      <c r="C100" s="13" t="str">
        <f aca="false">IF(B100="","",IFERROR(INDEX(Personal!$C$5:$C$104,MATCH(B100,Personal!$B$5:$B$104,0)),""))</f>
        <v/>
      </c>
      <c r="D100" s="18"/>
      <c r="E100" s="19"/>
      <c r="F100" s="19"/>
      <c r="G100" s="20"/>
      <c r="H100" s="16" t="str">
        <f aca="false">IF(OR(E100="",F100=""),"",ROUND(MOD(F100-E100,1)*24-N(G100),2))</f>
        <v/>
      </c>
      <c r="I100" s="18"/>
      <c r="J100" s="18"/>
      <c r="K100" s="18"/>
      <c r="L100" s="16" t="str">
        <f aca="false">IF(OR(A100="",B100=""),"",SUMIFS('Registro por hora'!$H$5:$H$2004,'Registro por hora'!$A$5:$A$2004,A100,'Registro por hora'!$B$5:$B$2004,B100))</f>
        <v/>
      </c>
      <c r="M100" s="13" t="str">
        <f aca="false">IF(B100="","",IF(D100="","⚠ Falta estado",IF(AND(OR(D100="Ausente",D100="Medio día"),I100=""),"⚠ Falta motivo",IF(AND(OR(D100="Ausente",D100="Medio día"),J100=""),"⚠ Falta explicación",IF(D100="Ausente","✔ Ausencia justificada",IF(OR(E100="",F100=""),"⚠ Falta hora de entrada/salida",IF(K100="","⚠ Falta resumen del día",IF(N(L100)&lt;N(H100)-0.01,"⚠ Faltan "&amp;TEXT(N(H100)-N(L100),"0.0")&amp;" h por reportar","✔ OK"))))))))</f>
        <v/>
      </c>
    </row>
    <row r="101" customFormat="false" ht="15" hidden="false" customHeight="false" outlineLevel="0" collapsed="false">
      <c r="A101" s="17"/>
      <c r="B101" s="18"/>
      <c r="C101" s="13" t="str">
        <f aca="false">IF(B101="","",IFERROR(INDEX(Personal!$C$5:$C$104,MATCH(B101,Personal!$B$5:$B$104,0)),""))</f>
        <v/>
      </c>
      <c r="D101" s="18"/>
      <c r="E101" s="19"/>
      <c r="F101" s="19"/>
      <c r="G101" s="20"/>
      <c r="H101" s="16" t="str">
        <f aca="false">IF(OR(E101="",F101=""),"",ROUND(MOD(F101-E101,1)*24-N(G101),2))</f>
        <v/>
      </c>
      <c r="I101" s="18"/>
      <c r="J101" s="18"/>
      <c r="K101" s="18"/>
      <c r="L101" s="16" t="str">
        <f aca="false">IF(OR(A101="",B101=""),"",SUMIFS('Registro por hora'!$H$5:$H$2004,'Registro por hora'!$A$5:$A$2004,A101,'Registro por hora'!$B$5:$B$2004,B101))</f>
        <v/>
      </c>
      <c r="M101" s="13" t="str">
        <f aca="false">IF(B101="","",IF(D101="","⚠ Falta estado",IF(AND(OR(D101="Ausente",D101="Medio día"),I101=""),"⚠ Falta motivo",IF(AND(OR(D101="Ausente",D101="Medio día"),J101=""),"⚠ Falta explicación",IF(D101="Ausente","✔ Ausencia justificada",IF(OR(E101="",F101=""),"⚠ Falta hora de entrada/salida",IF(K101="","⚠ Falta resumen del día",IF(N(L101)&lt;N(H101)-0.01,"⚠ Faltan "&amp;TEXT(N(H101)-N(L101),"0.0")&amp;" h por reportar","✔ OK"))))))))</f>
        <v/>
      </c>
    </row>
    <row r="102" customFormat="false" ht="15" hidden="false" customHeight="false" outlineLevel="0" collapsed="false">
      <c r="A102" s="17"/>
      <c r="B102" s="18"/>
      <c r="C102" s="13" t="str">
        <f aca="false">IF(B102="","",IFERROR(INDEX(Personal!$C$5:$C$104,MATCH(B102,Personal!$B$5:$B$104,0)),""))</f>
        <v/>
      </c>
      <c r="D102" s="18"/>
      <c r="E102" s="19"/>
      <c r="F102" s="19"/>
      <c r="G102" s="20"/>
      <c r="H102" s="16" t="str">
        <f aca="false">IF(OR(E102="",F102=""),"",ROUND(MOD(F102-E102,1)*24-N(G102),2))</f>
        <v/>
      </c>
      <c r="I102" s="18"/>
      <c r="J102" s="18"/>
      <c r="K102" s="18"/>
      <c r="L102" s="16" t="str">
        <f aca="false">IF(OR(A102="",B102=""),"",SUMIFS('Registro por hora'!$H$5:$H$2004,'Registro por hora'!$A$5:$A$2004,A102,'Registro por hora'!$B$5:$B$2004,B102))</f>
        <v/>
      </c>
      <c r="M102" s="13" t="str">
        <f aca="false">IF(B102="","",IF(D102="","⚠ Falta estado",IF(AND(OR(D102="Ausente",D102="Medio día"),I102=""),"⚠ Falta motivo",IF(AND(OR(D102="Ausente",D102="Medio día"),J102=""),"⚠ Falta explicación",IF(D102="Ausente","✔ Ausencia justificada",IF(OR(E102="",F102=""),"⚠ Falta hora de entrada/salida",IF(K102="","⚠ Falta resumen del día",IF(N(L102)&lt;N(H102)-0.01,"⚠ Faltan "&amp;TEXT(N(H102)-N(L102),"0.0")&amp;" h por reportar","✔ OK"))))))))</f>
        <v/>
      </c>
    </row>
    <row r="103" customFormat="false" ht="15" hidden="false" customHeight="false" outlineLevel="0" collapsed="false">
      <c r="A103" s="17"/>
      <c r="B103" s="18"/>
      <c r="C103" s="13" t="str">
        <f aca="false">IF(B103="","",IFERROR(INDEX(Personal!$C$5:$C$104,MATCH(B103,Personal!$B$5:$B$104,0)),""))</f>
        <v/>
      </c>
      <c r="D103" s="18"/>
      <c r="E103" s="19"/>
      <c r="F103" s="19"/>
      <c r="G103" s="20"/>
      <c r="H103" s="16" t="str">
        <f aca="false">IF(OR(E103="",F103=""),"",ROUND(MOD(F103-E103,1)*24-N(G103),2))</f>
        <v/>
      </c>
      <c r="I103" s="18"/>
      <c r="J103" s="18"/>
      <c r="K103" s="18"/>
      <c r="L103" s="16" t="str">
        <f aca="false">IF(OR(A103="",B103=""),"",SUMIFS('Registro por hora'!$H$5:$H$2004,'Registro por hora'!$A$5:$A$2004,A103,'Registro por hora'!$B$5:$B$2004,B103))</f>
        <v/>
      </c>
      <c r="M103" s="13" t="str">
        <f aca="false">IF(B103="","",IF(D103="","⚠ Falta estado",IF(AND(OR(D103="Ausente",D103="Medio día"),I103=""),"⚠ Falta motivo",IF(AND(OR(D103="Ausente",D103="Medio día"),J103=""),"⚠ Falta explicación",IF(D103="Ausente","✔ Ausencia justificada",IF(OR(E103="",F103=""),"⚠ Falta hora de entrada/salida",IF(K103="","⚠ Falta resumen del día",IF(N(L103)&lt;N(H103)-0.01,"⚠ Faltan "&amp;TEXT(N(H103)-N(L103),"0.0")&amp;" h por reportar","✔ OK"))))))))</f>
        <v/>
      </c>
    </row>
    <row r="104" customFormat="false" ht="15" hidden="false" customHeight="false" outlineLevel="0" collapsed="false">
      <c r="A104" s="17"/>
      <c r="B104" s="18"/>
      <c r="C104" s="13" t="str">
        <f aca="false">IF(B104="","",IFERROR(INDEX(Personal!$C$5:$C$104,MATCH(B104,Personal!$B$5:$B$104,0)),""))</f>
        <v/>
      </c>
      <c r="D104" s="18"/>
      <c r="E104" s="19"/>
      <c r="F104" s="19"/>
      <c r="G104" s="20"/>
      <c r="H104" s="16" t="str">
        <f aca="false">IF(OR(E104="",F104=""),"",ROUND(MOD(F104-E104,1)*24-N(G104),2))</f>
        <v/>
      </c>
      <c r="I104" s="18"/>
      <c r="J104" s="18"/>
      <c r="K104" s="18"/>
      <c r="L104" s="16" t="str">
        <f aca="false">IF(OR(A104="",B104=""),"",SUMIFS('Registro por hora'!$H$5:$H$2004,'Registro por hora'!$A$5:$A$2004,A104,'Registro por hora'!$B$5:$B$2004,B104))</f>
        <v/>
      </c>
      <c r="M104" s="13" t="str">
        <f aca="false">IF(B104="","",IF(D104="","⚠ Falta estado",IF(AND(OR(D104="Ausente",D104="Medio día"),I104=""),"⚠ Falta motivo",IF(AND(OR(D104="Ausente",D104="Medio día"),J104=""),"⚠ Falta explicación",IF(D104="Ausente","✔ Ausencia justificada",IF(OR(E104="",F104=""),"⚠ Falta hora de entrada/salida",IF(K104="","⚠ Falta resumen del día",IF(N(L104)&lt;N(H104)-0.01,"⚠ Faltan "&amp;TEXT(N(H104)-N(L104),"0.0")&amp;" h por reportar","✔ OK"))))))))</f>
        <v/>
      </c>
    </row>
    <row r="105" customFormat="false" ht="15" hidden="false" customHeight="false" outlineLevel="0" collapsed="false">
      <c r="A105" s="17"/>
      <c r="B105" s="18"/>
      <c r="C105" s="13" t="str">
        <f aca="false">IF(B105="","",IFERROR(INDEX(Personal!$C$5:$C$104,MATCH(B105,Personal!$B$5:$B$104,0)),""))</f>
        <v/>
      </c>
      <c r="D105" s="18"/>
      <c r="E105" s="19"/>
      <c r="F105" s="19"/>
      <c r="G105" s="20"/>
      <c r="H105" s="16" t="str">
        <f aca="false">IF(OR(E105="",F105=""),"",ROUND(MOD(F105-E105,1)*24-N(G105),2))</f>
        <v/>
      </c>
      <c r="I105" s="18"/>
      <c r="J105" s="18"/>
      <c r="K105" s="18"/>
      <c r="L105" s="16" t="str">
        <f aca="false">IF(OR(A105="",B105=""),"",SUMIFS('Registro por hora'!$H$5:$H$2004,'Registro por hora'!$A$5:$A$2004,A105,'Registro por hora'!$B$5:$B$2004,B105))</f>
        <v/>
      </c>
      <c r="M105" s="13" t="str">
        <f aca="false">IF(B105="","",IF(D105="","⚠ Falta estado",IF(AND(OR(D105="Ausente",D105="Medio día"),I105=""),"⚠ Falta motivo",IF(AND(OR(D105="Ausente",D105="Medio día"),J105=""),"⚠ Falta explicación",IF(D105="Ausente","✔ Ausencia justificada",IF(OR(E105="",F105=""),"⚠ Falta hora de entrada/salida",IF(K105="","⚠ Falta resumen del día",IF(N(L105)&lt;N(H105)-0.01,"⚠ Faltan "&amp;TEXT(N(H105)-N(L105),"0.0")&amp;" h por reportar","✔ OK"))))))))</f>
        <v/>
      </c>
    </row>
    <row r="106" customFormat="false" ht="15" hidden="false" customHeight="false" outlineLevel="0" collapsed="false">
      <c r="A106" s="17"/>
      <c r="B106" s="18"/>
      <c r="C106" s="13" t="str">
        <f aca="false">IF(B106="","",IFERROR(INDEX(Personal!$C$5:$C$104,MATCH(B106,Personal!$B$5:$B$104,0)),""))</f>
        <v/>
      </c>
      <c r="D106" s="18"/>
      <c r="E106" s="19"/>
      <c r="F106" s="19"/>
      <c r="G106" s="20"/>
      <c r="H106" s="16" t="str">
        <f aca="false">IF(OR(E106="",F106=""),"",ROUND(MOD(F106-E106,1)*24-N(G106),2))</f>
        <v/>
      </c>
      <c r="I106" s="18"/>
      <c r="J106" s="18"/>
      <c r="K106" s="18"/>
      <c r="L106" s="16" t="str">
        <f aca="false">IF(OR(A106="",B106=""),"",SUMIFS('Registro por hora'!$H$5:$H$2004,'Registro por hora'!$A$5:$A$2004,A106,'Registro por hora'!$B$5:$B$2004,B106))</f>
        <v/>
      </c>
      <c r="M106" s="13" t="str">
        <f aca="false">IF(B106="","",IF(D106="","⚠ Falta estado",IF(AND(OR(D106="Ausente",D106="Medio día"),I106=""),"⚠ Falta motivo",IF(AND(OR(D106="Ausente",D106="Medio día"),J106=""),"⚠ Falta explicación",IF(D106="Ausente","✔ Ausencia justificada",IF(OR(E106="",F106=""),"⚠ Falta hora de entrada/salida",IF(K106="","⚠ Falta resumen del día",IF(N(L106)&lt;N(H106)-0.01,"⚠ Faltan "&amp;TEXT(N(H106)-N(L106),"0.0")&amp;" h por reportar","✔ OK"))))))))</f>
        <v/>
      </c>
    </row>
    <row r="107" customFormat="false" ht="15" hidden="false" customHeight="false" outlineLevel="0" collapsed="false">
      <c r="A107" s="17"/>
      <c r="B107" s="18"/>
      <c r="C107" s="13" t="str">
        <f aca="false">IF(B107="","",IFERROR(INDEX(Personal!$C$5:$C$104,MATCH(B107,Personal!$B$5:$B$104,0)),""))</f>
        <v/>
      </c>
      <c r="D107" s="18"/>
      <c r="E107" s="19"/>
      <c r="F107" s="19"/>
      <c r="G107" s="20"/>
      <c r="H107" s="16" t="str">
        <f aca="false">IF(OR(E107="",F107=""),"",ROUND(MOD(F107-E107,1)*24-N(G107),2))</f>
        <v/>
      </c>
      <c r="I107" s="18"/>
      <c r="J107" s="18"/>
      <c r="K107" s="18"/>
      <c r="L107" s="16" t="str">
        <f aca="false">IF(OR(A107="",B107=""),"",SUMIFS('Registro por hora'!$H$5:$H$2004,'Registro por hora'!$A$5:$A$2004,A107,'Registro por hora'!$B$5:$B$2004,B107))</f>
        <v/>
      </c>
      <c r="M107" s="13" t="str">
        <f aca="false">IF(B107="","",IF(D107="","⚠ Falta estado",IF(AND(OR(D107="Ausente",D107="Medio día"),I107=""),"⚠ Falta motivo",IF(AND(OR(D107="Ausente",D107="Medio día"),J107=""),"⚠ Falta explicación",IF(D107="Ausente","✔ Ausencia justificada",IF(OR(E107="",F107=""),"⚠ Falta hora de entrada/salida",IF(K107="","⚠ Falta resumen del día",IF(N(L107)&lt;N(H107)-0.01,"⚠ Faltan "&amp;TEXT(N(H107)-N(L107),"0.0")&amp;" h por reportar","✔ OK"))))))))</f>
        <v/>
      </c>
    </row>
    <row r="108" customFormat="false" ht="15" hidden="false" customHeight="false" outlineLevel="0" collapsed="false">
      <c r="A108" s="17"/>
      <c r="B108" s="18"/>
      <c r="C108" s="13" t="str">
        <f aca="false">IF(B108="","",IFERROR(INDEX(Personal!$C$5:$C$104,MATCH(B108,Personal!$B$5:$B$104,0)),""))</f>
        <v/>
      </c>
      <c r="D108" s="18"/>
      <c r="E108" s="19"/>
      <c r="F108" s="19"/>
      <c r="G108" s="20"/>
      <c r="H108" s="16" t="str">
        <f aca="false">IF(OR(E108="",F108=""),"",ROUND(MOD(F108-E108,1)*24-N(G108),2))</f>
        <v/>
      </c>
      <c r="I108" s="18"/>
      <c r="J108" s="18"/>
      <c r="K108" s="18"/>
      <c r="L108" s="16" t="str">
        <f aca="false">IF(OR(A108="",B108=""),"",SUMIFS('Registro por hora'!$H$5:$H$2004,'Registro por hora'!$A$5:$A$2004,A108,'Registro por hora'!$B$5:$B$2004,B108))</f>
        <v/>
      </c>
      <c r="M108" s="13" t="str">
        <f aca="false">IF(B108="","",IF(D108="","⚠ Falta estado",IF(AND(OR(D108="Ausente",D108="Medio día"),I108=""),"⚠ Falta motivo",IF(AND(OR(D108="Ausente",D108="Medio día"),J108=""),"⚠ Falta explicación",IF(D108="Ausente","✔ Ausencia justificada",IF(OR(E108="",F108=""),"⚠ Falta hora de entrada/salida",IF(K108="","⚠ Falta resumen del día",IF(N(L108)&lt;N(H108)-0.01,"⚠ Faltan "&amp;TEXT(N(H108)-N(L108),"0.0")&amp;" h por reportar","✔ OK"))))))))</f>
        <v/>
      </c>
    </row>
    <row r="109" customFormat="false" ht="15" hidden="false" customHeight="false" outlineLevel="0" collapsed="false">
      <c r="A109" s="17"/>
      <c r="B109" s="18"/>
      <c r="C109" s="13" t="str">
        <f aca="false">IF(B109="","",IFERROR(INDEX(Personal!$C$5:$C$104,MATCH(B109,Personal!$B$5:$B$104,0)),""))</f>
        <v/>
      </c>
      <c r="D109" s="18"/>
      <c r="E109" s="19"/>
      <c r="F109" s="19"/>
      <c r="G109" s="20"/>
      <c r="H109" s="16" t="str">
        <f aca="false">IF(OR(E109="",F109=""),"",ROUND(MOD(F109-E109,1)*24-N(G109),2))</f>
        <v/>
      </c>
      <c r="I109" s="18"/>
      <c r="J109" s="18"/>
      <c r="K109" s="18"/>
      <c r="L109" s="16" t="str">
        <f aca="false">IF(OR(A109="",B109=""),"",SUMIFS('Registro por hora'!$H$5:$H$2004,'Registro por hora'!$A$5:$A$2004,A109,'Registro por hora'!$B$5:$B$2004,B109))</f>
        <v/>
      </c>
      <c r="M109" s="13" t="str">
        <f aca="false">IF(B109="","",IF(D109="","⚠ Falta estado",IF(AND(OR(D109="Ausente",D109="Medio día"),I109=""),"⚠ Falta motivo",IF(AND(OR(D109="Ausente",D109="Medio día"),J109=""),"⚠ Falta explicación",IF(D109="Ausente","✔ Ausencia justificada",IF(OR(E109="",F109=""),"⚠ Falta hora de entrada/salida",IF(K109="","⚠ Falta resumen del día",IF(N(L109)&lt;N(H109)-0.01,"⚠ Faltan "&amp;TEXT(N(H109)-N(L109),"0.0")&amp;" h por reportar","✔ OK"))))))))</f>
        <v/>
      </c>
    </row>
    <row r="110" customFormat="false" ht="15" hidden="false" customHeight="false" outlineLevel="0" collapsed="false">
      <c r="A110" s="17"/>
      <c r="B110" s="18"/>
      <c r="C110" s="13" t="str">
        <f aca="false">IF(B110="","",IFERROR(INDEX(Personal!$C$5:$C$104,MATCH(B110,Personal!$B$5:$B$104,0)),""))</f>
        <v/>
      </c>
      <c r="D110" s="18"/>
      <c r="E110" s="19"/>
      <c r="F110" s="19"/>
      <c r="G110" s="20"/>
      <c r="H110" s="16" t="str">
        <f aca="false">IF(OR(E110="",F110=""),"",ROUND(MOD(F110-E110,1)*24-N(G110),2))</f>
        <v/>
      </c>
      <c r="I110" s="18"/>
      <c r="J110" s="18"/>
      <c r="K110" s="18"/>
      <c r="L110" s="16" t="str">
        <f aca="false">IF(OR(A110="",B110=""),"",SUMIFS('Registro por hora'!$H$5:$H$2004,'Registro por hora'!$A$5:$A$2004,A110,'Registro por hora'!$B$5:$B$2004,B110))</f>
        <v/>
      </c>
      <c r="M110" s="13" t="str">
        <f aca="false">IF(B110="","",IF(D110="","⚠ Falta estado",IF(AND(OR(D110="Ausente",D110="Medio día"),I110=""),"⚠ Falta motivo",IF(AND(OR(D110="Ausente",D110="Medio día"),J110=""),"⚠ Falta explicación",IF(D110="Ausente","✔ Ausencia justificada",IF(OR(E110="",F110=""),"⚠ Falta hora de entrada/salida",IF(K110="","⚠ Falta resumen del día",IF(N(L110)&lt;N(H110)-0.01,"⚠ Faltan "&amp;TEXT(N(H110)-N(L110),"0.0")&amp;" h por reportar","✔ OK"))))))))</f>
        <v/>
      </c>
    </row>
    <row r="111" customFormat="false" ht="15" hidden="false" customHeight="false" outlineLevel="0" collapsed="false">
      <c r="A111" s="17"/>
      <c r="B111" s="18"/>
      <c r="C111" s="13" t="str">
        <f aca="false">IF(B111="","",IFERROR(INDEX(Personal!$C$5:$C$104,MATCH(B111,Personal!$B$5:$B$104,0)),""))</f>
        <v/>
      </c>
      <c r="D111" s="18"/>
      <c r="E111" s="19"/>
      <c r="F111" s="19"/>
      <c r="G111" s="20"/>
      <c r="H111" s="16" t="str">
        <f aca="false">IF(OR(E111="",F111=""),"",ROUND(MOD(F111-E111,1)*24-N(G111),2))</f>
        <v/>
      </c>
      <c r="I111" s="18"/>
      <c r="J111" s="18"/>
      <c r="K111" s="18"/>
      <c r="L111" s="16" t="str">
        <f aca="false">IF(OR(A111="",B111=""),"",SUMIFS('Registro por hora'!$H$5:$H$2004,'Registro por hora'!$A$5:$A$2004,A111,'Registro por hora'!$B$5:$B$2004,B111))</f>
        <v/>
      </c>
      <c r="M111" s="13" t="str">
        <f aca="false">IF(B111="","",IF(D111="","⚠ Falta estado",IF(AND(OR(D111="Ausente",D111="Medio día"),I111=""),"⚠ Falta motivo",IF(AND(OR(D111="Ausente",D111="Medio día"),J111=""),"⚠ Falta explicación",IF(D111="Ausente","✔ Ausencia justificada",IF(OR(E111="",F111=""),"⚠ Falta hora de entrada/salida",IF(K111="","⚠ Falta resumen del día",IF(N(L111)&lt;N(H111)-0.01,"⚠ Faltan "&amp;TEXT(N(H111)-N(L111),"0.0")&amp;" h por reportar","✔ OK"))))))))</f>
        <v/>
      </c>
    </row>
    <row r="112" customFormat="false" ht="15" hidden="false" customHeight="false" outlineLevel="0" collapsed="false">
      <c r="A112" s="17"/>
      <c r="B112" s="18"/>
      <c r="C112" s="13" t="str">
        <f aca="false">IF(B112="","",IFERROR(INDEX(Personal!$C$5:$C$104,MATCH(B112,Personal!$B$5:$B$104,0)),""))</f>
        <v/>
      </c>
      <c r="D112" s="18"/>
      <c r="E112" s="19"/>
      <c r="F112" s="19"/>
      <c r="G112" s="20"/>
      <c r="H112" s="16" t="str">
        <f aca="false">IF(OR(E112="",F112=""),"",ROUND(MOD(F112-E112,1)*24-N(G112),2))</f>
        <v/>
      </c>
      <c r="I112" s="18"/>
      <c r="J112" s="18"/>
      <c r="K112" s="18"/>
      <c r="L112" s="16" t="str">
        <f aca="false">IF(OR(A112="",B112=""),"",SUMIFS('Registro por hora'!$H$5:$H$2004,'Registro por hora'!$A$5:$A$2004,A112,'Registro por hora'!$B$5:$B$2004,B112))</f>
        <v/>
      </c>
      <c r="M112" s="13" t="str">
        <f aca="false">IF(B112="","",IF(D112="","⚠ Falta estado",IF(AND(OR(D112="Ausente",D112="Medio día"),I112=""),"⚠ Falta motivo",IF(AND(OR(D112="Ausente",D112="Medio día"),J112=""),"⚠ Falta explicación",IF(D112="Ausente","✔ Ausencia justificada",IF(OR(E112="",F112=""),"⚠ Falta hora de entrada/salida",IF(K112="","⚠ Falta resumen del día",IF(N(L112)&lt;N(H112)-0.01,"⚠ Faltan "&amp;TEXT(N(H112)-N(L112),"0.0")&amp;" h por reportar","✔ OK"))))))))</f>
        <v/>
      </c>
    </row>
    <row r="113" customFormat="false" ht="15" hidden="false" customHeight="false" outlineLevel="0" collapsed="false">
      <c r="A113" s="17"/>
      <c r="B113" s="18"/>
      <c r="C113" s="13" t="str">
        <f aca="false">IF(B113="","",IFERROR(INDEX(Personal!$C$5:$C$104,MATCH(B113,Personal!$B$5:$B$104,0)),""))</f>
        <v/>
      </c>
      <c r="D113" s="18"/>
      <c r="E113" s="19"/>
      <c r="F113" s="19"/>
      <c r="G113" s="20"/>
      <c r="H113" s="16" t="str">
        <f aca="false">IF(OR(E113="",F113=""),"",ROUND(MOD(F113-E113,1)*24-N(G113),2))</f>
        <v/>
      </c>
      <c r="I113" s="18"/>
      <c r="J113" s="18"/>
      <c r="K113" s="18"/>
      <c r="L113" s="16" t="str">
        <f aca="false">IF(OR(A113="",B113=""),"",SUMIFS('Registro por hora'!$H$5:$H$2004,'Registro por hora'!$A$5:$A$2004,A113,'Registro por hora'!$B$5:$B$2004,B113))</f>
        <v/>
      </c>
      <c r="M113" s="13" t="str">
        <f aca="false">IF(B113="","",IF(D113="","⚠ Falta estado",IF(AND(OR(D113="Ausente",D113="Medio día"),I113=""),"⚠ Falta motivo",IF(AND(OR(D113="Ausente",D113="Medio día"),J113=""),"⚠ Falta explicación",IF(D113="Ausente","✔ Ausencia justificada",IF(OR(E113="",F113=""),"⚠ Falta hora de entrada/salida",IF(K113="","⚠ Falta resumen del día",IF(N(L113)&lt;N(H113)-0.01,"⚠ Faltan "&amp;TEXT(N(H113)-N(L113),"0.0")&amp;" h por reportar","✔ OK"))))))))</f>
        <v/>
      </c>
    </row>
    <row r="114" customFormat="false" ht="15" hidden="false" customHeight="false" outlineLevel="0" collapsed="false">
      <c r="A114" s="17"/>
      <c r="B114" s="18"/>
      <c r="C114" s="13" t="str">
        <f aca="false">IF(B114="","",IFERROR(INDEX(Personal!$C$5:$C$104,MATCH(B114,Personal!$B$5:$B$104,0)),""))</f>
        <v/>
      </c>
      <c r="D114" s="18"/>
      <c r="E114" s="19"/>
      <c r="F114" s="19"/>
      <c r="G114" s="20"/>
      <c r="H114" s="16" t="str">
        <f aca="false">IF(OR(E114="",F114=""),"",ROUND(MOD(F114-E114,1)*24-N(G114),2))</f>
        <v/>
      </c>
      <c r="I114" s="18"/>
      <c r="J114" s="18"/>
      <c r="K114" s="18"/>
      <c r="L114" s="16" t="str">
        <f aca="false">IF(OR(A114="",B114=""),"",SUMIFS('Registro por hora'!$H$5:$H$2004,'Registro por hora'!$A$5:$A$2004,A114,'Registro por hora'!$B$5:$B$2004,B114))</f>
        <v/>
      </c>
      <c r="M114" s="13" t="str">
        <f aca="false">IF(B114="","",IF(D114="","⚠ Falta estado",IF(AND(OR(D114="Ausente",D114="Medio día"),I114=""),"⚠ Falta motivo",IF(AND(OR(D114="Ausente",D114="Medio día"),J114=""),"⚠ Falta explicación",IF(D114="Ausente","✔ Ausencia justificada",IF(OR(E114="",F114=""),"⚠ Falta hora de entrada/salida",IF(K114="","⚠ Falta resumen del día",IF(N(L114)&lt;N(H114)-0.01,"⚠ Faltan "&amp;TEXT(N(H114)-N(L114),"0.0")&amp;" h por reportar","✔ OK"))))))))</f>
        <v/>
      </c>
    </row>
    <row r="115" customFormat="false" ht="15" hidden="false" customHeight="false" outlineLevel="0" collapsed="false">
      <c r="A115" s="17"/>
      <c r="B115" s="18"/>
      <c r="C115" s="13" t="str">
        <f aca="false">IF(B115="","",IFERROR(INDEX(Personal!$C$5:$C$104,MATCH(B115,Personal!$B$5:$B$104,0)),""))</f>
        <v/>
      </c>
      <c r="D115" s="18"/>
      <c r="E115" s="19"/>
      <c r="F115" s="19"/>
      <c r="G115" s="20"/>
      <c r="H115" s="16" t="str">
        <f aca="false">IF(OR(E115="",F115=""),"",ROUND(MOD(F115-E115,1)*24-N(G115),2))</f>
        <v/>
      </c>
      <c r="I115" s="18"/>
      <c r="J115" s="18"/>
      <c r="K115" s="18"/>
      <c r="L115" s="16" t="str">
        <f aca="false">IF(OR(A115="",B115=""),"",SUMIFS('Registro por hora'!$H$5:$H$2004,'Registro por hora'!$A$5:$A$2004,A115,'Registro por hora'!$B$5:$B$2004,B115))</f>
        <v/>
      </c>
      <c r="M115" s="13" t="str">
        <f aca="false">IF(B115="","",IF(D115="","⚠ Falta estado",IF(AND(OR(D115="Ausente",D115="Medio día"),I115=""),"⚠ Falta motivo",IF(AND(OR(D115="Ausente",D115="Medio día"),J115=""),"⚠ Falta explicación",IF(D115="Ausente","✔ Ausencia justificada",IF(OR(E115="",F115=""),"⚠ Falta hora de entrada/salida",IF(K115="","⚠ Falta resumen del día",IF(N(L115)&lt;N(H115)-0.01,"⚠ Faltan "&amp;TEXT(N(H115)-N(L115),"0.0")&amp;" h por reportar","✔ OK"))))))))</f>
        <v/>
      </c>
    </row>
    <row r="116" customFormat="false" ht="15" hidden="false" customHeight="false" outlineLevel="0" collapsed="false">
      <c r="A116" s="17"/>
      <c r="B116" s="18"/>
      <c r="C116" s="13" t="str">
        <f aca="false">IF(B116="","",IFERROR(INDEX(Personal!$C$5:$C$104,MATCH(B116,Personal!$B$5:$B$104,0)),""))</f>
        <v/>
      </c>
      <c r="D116" s="18"/>
      <c r="E116" s="19"/>
      <c r="F116" s="19"/>
      <c r="G116" s="20"/>
      <c r="H116" s="16" t="str">
        <f aca="false">IF(OR(E116="",F116=""),"",ROUND(MOD(F116-E116,1)*24-N(G116),2))</f>
        <v/>
      </c>
      <c r="I116" s="18"/>
      <c r="J116" s="18"/>
      <c r="K116" s="18"/>
      <c r="L116" s="16" t="str">
        <f aca="false">IF(OR(A116="",B116=""),"",SUMIFS('Registro por hora'!$H$5:$H$2004,'Registro por hora'!$A$5:$A$2004,A116,'Registro por hora'!$B$5:$B$2004,B116))</f>
        <v/>
      </c>
      <c r="M116" s="13" t="str">
        <f aca="false">IF(B116="","",IF(D116="","⚠ Falta estado",IF(AND(OR(D116="Ausente",D116="Medio día"),I116=""),"⚠ Falta motivo",IF(AND(OR(D116="Ausente",D116="Medio día"),J116=""),"⚠ Falta explicación",IF(D116="Ausente","✔ Ausencia justificada",IF(OR(E116="",F116=""),"⚠ Falta hora de entrada/salida",IF(K116="","⚠ Falta resumen del día",IF(N(L116)&lt;N(H116)-0.01,"⚠ Faltan "&amp;TEXT(N(H116)-N(L116),"0.0")&amp;" h por reportar","✔ OK"))))))))</f>
        <v/>
      </c>
    </row>
    <row r="117" customFormat="false" ht="15" hidden="false" customHeight="false" outlineLevel="0" collapsed="false">
      <c r="A117" s="17"/>
      <c r="B117" s="18"/>
      <c r="C117" s="13" t="str">
        <f aca="false">IF(B117="","",IFERROR(INDEX(Personal!$C$5:$C$104,MATCH(B117,Personal!$B$5:$B$104,0)),""))</f>
        <v/>
      </c>
      <c r="D117" s="18"/>
      <c r="E117" s="19"/>
      <c r="F117" s="19"/>
      <c r="G117" s="20"/>
      <c r="H117" s="16" t="str">
        <f aca="false">IF(OR(E117="",F117=""),"",ROUND(MOD(F117-E117,1)*24-N(G117),2))</f>
        <v/>
      </c>
      <c r="I117" s="18"/>
      <c r="J117" s="18"/>
      <c r="K117" s="18"/>
      <c r="L117" s="16" t="str">
        <f aca="false">IF(OR(A117="",B117=""),"",SUMIFS('Registro por hora'!$H$5:$H$2004,'Registro por hora'!$A$5:$A$2004,A117,'Registro por hora'!$B$5:$B$2004,B117))</f>
        <v/>
      </c>
      <c r="M117" s="13" t="str">
        <f aca="false">IF(B117="","",IF(D117="","⚠ Falta estado",IF(AND(OR(D117="Ausente",D117="Medio día"),I117=""),"⚠ Falta motivo",IF(AND(OR(D117="Ausente",D117="Medio día"),J117=""),"⚠ Falta explicación",IF(D117="Ausente","✔ Ausencia justificada",IF(OR(E117="",F117=""),"⚠ Falta hora de entrada/salida",IF(K117="","⚠ Falta resumen del día",IF(N(L117)&lt;N(H117)-0.01,"⚠ Faltan "&amp;TEXT(N(H117)-N(L117),"0.0")&amp;" h por reportar","✔ OK"))))))))</f>
        <v/>
      </c>
    </row>
    <row r="118" customFormat="false" ht="15" hidden="false" customHeight="false" outlineLevel="0" collapsed="false">
      <c r="A118" s="17"/>
      <c r="B118" s="18"/>
      <c r="C118" s="13" t="str">
        <f aca="false">IF(B118="","",IFERROR(INDEX(Personal!$C$5:$C$104,MATCH(B118,Personal!$B$5:$B$104,0)),""))</f>
        <v/>
      </c>
      <c r="D118" s="18"/>
      <c r="E118" s="19"/>
      <c r="F118" s="19"/>
      <c r="G118" s="20"/>
      <c r="H118" s="16" t="str">
        <f aca="false">IF(OR(E118="",F118=""),"",ROUND(MOD(F118-E118,1)*24-N(G118),2))</f>
        <v/>
      </c>
      <c r="I118" s="18"/>
      <c r="J118" s="18"/>
      <c r="K118" s="18"/>
      <c r="L118" s="16" t="str">
        <f aca="false">IF(OR(A118="",B118=""),"",SUMIFS('Registro por hora'!$H$5:$H$2004,'Registro por hora'!$A$5:$A$2004,A118,'Registro por hora'!$B$5:$B$2004,B118))</f>
        <v/>
      </c>
      <c r="M118" s="13" t="str">
        <f aca="false">IF(B118="","",IF(D118="","⚠ Falta estado",IF(AND(OR(D118="Ausente",D118="Medio día"),I118=""),"⚠ Falta motivo",IF(AND(OR(D118="Ausente",D118="Medio día"),J118=""),"⚠ Falta explicación",IF(D118="Ausente","✔ Ausencia justificada",IF(OR(E118="",F118=""),"⚠ Falta hora de entrada/salida",IF(K118="","⚠ Falta resumen del día",IF(N(L118)&lt;N(H118)-0.01,"⚠ Faltan "&amp;TEXT(N(H118)-N(L118),"0.0")&amp;" h por reportar","✔ OK"))))))))</f>
        <v/>
      </c>
    </row>
    <row r="119" customFormat="false" ht="15" hidden="false" customHeight="false" outlineLevel="0" collapsed="false">
      <c r="A119" s="17"/>
      <c r="B119" s="18"/>
      <c r="C119" s="13" t="str">
        <f aca="false">IF(B119="","",IFERROR(INDEX(Personal!$C$5:$C$104,MATCH(B119,Personal!$B$5:$B$104,0)),""))</f>
        <v/>
      </c>
      <c r="D119" s="18"/>
      <c r="E119" s="19"/>
      <c r="F119" s="19"/>
      <c r="G119" s="20"/>
      <c r="H119" s="16" t="str">
        <f aca="false">IF(OR(E119="",F119=""),"",ROUND(MOD(F119-E119,1)*24-N(G119),2))</f>
        <v/>
      </c>
      <c r="I119" s="18"/>
      <c r="J119" s="18"/>
      <c r="K119" s="18"/>
      <c r="L119" s="16" t="str">
        <f aca="false">IF(OR(A119="",B119=""),"",SUMIFS('Registro por hora'!$H$5:$H$2004,'Registro por hora'!$A$5:$A$2004,A119,'Registro por hora'!$B$5:$B$2004,B119))</f>
        <v/>
      </c>
      <c r="M119" s="13" t="str">
        <f aca="false">IF(B119="","",IF(D119="","⚠ Falta estado",IF(AND(OR(D119="Ausente",D119="Medio día"),I119=""),"⚠ Falta motivo",IF(AND(OR(D119="Ausente",D119="Medio día"),J119=""),"⚠ Falta explicación",IF(D119="Ausente","✔ Ausencia justificada",IF(OR(E119="",F119=""),"⚠ Falta hora de entrada/salida",IF(K119="","⚠ Falta resumen del día",IF(N(L119)&lt;N(H119)-0.01,"⚠ Faltan "&amp;TEXT(N(H119)-N(L119),"0.0")&amp;" h por reportar","✔ OK"))))))))</f>
        <v/>
      </c>
    </row>
    <row r="120" customFormat="false" ht="15" hidden="false" customHeight="false" outlineLevel="0" collapsed="false">
      <c r="A120" s="17"/>
      <c r="B120" s="18"/>
      <c r="C120" s="13" t="str">
        <f aca="false">IF(B120="","",IFERROR(INDEX(Personal!$C$5:$C$104,MATCH(B120,Personal!$B$5:$B$104,0)),""))</f>
        <v/>
      </c>
      <c r="D120" s="18"/>
      <c r="E120" s="19"/>
      <c r="F120" s="19"/>
      <c r="G120" s="20"/>
      <c r="H120" s="16" t="str">
        <f aca="false">IF(OR(E120="",F120=""),"",ROUND(MOD(F120-E120,1)*24-N(G120),2))</f>
        <v/>
      </c>
      <c r="I120" s="18"/>
      <c r="J120" s="18"/>
      <c r="K120" s="18"/>
      <c r="L120" s="16" t="str">
        <f aca="false">IF(OR(A120="",B120=""),"",SUMIFS('Registro por hora'!$H$5:$H$2004,'Registro por hora'!$A$5:$A$2004,A120,'Registro por hora'!$B$5:$B$2004,B120))</f>
        <v/>
      </c>
      <c r="M120" s="13" t="str">
        <f aca="false">IF(B120="","",IF(D120="","⚠ Falta estado",IF(AND(OR(D120="Ausente",D120="Medio día"),I120=""),"⚠ Falta motivo",IF(AND(OR(D120="Ausente",D120="Medio día"),J120=""),"⚠ Falta explicación",IF(D120="Ausente","✔ Ausencia justificada",IF(OR(E120="",F120=""),"⚠ Falta hora de entrada/salida",IF(K120="","⚠ Falta resumen del día",IF(N(L120)&lt;N(H120)-0.01,"⚠ Faltan "&amp;TEXT(N(H120)-N(L120),"0.0")&amp;" h por reportar","✔ OK"))))))))</f>
        <v/>
      </c>
    </row>
    <row r="121" customFormat="false" ht="15" hidden="false" customHeight="false" outlineLevel="0" collapsed="false">
      <c r="A121" s="17"/>
      <c r="B121" s="18"/>
      <c r="C121" s="13" t="str">
        <f aca="false">IF(B121="","",IFERROR(INDEX(Personal!$C$5:$C$104,MATCH(B121,Personal!$B$5:$B$104,0)),""))</f>
        <v/>
      </c>
      <c r="D121" s="18"/>
      <c r="E121" s="19"/>
      <c r="F121" s="19"/>
      <c r="G121" s="20"/>
      <c r="H121" s="16" t="str">
        <f aca="false">IF(OR(E121="",F121=""),"",ROUND(MOD(F121-E121,1)*24-N(G121),2))</f>
        <v/>
      </c>
      <c r="I121" s="18"/>
      <c r="J121" s="18"/>
      <c r="K121" s="18"/>
      <c r="L121" s="16" t="str">
        <f aca="false">IF(OR(A121="",B121=""),"",SUMIFS('Registro por hora'!$H$5:$H$2004,'Registro por hora'!$A$5:$A$2004,A121,'Registro por hora'!$B$5:$B$2004,B121))</f>
        <v/>
      </c>
      <c r="M121" s="13" t="str">
        <f aca="false">IF(B121="","",IF(D121="","⚠ Falta estado",IF(AND(OR(D121="Ausente",D121="Medio día"),I121=""),"⚠ Falta motivo",IF(AND(OR(D121="Ausente",D121="Medio día"),J121=""),"⚠ Falta explicación",IF(D121="Ausente","✔ Ausencia justificada",IF(OR(E121="",F121=""),"⚠ Falta hora de entrada/salida",IF(K121="","⚠ Falta resumen del día",IF(N(L121)&lt;N(H121)-0.01,"⚠ Faltan "&amp;TEXT(N(H121)-N(L121),"0.0")&amp;" h por reportar","✔ OK"))))))))</f>
        <v/>
      </c>
    </row>
    <row r="122" customFormat="false" ht="15" hidden="false" customHeight="false" outlineLevel="0" collapsed="false">
      <c r="A122" s="17"/>
      <c r="B122" s="18"/>
      <c r="C122" s="13" t="str">
        <f aca="false">IF(B122="","",IFERROR(INDEX(Personal!$C$5:$C$104,MATCH(B122,Personal!$B$5:$B$104,0)),""))</f>
        <v/>
      </c>
      <c r="D122" s="18"/>
      <c r="E122" s="19"/>
      <c r="F122" s="19"/>
      <c r="G122" s="20"/>
      <c r="H122" s="16" t="str">
        <f aca="false">IF(OR(E122="",F122=""),"",ROUND(MOD(F122-E122,1)*24-N(G122),2))</f>
        <v/>
      </c>
      <c r="I122" s="18"/>
      <c r="J122" s="18"/>
      <c r="K122" s="18"/>
      <c r="L122" s="16" t="str">
        <f aca="false">IF(OR(A122="",B122=""),"",SUMIFS('Registro por hora'!$H$5:$H$2004,'Registro por hora'!$A$5:$A$2004,A122,'Registro por hora'!$B$5:$B$2004,B122))</f>
        <v/>
      </c>
      <c r="M122" s="13" t="str">
        <f aca="false">IF(B122="","",IF(D122="","⚠ Falta estado",IF(AND(OR(D122="Ausente",D122="Medio día"),I122=""),"⚠ Falta motivo",IF(AND(OR(D122="Ausente",D122="Medio día"),J122=""),"⚠ Falta explicación",IF(D122="Ausente","✔ Ausencia justificada",IF(OR(E122="",F122=""),"⚠ Falta hora de entrada/salida",IF(K122="","⚠ Falta resumen del día",IF(N(L122)&lt;N(H122)-0.01,"⚠ Faltan "&amp;TEXT(N(H122)-N(L122),"0.0")&amp;" h por reportar","✔ OK"))))))))</f>
        <v/>
      </c>
    </row>
    <row r="123" customFormat="false" ht="15" hidden="false" customHeight="false" outlineLevel="0" collapsed="false">
      <c r="A123" s="17"/>
      <c r="B123" s="18"/>
      <c r="C123" s="13" t="str">
        <f aca="false">IF(B123="","",IFERROR(INDEX(Personal!$C$5:$C$104,MATCH(B123,Personal!$B$5:$B$104,0)),""))</f>
        <v/>
      </c>
      <c r="D123" s="18"/>
      <c r="E123" s="19"/>
      <c r="F123" s="19"/>
      <c r="G123" s="20"/>
      <c r="H123" s="16" t="str">
        <f aca="false">IF(OR(E123="",F123=""),"",ROUND(MOD(F123-E123,1)*24-N(G123),2))</f>
        <v/>
      </c>
      <c r="I123" s="18"/>
      <c r="J123" s="18"/>
      <c r="K123" s="18"/>
      <c r="L123" s="16" t="str">
        <f aca="false">IF(OR(A123="",B123=""),"",SUMIFS('Registro por hora'!$H$5:$H$2004,'Registro por hora'!$A$5:$A$2004,A123,'Registro por hora'!$B$5:$B$2004,B123))</f>
        <v/>
      </c>
      <c r="M123" s="13" t="str">
        <f aca="false">IF(B123="","",IF(D123="","⚠ Falta estado",IF(AND(OR(D123="Ausente",D123="Medio día"),I123=""),"⚠ Falta motivo",IF(AND(OR(D123="Ausente",D123="Medio día"),J123=""),"⚠ Falta explicación",IF(D123="Ausente","✔ Ausencia justificada",IF(OR(E123="",F123=""),"⚠ Falta hora de entrada/salida",IF(K123="","⚠ Falta resumen del día",IF(N(L123)&lt;N(H123)-0.01,"⚠ Faltan "&amp;TEXT(N(H123)-N(L123),"0.0")&amp;" h por reportar","✔ OK"))))))))</f>
        <v/>
      </c>
    </row>
    <row r="124" customFormat="false" ht="15" hidden="false" customHeight="false" outlineLevel="0" collapsed="false">
      <c r="A124" s="17"/>
      <c r="B124" s="18"/>
      <c r="C124" s="13" t="str">
        <f aca="false">IF(B124="","",IFERROR(INDEX(Personal!$C$5:$C$104,MATCH(B124,Personal!$B$5:$B$104,0)),""))</f>
        <v/>
      </c>
      <c r="D124" s="18"/>
      <c r="E124" s="19"/>
      <c r="F124" s="19"/>
      <c r="G124" s="20"/>
      <c r="H124" s="16" t="str">
        <f aca="false">IF(OR(E124="",F124=""),"",ROUND(MOD(F124-E124,1)*24-N(G124),2))</f>
        <v/>
      </c>
      <c r="I124" s="18"/>
      <c r="J124" s="18"/>
      <c r="K124" s="18"/>
      <c r="L124" s="16" t="str">
        <f aca="false">IF(OR(A124="",B124=""),"",SUMIFS('Registro por hora'!$H$5:$H$2004,'Registro por hora'!$A$5:$A$2004,A124,'Registro por hora'!$B$5:$B$2004,B124))</f>
        <v/>
      </c>
      <c r="M124" s="13" t="str">
        <f aca="false">IF(B124="","",IF(D124="","⚠ Falta estado",IF(AND(OR(D124="Ausente",D124="Medio día"),I124=""),"⚠ Falta motivo",IF(AND(OR(D124="Ausente",D124="Medio día"),J124=""),"⚠ Falta explicación",IF(D124="Ausente","✔ Ausencia justificada",IF(OR(E124="",F124=""),"⚠ Falta hora de entrada/salida",IF(K124="","⚠ Falta resumen del día",IF(N(L124)&lt;N(H124)-0.01,"⚠ Faltan "&amp;TEXT(N(H124)-N(L124),"0.0")&amp;" h por reportar","✔ OK"))))))))</f>
        <v/>
      </c>
    </row>
    <row r="125" customFormat="false" ht="15" hidden="false" customHeight="false" outlineLevel="0" collapsed="false">
      <c r="A125" s="17"/>
      <c r="B125" s="18"/>
      <c r="C125" s="13" t="str">
        <f aca="false">IF(B125="","",IFERROR(INDEX(Personal!$C$5:$C$104,MATCH(B125,Personal!$B$5:$B$104,0)),""))</f>
        <v/>
      </c>
      <c r="D125" s="18"/>
      <c r="E125" s="19"/>
      <c r="F125" s="19"/>
      <c r="G125" s="20"/>
      <c r="H125" s="16" t="str">
        <f aca="false">IF(OR(E125="",F125=""),"",ROUND(MOD(F125-E125,1)*24-N(G125),2))</f>
        <v/>
      </c>
      <c r="I125" s="18"/>
      <c r="J125" s="18"/>
      <c r="K125" s="18"/>
      <c r="L125" s="16" t="str">
        <f aca="false">IF(OR(A125="",B125=""),"",SUMIFS('Registro por hora'!$H$5:$H$2004,'Registro por hora'!$A$5:$A$2004,A125,'Registro por hora'!$B$5:$B$2004,B125))</f>
        <v/>
      </c>
      <c r="M125" s="13" t="str">
        <f aca="false">IF(B125="","",IF(D125="","⚠ Falta estado",IF(AND(OR(D125="Ausente",D125="Medio día"),I125=""),"⚠ Falta motivo",IF(AND(OR(D125="Ausente",D125="Medio día"),J125=""),"⚠ Falta explicación",IF(D125="Ausente","✔ Ausencia justificada",IF(OR(E125="",F125=""),"⚠ Falta hora de entrada/salida",IF(K125="","⚠ Falta resumen del día",IF(N(L125)&lt;N(H125)-0.01,"⚠ Faltan "&amp;TEXT(N(H125)-N(L125),"0.0")&amp;" h por reportar","✔ OK"))))))))</f>
        <v/>
      </c>
    </row>
    <row r="126" customFormat="false" ht="15" hidden="false" customHeight="false" outlineLevel="0" collapsed="false">
      <c r="A126" s="17"/>
      <c r="B126" s="18"/>
      <c r="C126" s="13" t="str">
        <f aca="false">IF(B126="","",IFERROR(INDEX(Personal!$C$5:$C$104,MATCH(B126,Personal!$B$5:$B$104,0)),""))</f>
        <v/>
      </c>
      <c r="D126" s="18"/>
      <c r="E126" s="19"/>
      <c r="F126" s="19"/>
      <c r="G126" s="20"/>
      <c r="H126" s="16" t="str">
        <f aca="false">IF(OR(E126="",F126=""),"",ROUND(MOD(F126-E126,1)*24-N(G126),2))</f>
        <v/>
      </c>
      <c r="I126" s="18"/>
      <c r="J126" s="18"/>
      <c r="K126" s="18"/>
      <c r="L126" s="16" t="str">
        <f aca="false">IF(OR(A126="",B126=""),"",SUMIFS('Registro por hora'!$H$5:$H$2004,'Registro por hora'!$A$5:$A$2004,A126,'Registro por hora'!$B$5:$B$2004,B126))</f>
        <v/>
      </c>
      <c r="M126" s="13" t="str">
        <f aca="false">IF(B126="","",IF(D126="","⚠ Falta estado",IF(AND(OR(D126="Ausente",D126="Medio día"),I126=""),"⚠ Falta motivo",IF(AND(OR(D126="Ausente",D126="Medio día"),J126=""),"⚠ Falta explicación",IF(D126="Ausente","✔ Ausencia justificada",IF(OR(E126="",F126=""),"⚠ Falta hora de entrada/salida",IF(K126="","⚠ Falta resumen del día",IF(N(L126)&lt;N(H126)-0.01,"⚠ Faltan "&amp;TEXT(N(H126)-N(L126),"0.0")&amp;" h por reportar","✔ OK"))))))))</f>
        <v/>
      </c>
    </row>
    <row r="127" customFormat="false" ht="15" hidden="false" customHeight="false" outlineLevel="0" collapsed="false">
      <c r="A127" s="17"/>
      <c r="B127" s="18"/>
      <c r="C127" s="13" t="str">
        <f aca="false">IF(B127="","",IFERROR(INDEX(Personal!$C$5:$C$104,MATCH(B127,Personal!$B$5:$B$104,0)),""))</f>
        <v/>
      </c>
      <c r="D127" s="18"/>
      <c r="E127" s="19"/>
      <c r="F127" s="19"/>
      <c r="G127" s="20"/>
      <c r="H127" s="16" t="str">
        <f aca="false">IF(OR(E127="",F127=""),"",ROUND(MOD(F127-E127,1)*24-N(G127),2))</f>
        <v/>
      </c>
      <c r="I127" s="18"/>
      <c r="J127" s="18"/>
      <c r="K127" s="18"/>
      <c r="L127" s="16" t="str">
        <f aca="false">IF(OR(A127="",B127=""),"",SUMIFS('Registro por hora'!$H$5:$H$2004,'Registro por hora'!$A$5:$A$2004,A127,'Registro por hora'!$B$5:$B$2004,B127))</f>
        <v/>
      </c>
      <c r="M127" s="13" t="str">
        <f aca="false">IF(B127="","",IF(D127="","⚠ Falta estado",IF(AND(OR(D127="Ausente",D127="Medio día"),I127=""),"⚠ Falta motivo",IF(AND(OR(D127="Ausente",D127="Medio día"),J127=""),"⚠ Falta explicación",IF(D127="Ausente","✔ Ausencia justificada",IF(OR(E127="",F127=""),"⚠ Falta hora de entrada/salida",IF(K127="","⚠ Falta resumen del día",IF(N(L127)&lt;N(H127)-0.01,"⚠ Faltan "&amp;TEXT(N(H127)-N(L127),"0.0")&amp;" h por reportar","✔ OK"))))))))</f>
        <v/>
      </c>
    </row>
    <row r="128" customFormat="false" ht="15" hidden="false" customHeight="false" outlineLevel="0" collapsed="false">
      <c r="A128" s="17"/>
      <c r="B128" s="18"/>
      <c r="C128" s="13" t="str">
        <f aca="false">IF(B128="","",IFERROR(INDEX(Personal!$C$5:$C$104,MATCH(B128,Personal!$B$5:$B$104,0)),""))</f>
        <v/>
      </c>
      <c r="D128" s="18"/>
      <c r="E128" s="19"/>
      <c r="F128" s="19"/>
      <c r="G128" s="20"/>
      <c r="H128" s="16" t="str">
        <f aca="false">IF(OR(E128="",F128=""),"",ROUND(MOD(F128-E128,1)*24-N(G128),2))</f>
        <v/>
      </c>
      <c r="I128" s="18"/>
      <c r="J128" s="18"/>
      <c r="K128" s="18"/>
      <c r="L128" s="16" t="str">
        <f aca="false">IF(OR(A128="",B128=""),"",SUMIFS('Registro por hora'!$H$5:$H$2004,'Registro por hora'!$A$5:$A$2004,A128,'Registro por hora'!$B$5:$B$2004,B128))</f>
        <v/>
      </c>
      <c r="M128" s="13" t="str">
        <f aca="false">IF(B128="","",IF(D128="","⚠ Falta estado",IF(AND(OR(D128="Ausente",D128="Medio día"),I128=""),"⚠ Falta motivo",IF(AND(OR(D128="Ausente",D128="Medio día"),J128=""),"⚠ Falta explicación",IF(D128="Ausente","✔ Ausencia justificada",IF(OR(E128="",F128=""),"⚠ Falta hora de entrada/salida",IF(K128="","⚠ Falta resumen del día",IF(N(L128)&lt;N(H128)-0.01,"⚠ Faltan "&amp;TEXT(N(H128)-N(L128),"0.0")&amp;" h por reportar","✔ OK"))))))))</f>
        <v/>
      </c>
    </row>
    <row r="129" customFormat="false" ht="15" hidden="false" customHeight="false" outlineLevel="0" collapsed="false">
      <c r="A129" s="17"/>
      <c r="B129" s="18"/>
      <c r="C129" s="13" t="str">
        <f aca="false">IF(B129="","",IFERROR(INDEX(Personal!$C$5:$C$104,MATCH(B129,Personal!$B$5:$B$104,0)),""))</f>
        <v/>
      </c>
      <c r="D129" s="18"/>
      <c r="E129" s="19"/>
      <c r="F129" s="19"/>
      <c r="G129" s="20"/>
      <c r="H129" s="16" t="str">
        <f aca="false">IF(OR(E129="",F129=""),"",ROUND(MOD(F129-E129,1)*24-N(G129),2))</f>
        <v/>
      </c>
      <c r="I129" s="18"/>
      <c r="J129" s="18"/>
      <c r="K129" s="18"/>
      <c r="L129" s="16" t="str">
        <f aca="false">IF(OR(A129="",B129=""),"",SUMIFS('Registro por hora'!$H$5:$H$2004,'Registro por hora'!$A$5:$A$2004,A129,'Registro por hora'!$B$5:$B$2004,B129))</f>
        <v/>
      </c>
      <c r="M129" s="13" t="str">
        <f aca="false">IF(B129="","",IF(D129="","⚠ Falta estado",IF(AND(OR(D129="Ausente",D129="Medio día"),I129=""),"⚠ Falta motivo",IF(AND(OR(D129="Ausente",D129="Medio día"),J129=""),"⚠ Falta explicación",IF(D129="Ausente","✔ Ausencia justificada",IF(OR(E129="",F129=""),"⚠ Falta hora de entrada/salida",IF(K129="","⚠ Falta resumen del día",IF(N(L129)&lt;N(H129)-0.01,"⚠ Faltan "&amp;TEXT(N(H129)-N(L129),"0.0")&amp;" h por reportar","✔ OK"))))))))</f>
        <v/>
      </c>
    </row>
    <row r="130" customFormat="false" ht="15" hidden="false" customHeight="false" outlineLevel="0" collapsed="false">
      <c r="A130" s="17"/>
      <c r="B130" s="18"/>
      <c r="C130" s="13" t="str">
        <f aca="false">IF(B130="","",IFERROR(INDEX(Personal!$C$5:$C$104,MATCH(B130,Personal!$B$5:$B$104,0)),""))</f>
        <v/>
      </c>
      <c r="D130" s="18"/>
      <c r="E130" s="19"/>
      <c r="F130" s="19"/>
      <c r="G130" s="20"/>
      <c r="H130" s="16" t="str">
        <f aca="false">IF(OR(E130="",F130=""),"",ROUND(MOD(F130-E130,1)*24-N(G130),2))</f>
        <v/>
      </c>
      <c r="I130" s="18"/>
      <c r="J130" s="18"/>
      <c r="K130" s="18"/>
      <c r="L130" s="16" t="str">
        <f aca="false">IF(OR(A130="",B130=""),"",SUMIFS('Registro por hora'!$H$5:$H$2004,'Registro por hora'!$A$5:$A$2004,A130,'Registro por hora'!$B$5:$B$2004,B130))</f>
        <v/>
      </c>
      <c r="M130" s="13" t="str">
        <f aca="false">IF(B130="","",IF(D130="","⚠ Falta estado",IF(AND(OR(D130="Ausente",D130="Medio día"),I130=""),"⚠ Falta motivo",IF(AND(OR(D130="Ausente",D130="Medio día"),J130=""),"⚠ Falta explicación",IF(D130="Ausente","✔ Ausencia justificada",IF(OR(E130="",F130=""),"⚠ Falta hora de entrada/salida",IF(K130="","⚠ Falta resumen del día",IF(N(L130)&lt;N(H130)-0.01,"⚠ Faltan "&amp;TEXT(N(H130)-N(L130),"0.0")&amp;" h por reportar","✔ OK"))))))))</f>
        <v/>
      </c>
    </row>
    <row r="131" customFormat="false" ht="15" hidden="false" customHeight="false" outlineLevel="0" collapsed="false">
      <c r="A131" s="17"/>
      <c r="B131" s="18"/>
      <c r="C131" s="13" t="str">
        <f aca="false">IF(B131="","",IFERROR(INDEX(Personal!$C$5:$C$104,MATCH(B131,Personal!$B$5:$B$104,0)),""))</f>
        <v/>
      </c>
      <c r="D131" s="18"/>
      <c r="E131" s="19"/>
      <c r="F131" s="19"/>
      <c r="G131" s="20"/>
      <c r="H131" s="16" t="str">
        <f aca="false">IF(OR(E131="",F131=""),"",ROUND(MOD(F131-E131,1)*24-N(G131),2))</f>
        <v/>
      </c>
      <c r="I131" s="18"/>
      <c r="J131" s="18"/>
      <c r="K131" s="18"/>
      <c r="L131" s="16" t="str">
        <f aca="false">IF(OR(A131="",B131=""),"",SUMIFS('Registro por hora'!$H$5:$H$2004,'Registro por hora'!$A$5:$A$2004,A131,'Registro por hora'!$B$5:$B$2004,B131))</f>
        <v/>
      </c>
      <c r="M131" s="13" t="str">
        <f aca="false">IF(B131="","",IF(D131="","⚠ Falta estado",IF(AND(OR(D131="Ausente",D131="Medio día"),I131=""),"⚠ Falta motivo",IF(AND(OR(D131="Ausente",D131="Medio día"),J131=""),"⚠ Falta explicación",IF(D131="Ausente","✔ Ausencia justificada",IF(OR(E131="",F131=""),"⚠ Falta hora de entrada/salida",IF(K131="","⚠ Falta resumen del día",IF(N(L131)&lt;N(H131)-0.01,"⚠ Faltan "&amp;TEXT(N(H131)-N(L131),"0.0")&amp;" h por reportar","✔ OK"))))))))</f>
        <v/>
      </c>
    </row>
    <row r="132" customFormat="false" ht="15" hidden="false" customHeight="false" outlineLevel="0" collapsed="false">
      <c r="A132" s="17"/>
      <c r="B132" s="18"/>
      <c r="C132" s="13" t="str">
        <f aca="false">IF(B132="","",IFERROR(INDEX(Personal!$C$5:$C$104,MATCH(B132,Personal!$B$5:$B$104,0)),""))</f>
        <v/>
      </c>
      <c r="D132" s="18"/>
      <c r="E132" s="19"/>
      <c r="F132" s="19"/>
      <c r="G132" s="20"/>
      <c r="H132" s="16" t="str">
        <f aca="false">IF(OR(E132="",F132=""),"",ROUND(MOD(F132-E132,1)*24-N(G132),2))</f>
        <v/>
      </c>
      <c r="I132" s="18"/>
      <c r="J132" s="18"/>
      <c r="K132" s="18"/>
      <c r="L132" s="16" t="str">
        <f aca="false">IF(OR(A132="",B132=""),"",SUMIFS('Registro por hora'!$H$5:$H$2004,'Registro por hora'!$A$5:$A$2004,A132,'Registro por hora'!$B$5:$B$2004,B132))</f>
        <v/>
      </c>
      <c r="M132" s="13" t="str">
        <f aca="false">IF(B132="","",IF(D132="","⚠ Falta estado",IF(AND(OR(D132="Ausente",D132="Medio día"),I132=""),"⚠ Falta motivo",IF(AND(OR(D132="Ausente",D132="Medio día"),J132=""),"⚠ Falta explicación",IF(D132="Ausente","✔ Ausencia justificada",IF(OR(E132="",F132=""),"⚠ Falta hora de entrada/salida",IF(K132="","⚠ Falta resumen del día",IF(N(L132)&lt;N(H132)-0.01,"⚠ Faltan "&amp;TEXT(N(H132)-N(L132),"0.0")&amp;" h por reportar","✔ OK"))))))))</f>
        <v/>
      </c>
    </row>
    <row r="133" customFormat="false" ht="15" hidden="false" customHeight="false" outlineLevel="0" collapsed="false">
      <c r="A133" s="17"/>
      <c r="B133" s="18"/>
      <c r="C133" s="13" t="str">
        <f aca="false">IF(B133="","",IFERROR(INDEX(Personal!$C$5:$C$104,MATCH(B133,Personal!$B$5:$B$104,0)),""))</f>
        <v/>
      </c>
      <c r="D133" s="18"/>
      <c r="E133" s="19"/>
      <c r="F133" s="19"/>
      <c r="G133" s="20"/>
      <c r="H133" s="16" t="str">
        <f aca="false">IF(OR(E133="",F133=""),"",ROUND(MOD(F133-E133,1)*24-N(G133),2))</f>
        <v/>
      </c>
      <c r="I133" s="18"/>
      <c r="J133" s="18"/>
      <c r="K133" s="18"/>
      <c r="L133" s="16" t="str">
        <f aca="false">IF(OR(A133="",B133=""),"",SUMIFS('Registro por hora'!$H$5:$H$2004,'Registro por hora'!$A$5:$A$2004,A133,'Registro por hora'!$B$5:$B$2004,B133))</f>
        <v/>
      </c>
      <c r="M133" s="13" t="str">
        <f aca="false">IF(B133="","",IF(D133="","⚠ Falta estado",IF(AND(OR(D133="Ausente",D133="Medio día"),I133=""),"⚠ Falta motivo",IF(AND(OR(D133="Ausente",D133="Medio día"),J133=""),"⚠ Falta explicación",IF(D133="Ausente","✔ Ausencia justificada",IF(OR(E133="",F133=""),"⚠ Falta hora de entrada/salida",IF(K133="","⚠ Falta resumen del día",IF(N(L133)&lt;N(H133)-0.01,"⚠ Faltan "&amp;TEXT(N(H133)-N(L133),"0.0")&amp;" h por reportar","✔ OK"))))))))</f>
        <v/>
      </c>
    </row>
    <row r="134" customFormat="false" ht="15" hidden="false" customHeight="false" outlineLevel="0" collapsed="false">
      <c r="A134" s="17"/>
      <c r="B134" s="18"/>
      <c r="C134" s="13" t="str">
        <f aca="false">IF(B134="","",IFERROR(INDEX(Personal!$C$5:$C$104,MATCH(B134,Personal!$B$5:$B$104,0)),""))</f>
        <v/>
      </c>
      <c r="D134" s="18"/>
      <c r="E134" s="19"/>
      <c r="F134" s="19"/>
      <c r="G134" s="20"/>
      <c r="H134" s="16" t="str">
        <f aca="false">IF(OR(E134="",F134=""),"",ROUND(MOD(F134-E134,1)*24-N(G134),2))</f>
        <v/>
      </c>
      <c r="I134" s="18"/>
      <c r="J134" s="18"/>
      <c r="K134" s="18"/>
      <c r="L134" s="16" t="str">
        <f aca="false">IF(OR(A134="",B134=""),"",SUMIFS('Registro por hora'!$H$5:$H$2004,'Registro por hora'!$A$5:$A$2004,A134,'Registro por hora'!$B$5:$B$2004,B134))</f>
        <v/>
      </c>
      <c r="M134" s="13" t="str">
        <f aca="false">IF(B134="","",IF(D134="","⚠ Falta estado",IF(AND(OR(D134="Ausente",D134="Medio día"),I134=""),"⚠ Falta motivo",IF(AND(OR(D134="Ausente",D134="Medio día"),J134=""),"⚠ Falta explicación",IF(D134="Ausente","✔ Ausencia justificada",IF(OR(E134="",F134=""),"⚠ Falta hora de entrada/salida",IF(K134="","⚠ Falta resumen del día",IF(N(L134)&lt;N(H134)-0.01,"⚠ Faltan "&amp;TEXT(N(H134)-N(L134),"0.0")&amp;" h por reportar","✔ OK"))))))))</f>
        <v/>
      </c>
    </row>
    <row r="135" customFormat="false" ht="15" hidden="false" customHeight="false" outlineLevel="0" collapsed="false">
      <c r="A135" s="17"/>
      <c r="B135" s="18"/>
      <c r="C135" s="13" t="str">
        <f aca="false">IF(B135="","",IFERROR(INDEX(Personal!$C$5:$C$104,MATCH(B135,Personal!$B$5:$B$104,0)),""))</f>
        <v/>
      </c>
      <c r="D135" s="18"/>
      <c r="E135" s="19"/>
      <c r="F135" s="19"/>
      <c r="G135" s="20"/>
      <c r="H135" s="16" t="str">
        <f aca="false">IF(OR(E135="",F135=""),"",ROUND(MOD(F135-E135,1)*24-N(G135),2))</f>
        <v/>
      </c>
      <c r="I135" s="18"/>
      <c r="J135" s="18"/>
      <c r="K135" s="18"/>
      <c r="L135" s="16" t="str">
        <f aca="false">IF(OR(A135="",B135=""),"",SUMIFS('Registro por hora'!$H$5:$H$2004,'Registro por hora'!$A$5:$A$2004,A135,'Registro por hora'!$B$5:$B$2004,B135))</f>
        <v/>
      </c>
      <c r="M135" s="13" t="str">
        <f aca="false">IF(B135="","",IF(D135="","⚠ Falta estado",IF(AND(OR(D135="Ausente",D135="Medio día"),I135=""),"⚠ Falta motivo",IF(AND(OR(D135="Ausente",D135="Medio día"),J135=""),"⚠ Falta explicación",IF(D135="Ausente","✔ Ausencia justificada",IF(OR(E135="",F135=""),"⚠ Falta hora de entrada/salida",IF(K135="","⚠ Falta resumen del día",IF(N(L135)&lt;N(H135)-0.01,"⚠ Faltan "&amp;TEXT(N(H135)-N(L135),"0.0")&amp;" h por reportar","✔ OK"))))))))</f>
        <v/>
      </c>
    </row>
    <row r="136" customFormat="false" ht="15" hidden="false" customHeight="false" outlineLevel="0" collapsed="false">
      <c r="A136" s="17"/>
      <c r="B136" s="18"/>
      <c r="C136" s="13" t="str">
        <f aca="false">IF(B136="","",IFERROR(INDEX(Personal!$C$5:$C$104,MATCH(B136,Personal!$B$5:$B$104,0)),""))</f>
        <v/>
      </c>
      <c r="D136" s="18"/>
      <c r="E136" s="19"/>
      <c r="F136" s="19"/>
      <c r="G136" s="20"/>
      <c r="H136" s="16" t="str">
        <f aca="false">IF(OR(E136="",F136=""),"",ROUND(MOD(F136-E136,1)*24-N(G136),2))</f>
        <v/>
      </c>
      <c r="I136" s="18"/>
      <c r="J136" s="18"/>
      <c r="K136" s="18"/>
      <c r="L136" s="16" t="str">
        <f aca="false">IF(OR(A136="",B136=""),"",SUMIFS('Registro por hora'!$H$5:$H$2004,'Registro por hora'!$A$5:$A$2004,A136,'Registro por hora'!$B$5:$B$2004,B136))</f>
        <v/>
      </c>
      <c r="M136" s="13" t="str">
        <f aca="false">IF(B136="","",IF(D136="","⚠ Falta estado",IF(AND(OR(D136="Ausente",D136="Medio día"),I136=""),"⚠ Falta motivo",IF(AND(OR(D136="Ausente",D136="Medio día"),J136=""),"⚠ Falta explicación",IF(D136="Ausente","✔ Ausencia justificada",IF(OR(E136="",F136=""),"⚠ Falta hora de entrada/salida",IF(K136="","⚠ Falta resumen del día",IF(N(L136)&lt;N(H136)-0.01,"⚠ Faltan "&amp;TEXT(N(H136)-N(L136),"0.0")&amp;" h por reportar","✔ OK"))))))))</f>
        <v/>
      </c>
    </row>
    <row r="137" customFormat="false" ht="15" hidden="false" customHeight="false" outlineLevel="0" collapsed="false">
      <c r="A137" s="17"/>
      <c r="B137" s="18"/>
      <c r="C137" s="13" t="str">
        <f aca="false">IF(B137="","",IFERROR(INDEX(Personal!$C$5:$C$104,MATCH(B137,Personal!$B$5:$B$104,0)),""))</f>
        <v/>
      </c>
      <c r="D137" s="18"/>
      <c r="E137" s="19"/>
      <c r="F137" s="19"/>
      <c r="G137" s="20"/>
      <c r="H137" s="16" t="str">
        <f aca="false">IF(OR(E137="",F137=""),"",ROUND(MOD(F137-E137,1)*24-N(G137),2))</f>
        <v/>
      </c>
      <c r="I137" s="18"/>
      <c r="J137" s="18"/>
      <c r="K137" s="18"/>
      <c r="L137" s="16" t="str">
        <f aca="false">IF(OR(A137="",B137=""),"",SUMIFS('Registro por hora'!$H$5:$H$2004,'Registro por hora'!$A$5:$A$2004,A137,'Registro por hora'!$B$5:$B$2004,B137))</f>
        <v/>
      </c>
      <c r="M137" s="13" t="str">
        <f aca="false">IF(B137="","",IF(D137="","⚠ Falta estado",IF(AND(OR(D137="Ausente",D137="Medio día"),I137=""),"⚠ Falta motivo",IF(AND(OR(D137="Ausente",D137="Medio día"),J137=""),"⚠ Falta explicación",IF(D137="Ausente","✔ Ausencia justificada",IF(OR(E137="",F137=""),"⚠ Falta hora de entrada/salida",IF(K137="","⚠ Falta resumen del día",IF(N(L137)&lt;N(H137)-0.01,"⚠ Faltan "&amp;TEXT(N(H137)-N(L137),"0.0")&amp;" h por reportar","✔ OK"))))))))</f>
        <v/>
      </c>
    </row>
    <row r="138" customFormat="false" ht="15" hidden="false" customHeight="false" outlineLevel="0" collapsed="false">
      <c r="A138" s="17"/>
      <c r="B138" s="18"/>
      <c r="C138" s="13" t="str">
        <f aca="false">IF(B138="","",IFERROR(INDEX(Personal!$C$5:$C$104,MATCH(B138,Personal!$B$5:$B$104,0)),""))</f>
        <v/>
      </c>
      <c r="D138" s="18"/>
      <c r="E138" s="19"/>
      <c r="F138" s="19"/>
      <c r="G138" s="20"/>
      <c r="H138" s="16" t="str">
        <f aca="false">IF(OR(E138="",F138=""),"",ROUND(MOD(F138-E138,1)*24-N(G138),2))</f>
        <v/>
      </c>
      <c r="I138" s="18"/>
      <c r="J138" s="18"/>
      <c r="K138" s="18"/>
      <c r="L138" s="16" t="str">
        <f aca="false">IF(OR(A138="",B138=""),"",SUMIFS('Registro por hora'!$H$5:$H$2004,'Registro por hora'!$A$5:$A$2004,A138,'Registro por hora'!$B$5:$B$2004,B138))</f>
        <v/>
      </c>
      <c r="M138" s="13" t="str">
        <f aca="false">IF(B138="","",IF(D138="","⚠ Falta estado",IF(AND(OR(D138="Ausente",D138="Medio día"),I138=""),"⚠ Falta motivo",IF(AND(OR(D138="Ausente",D138="Medio día"),J138=""),"⚠ Falta explicación",IF(D138="Ausente","✔ Ausencia justificada",IF(OR(E138="",F138=""),"⚠ Falta hora de entrada/salida",IF(K138="","⚠ Falta resumen del día",IF(N(L138)&lt;N(H138)-0.01,"⚠ Faltan "&amp;TEXT(N(H138)-N(L138),"0.0")&amp;" h por reportar","✔ OK"))))))))</f>
        <v/>
      </c>
    </row>
    <row r="139" customFormat="false" ht="15" hidden="false" customHeight="false" outlineLevel="0" collapsed="false">
      <c r="A139" s="17"/>
      <c r="B139" s="18"/>
      <c r="C139" s="13" t="str">
        <f aca="false">IF(B139="","",IFERROR(INDEX(Personal!$C$5:$C$104,MATCH(B139,Personal!$B$5:$B$104,0)),""))</f>
        <v/>
      </c>
      <c r="D139" s="18"/>
      <c r="E139" s="19"/>
      <c r="F139" s="19"/>
      <c r="G139" s="20"/>
      <c r="H139" s="16" t="str">
        <f aca="false">IF(OR(E139="",F139=""),"",ROUND(MOD(F139-E139,1)*24-N(G139),2))</f>
        <v/>
      </c>
      <c r="I139" s="18"/>
      <c r="J139" s="18"/>
      <c r="K139" s="18"/>
      <c r="L139" s="16" t="str">
        <f aca="false">IF(OR(A139="",B139=""),"",SUMIFS('Registro por hora'!$H$5:$H$2004,'Registro por hora'!$A$5:$A$2004,A139,'Registro por hora'!$B$5:$B$2004,B139))</f>
        <v/>
      </c>
      <c r="M139" s="13" t="str">
        <f aca="false">IF(B139="","",IF(D139="","⚠ Falta estado",IF(AND(OR(D139="Ausente",D139="Medio día"),I139=""),"⚠ Falta motivo",IF(AND(OR(D139="Ausente",D139="Medio día"),J139=""),"⚠ Falta explicación",IF(D139="Ausente","✔ Ausencia justificada",IF(OR(E139="",F139=""),"⚠ Falta hora de entrada/salida",IF(K139="","⚠ Falta resumen del día",IF(N(L139)&lt;N(H139)-0.01,"⚠ Faltan "&amp;TEXT(N(H139)-N(L139),"0.0")&amp;" h por reportar","✔ OK"))))))))</f>
        <v/>
      </c>
    </row>
    <row r="140" customFormat="false" ht="15" hidden="false" customHeight="false" outlineLevel="0" collapsed="false">
      <c r="A140" s="17"/>
      <c r="B140" s="18"/>
      <c r="C140" s="13" t="str">
        <f aca="false">IF(B140="","",IFERROR(INDEX(Personal!$C$5:$C$104,MATCH(B140,Personal!$B$5:$B$104,0)),""))</f>
        <v/>
      </c>
      <c r="D140" s="18"/>
      <c r="E140" s="19"/>
      <c r="F140" s="19"/>
      <c r="G140" s="20"/>
      <c r="H140" s="16" t="str">
        <f aca="false">IF(OR(E140="",F140=""),"",ROUND(MOD(F140-E140,1)*24-N(G140),2))</f>
        <v/>
      </c>
      <c r="I140" s="18"/>
      <c r="J140" s="18"/>
      <c r="K140" s="18"/>
      <c r="L140" s="16" t="str">
        <f aca="false">IF(OR(A140="",B140=""),"",SUMIFS('Registro por hora'!$H$5:$H$2004,'Registro por hora'!$A$5:$A$2004,A140,'Registro por hora'!$B$5:$B$2004,B140))</f>
        <v/>
      </c>
      <c r="M140" s="13" t="str">
        <f aca="false">IF(B140="","",IF(D140="","⚠ Falta estado",IF(AND(OR(D140="Ausente",D140="Medio día"),I140=""),"⚠ Falta motivo",IF(AND(OR(D140="Ausente",D140="Medio día"),J140=""),"⚠ Falta explicación",IF(D140="Ausente","✔ Ausencia justificada",IF(OR(E140="",F140=""),"⚠ Falta hora de entrada/salida",IF(K140="","⚠ Falta resumen del día",IF(N(L140)&lt;N(H140)-0.01,"⚠ Faltan "&amp;TEXT(N(H140)-N(L140),"0.0")&amp;" h por reportar","✔ OK"))))))))</f>
        <v/>
      </c>
    </row>
    <row r="141" customFormat="false" ht="15" hidden="false" customHeight="false" outlineLevel="0" collapsed="false">
      <c r="A141" s="17"/>
      <c r="B141" s="18"/>
      <c r="C141" s="13" t="str">
        <f aca="false">IF(B141="","",IFERROR(INDEX(Personal!$C$5:$C$104,MATCH(B141,Personal!$B$5:$B$104,0)),""))</f>
        <v/>
      </c>
      <c r="D141" s="18"/>
      <c r="E141" s="19"/>
      <c r="F141" s="19"/>
      <c r="G141" s="20"/>
      <c r="H141" s="16" t="str">
        <f aca="false">IF(OR(E141="",F141=""),"",ROUND(MOD(F141-E141,1)*24-N(G141),2))</f>
        <v/>
      </c>
      <c r="I141" s="18"/>
      <c r="J141" s="18"/>
      <c r="K141" s="18"/>
      <c r="L141" s="16" t="str">
        <f aca="false">IF(OR(A141="",B141=""),"",SUMIFS('Registro por hora'!$H$5:$H$2004,'Registro por hora'!$A$5:$A$2004,A141,'Registro por hora'!$B$5:$B$2004,B141))</f>
        <v/>
      </c>
      <c r="M141" s="13" t="str">
        <f aca="false">IF(B141="","",IF(D141="","⚠ Falta estado",IF(AND(OR(D141="Ausente",D141="Medio día"),I141=""),"⚠ Falta motivo",IF(AND(OR(D141="Ausente",D141="Medio día"),J141=""),"⚠ Falta explicación",IF(D141="Ausente","✔ Ausencia justificada",IF(OR(E141="",F141=""),"⚠ Falta hora de entrada/salida",IF(K141="","⚠ Falta resumen del día",IF(N(L141)&lt;N(H141)-0.01,"⚠ Faltan "&amp;TEXT(N(H141)-N(L141),"0.0")&amp;" h por reportar","✔ OK"))))))))</f>
        <v/>
      </c>
    </row>
    <row r="142" customFormat="false" ht="15" hidden="false" customHeight="false" outlineLevel="0" collapsed="false">
      <c r="A142" s="17"/>
      <c r="B142" s="18"/>
      <c r="C142" s="13" t="str">
        <f aca="false">IF(B142="","",IFERROR(INDEX(Personal!$C$5:$C$104,MATCH(B142,Personal!$B$5:$B$104,0)),""))</f>
        <v/>
      </c>
      <c r="D142" s="18"/>
      <c r="E142" s="19"/>
      <c r="F142" s="19"/>
      <c r="G142" s="20"/>
      <c r="H142" s="16" t="str">
        <f aca="false">IF(OR(E142="",F142=""),"",ROUND(MOD(F142-E142,1)*24-N(G142),2))</f>
        <v/>
      </c>
      <c r="I142" s="18"/>
      <c r="J142" s="18"/>
      <c r="K142" s="18"/>
      <c r="L142" s="16" t="str">
        <f aca="false">IF(OR(A142="",B142=""),"",SUMIFS('Registro por hora'!$H$5:$H$2004,'Registro por hora'!$A$5:$A$2004,A142,'Registro por hora'!$B$5:$B$2004,B142))</f>
        <v/>
      </c>
      <c r="M142" s="13" t="str">
        <f aca="false">IF(B142="","",IF(D142="","⚠ Falta estado",IF(AND(OR(D142="Ausente",D142="Medio día"),I142=""),"⚠ Falta motivo",IF(AND(OR(D142="Ausente",D142="Medio día"),J142=""),"⚠ Falta explicación",IF(D142="Ausente","✔ Ausencia justificada",IF(OR(E142="",F142=""),"⚠ Falta hora de entrada/salida",IF(K142="","⚠ Falta resumen del día",IF(N(L142)&lt;N(H142)-0.01,"⚠ Faltan "&amp;TEXT(N(H142)-N(L142),"0.0")&amp;" h por reportar","✔ OK"))))))))</f>
        <v/>
      </c>
    </row>
    <row r="143" customFormat="false" ht="15" hidden="false" customHeight="false" outlineLevel="0" collapsed="false">
      <c r="A143" s="17"/>
      <c r="B143" s="18"/>
      <c r="C143" s="13" t="str">
        <f aca="false">IF(B143="","",IFERROR(INDEX(Personal!$C$5:$C$104,MATCH(B143,Personal!$B$5:$B$104,0)),""))</f>
        <v/>
      </c>
      <c r="D143" s="18"/>
      <c r="E143" s="19"/>
      <c r="F143" s="19"/>
      <c r="G143" s="20"/>
      <c r="H143" s="16" t="str">
        <f aca="false">IF(OR(E143="",F143=""),"",ROUND(MOD(F143-E143,1)*24-N(G143),2))</f>
        <v/>
      </c>
      <c r="I143" s="18"/>
      <c r="J143" s="18"/>
      <c r="K143" s="18"/>
      <c r="L143" s="16" t="str">
        <f aca="false">IF(OR(A143="",B143=""),"",SUMIFS('Registro por hora'!$H$5:$H$2004,'Registro por hora'!$A$5:$A$2004,A143,'Registro por hora'!$B$5:$B$2004,B143))</f>
        <v/>
      </c>
      <c r="M143" s="13" t="str">
        <f aca="false">IF(B143="","",IF(D143="","⚠ Falta estado",IF(AND(OR(D143="Ausente",D143="Medio día"),I143=""),"⚠ Falta motivo",IF(AND(OR(D143="Ausente",D143="Medio día"),J143=""),"⚠ Falta explicación",IF(D143="Ausente","✔ Ausencia justificada",IF(OR(E143="",F143=""),"⚠ Falta hora de entrada/salida",IF(K143="","⚠ Falta resumen del día",IF(N(L143)&lt;N(H143)-0.01,"⚠ Faltan "&amp;TEXT(N(H143)-N(L143),"0.0")&amp;" h por reportar","✔ OK"))))))))</f>
        <v/>
      </c>
    </row>
    <row r="144" customFormat="false" ht="15" hidden="false" customHeight="false" outlineLevel="0" collapsed="false">
      <c r="A144" s="17"/>
      <c r="B144" s="18"/>
      <c r="C144" s="13" t="str">
        <f aca="false">IF(B144="","",IFERROR(INDEX(Personal!$C$5:$C$104,MATCH(B144,Personal!$B$5:$B$104,0)),""))</f>
        <v/>
      </c>
      <c r="D144" s="18"/>
      <c r="E144" s="19"/>
      <c r="F144" s="19"/>
      <c r="G144" s="20"/>
      <c r="H144" s="16" t="str">
        <f aca="false">IF(OR(E144="",F144=""),"",ROUND(MOD(F144-E144,1)*24-N(G144),2))</f>
        <v/>
      </c>
      <c r="I144" s="18"/>
      <c r="J144" s="18"/>
      <c r="K144" s="18"/>
      <c r="L144" s="16" t="str">
        <f aca="false">IF(OR(A144="",B144=""),"",SUMIFS('Registro por hora'!$H$5:$H$2004,'Registro por hora'!$A$5:$A$2004,A144,'Registro por hora'!$B$5:$B$2004,B144))</f>
        <v/>
      </c>
      <c r="M144" s="13" t="str">
        <f aca="false">IF(B144="","",IF(D144="","⚠ Falta estado",IF(AND(OR(D144="Ausente",D144="Medio día"),I144=""),"⚠ Falta motivo",IF(AND(OR(D144="Ausente",D144="Medio día"),J144=""),"⚠ Falta explicación",IF(D144="Ausente","✔ Ausencia justificada",IF(OR(E144="",F144=""),"⚠ Falta hora de entrada/salida",IF(K144="","⚠ Falta resumen del día",IF(N(L144)&lt;N(H144)-0.01,"⚠ Faltan "&amp;TEXT(N(H144)-N(L144),"0.0")&amp;" h por reportar","✔ OK"))))))))</f>
        <v/>
      </c>
    </row>
    <row r="145" customFormat="false" ht="15" hidden="false" customHeight="false" outlineLevel="0" collapsed="false">
      <c r="A145" s="17"/>
      <c r="B145" s="18"/>
      <c r="C145" s="13" t="str">
        <f aca="false">IF(B145="","",IFERROR(INDEX(Personal!$C$5:$C$104,MATCH(B145,Personal!$B$5:$B$104,0)),""))</f>
        <v/>
      </c>
      <c r="D145" s="18"/>
      <c r="E145" s="19"/>
      <c r="F145" s="19"/>
      <c r="G145" s="20"/>
      <c r="H145" s="16" t="str">
        <f aca="false">IF(OR(E145="",F145=""),"",ROUND(MOD(F145-E145,1)*24-N(G145),2))</f>
        <v/>
      </c>
      <c r="I145" s="18"/>
      <c r="J145" s="18"/>
      <c r="K145" s="18"/>
      <c r="L145" s="16" t="str">
        <f aca="false">IF(OR(A145="",B145=""),"",SUMIFS('Registro por hora'!$H$5:$H$2004,'Registro por hora'!$A$5:$A$2004,A145,'Registro por hora'!$B$5:$B$2004,B145))</f>
        <v/>
      </c>
      <c r="M145" s="13" t="str">
        <f aca="false">IF(B145="","",IF(D145="","⚠ Falta estado",IF(AND(OR(D145="Ausente",D145="Medio día"),I145=""),"⚠ Falta motivo",IF(AND(OR(D145="Ausente",D145="Medio día"),J145=""),"⚠ Falta explicación",IF(D145="Ausente","✔ Ausencia justificada",IF(OR(E145="",F145=""),"⚠ Falta hora de entrada/salida",IF(K145="","⚠ Falta resumen del día",IF(N(L145)&lt;N(H145)-0.01,"⚠ Faltan "&amp;TEXT(N(H145)-N(L145),"0.0")&amp;" h por reportar","✔ OK"))))))))</f>
        <v/>
      </c>
    </row>
    <row r="146" customFormat="false" ht="15" hidden="false" customHeight="false" outlineLevel="0" collapsed="false">
      <c r="A146" s="17"/>
      <c r="B146" s="18"/>
      <c r="C146" s="13" t="str">
        <f aca="false">IF(B146="","",IFERROR(INDEX(Personal!$C$5:$C$104,MATCH(B146,Personal!$B$5:$B$104,0)),""))</f>
        <v/>
      </c>
      <c r="D146" s="18"/>
      <c r="E146" s="19"/>
      <c r="F146" s="19"/>
      <c r="G146" s="20"/>
      <c r="H146" s="16" t="str">
        <f aca="false">IF(OR(E146="",F146=""),"",ROUND(MOD(F146-E146,1)*24-N(G146),2))</f>
        <v/>
      </c>
      <c r="I146" s="18"/>
      <c r="J146" s="18"/>
      <c r="K146" s="18"/>
      <c r="L146" s="16" t="str">
        <f aca="false">IF(OR(A146="",B146=""),"",SUMIFS('Registro por hora'!$H$5:$H$2004,'Registro por hora'!$A$5:$A$2004,A146,'Registro por hora'!$B$5:$B$2004,B146))</f>
        <v/>
      </c>
      <c r="M146" s="13" t="str">
        <f aca="false">IF(B146="","",IF(D146="","⚠ Falta estado",IF(AND(OR(D146="Ausente",D146="Medio día"),I146=""),"⚠ Falta motivo",IF(AND(OR(D146="Ausente",D146="Medio día"),J146=""),"⚠ Falta explicación",IF(D146="Ausente","✔ Ausencia justificada",IF(OR(E146="",F146=""),"⚠ Falta hora de entrada/salida",IF(K146="","⚠ Falta resumen del día",IF(N(L146)&lt;N(H146)-0.01,"⚠ Faltan "&amp;TEXT(N(H146)-N(L146),"0.0")&amp;" h por reportar","✔ OK"))))))))</f>
        <v/>
      </c>
    </row>
    <row r="147" customFormat="false" ht="15" hidden="false" customHeight="false" outlineLevel="0" collapsed="false">
      <c r="A147" s="17"/>
      <c r="B147" s="18"/>
      <c r="C147" s="13" t="str">
        <f aca="false">IF(B147="","",IFERROR(INDEX(Personal!$C$5:$C$104,MATCH(B147,Personal!$B$5:$B$104,0)),""))</f>
        <v/>
      </c>
      <c r="D147" s="18"/>
      <c r="E147" s="19"/>
      <c r="F147" s="19"/>
      <c r="G147" s="20"/>
      <c r="H147" s="16" t="str">
        <f aca="false">IF(OR(E147="",F147=""),"",ROUND(MOD(F147-E147,1)*24-N(G147),2))</f>
        <v/>
      </c>
      <c r="I147" s="18"/>
      <c r="J147" s="18"/>
      <c r="K147" s="18"/>
      <c r="L147" s="16" t="str">
        <f aca="false">IF(OR(A147="",B147=""),"",SUMIFS('Registro por hora'!$H$5:$H$2004,'Registro por hora'!$A$5:$A$2004,A147,'Registro por hora'!$B$5:$B$2004,B147))</f>
        <v/>
      </c>
      <c r="M147" s="13" t="str">
        <f aca="false">IF(B147="","",IF(D147="","⚠ Falta estado",IF(AND(OR(D147="Ausente",D147="Medio día"),I147=""),"⚠ Falta motivo",IF(AND(OR(D147="Ausente",D147="Medio día"),J147=""),"⚠ Falta explicación",IF(D147="Ausente","✔ Ausencia justificada",IF(OR(E147="",F147=""),"⚠ Falta hora de entrada/salida",IF(K147="","⚠ Falta resumen del día",IF(N(L147)&lt;N(H147)-0.01,"⚠ Faltan "&amp;TEXT(N(H147)-N(L147),"0.0")&amp;" h por reportar","✔ OK"))))))))</f>
        <v/>
      </c>
    </row>
    <row r="148" customFormat="false" ht="15" hidden="false" customHeight="false" outlineLevel="0" collapsed="false">
      <c r="A148" s="17"/>
      <c r="B148" s="18"/>
      <c r="C148" s="13" t="str">
        <f aca="false">IF(B148="","",IFERROR(INDEX(Personal!$C$5:$C$104,MATCH(B148,Personal!$B$5:$B$104,0)),""))</f>
        <v/>
      </c>
      <c r="D148" s="18"/>
      <c r="E148" s="19"/>
      <c r="F148" s="19"/>
      <c r="G148" s="20"/>
      <c r="H148" s="16" t="str">
        <f aca="false">IF(OR(E148="",F148=""),"",ROUND(MOD(F148-E148,1)*24-N(G148),2))</f>
        <v/>
      </c>
      <c r="I148" s="18"/>
      <c r="J148" s="18"/>
      <c r="K148" s="18"/>
      <c r="L148" s="16" t="str">
        <f aca="false">IF(OR(A148="",B148=""),"",SUMIFS('Registro por hora'!$H$5:$H$2004,'Registro por hora'!$A$5:$A$2004,A148,'Registro por hora'!$B$5:$B$2004,B148))</f>
        <v/>
      </c>
      <c r="M148" s="13" t="str">
        <f aca="false">IF(B148="","",IF(D148="","⚠ Falta estado",IF(AND(OR(D148="Ausente",D148="Medio día"),I148=""),"⚠ Falta motivo",IF(AND(OR(D148="Ausente",D148="Medio día"),J148=""),"⚠ Falta explicación",IF(D148="Ausente","✔ Ausencia justificada",IF(OR(E148="",F148=""),"⚠ Falta hora de entrada/salida",IF(K148="","⚠ Falta resumen del día",IF(N(L148)&lt;N(H148)-0.01,"⚠ Faltan "&amp;TEXT(N(H148)-N(L148),"0.0")&amp;" h por reportar","✔ OK"))))))))</f>
        <v/>
      </c>
    </row>
    <row r="149" customFormat="false" ht="15" hidden="false" customHeight="false" outlineLevel="0" collapsed="false">
      <c r="A149" s="17"/>
      <c r="B149" s="18"/>
      <c r="C149" s="13" t="str">
        <f aca="false">IF(B149="","",IFERROR(INDEX(Personal!$C$5:$C$104,MATCH(B149,Personal!$B$5:$B$104,0)),""))</f>
        <v/>
      </c>
      <c r="D149" s="18"/>
      <c r="E149" s="19"/>
      <c r="F149" s="19"/>
      <c r="G149" s="20"/>
      <c r="H149" s="16" t="str">
        <f aca="false">IF(OR(E149="",F149=""),"",ROUND(MOD(F149-E149,1)*24-N(G149),2))</f>
        <v/>
      </c>
      <c r="I149" s="18"/>
      <c r="J149" s="18"/>
      <c r="K149" s="18"/>
      <c r="L149" s="16" t="str">
        <f aca="false">IF(OR(A149="",B149=""),"",SUMIFS('Registro por hora'!$H$5:$H$2004,'Registro por hora'!$A$5:$A$2004,A149,'Registro por hora'!$B$5:$B$2004,B149))</f>
        <v/>
      </c>
      <c r="M149" s="13" t="str">
        <f aca="false">IF(B149="","",IF(D149="","⚠ Falta estado",IF(AND(OR(D149="Ausente",D149="Medio día"),I149=""),"⚠ Falta motivo",IF(AND(OR(D149="Ausente",D149="Medio día"),J149=""),"⚠ Falta explicación",IF(D149="Ausente","✔ Ausencia justificada",IF(OR(E149="",F149=""),"⚠ Falta hora de entrada/salida",IF(K149="","⚠ Falta resumen del día",IF(N(L149)&lt;N(H149)-0.01,"⚠ Faltan "&amp;TEXT(N(H149)-N(L149),"0.0")&amp;" h por reportar","✔ OK"))))))))</f>
        <v/>
      </c>
    </row>
    <row r="150" customFormat="false" ht="15" hidden="false" customHeight="false" outlineLevel="0" collapsed="false">
      <c r="A150" s="17"/>
      <c r="B150" s="18"/>
      <c r="C150" s="13" t="str">
        <f aca="false">IF(B150="","",IFERROR(INDEX(Personal!$C$5:$C$104,MATCH(B150,Personal!$B$5:$B$104,0)),""))</f>
        <v/>
      </c>
      <c r="D150" s="18"/>
      <c r="E150" s="19"/>
      <c r="F150" s="19"/>
      <c r="G150" s="20"/>
      <c r="H150" s="16" t="str">
        <f aca="false">IF(OR(E150="",F150=""),"",ROUND(MOD(F150-E150,1)*24-N(G150),2))</f>
        <v/>
      </c>
      <c r="I150" s="18"/>
      <c r="J150" s="18"/>
      <c r="K150" s="18"/>
      <c r="L150" s="16" t="str">
        <f aca="false">IF(OR(A150="",B150=""),"",SUMIFS('Registro por hora'!$H$5:$H$2004,'Registro por hora'!$A$5:$A$2004,A150,'Registro por hora'!$B$5:$B$2004,B150))</f>
        <v/>
      </c>
      <c r="M150" s="13" t="str">
        <f aca="false">IF(B150="","",IF(D150="","⚠ Falta estado",IF(AND(OR(D150="Ausente",D150="Medio día"),I150=""),"⚠ Falta motivo",IF(AND(OR(D150="Ausente",D150="Medio día"),J150=""),"⚠ Falta explicación",IF(D150="Ausente","✔ Ausencia justificada",IF(OR(E150="",F150=""),"⚠ Falta hora de entrada/salida",IF(K150="","⚠ Falta resumen del día",IF(N(L150)&lt;N(H150)-0.01,"⚠ Faltan "&amp;TEXT(N(H150)-N(L150),"0.0")&amp;" h por reportar","✔ OK"))))))))</f>
        <v/>
      </c>
    </row>
    <row r="151" customFormat="false" ht="15" hidden="false" customHeight="false" outlineLevel="0" collapsed="false">
      <c r="A151" s="17"/>
      <c r="B151" s="18"/>
      <c r="C151" s="13" t="str">
        <f aca="false">IF(B151="","",IFERROR(INDEX(Personal!$C$5:$C$104,MATCH(B151,Personal!$B$5:$B$104,0)),""))</f>
        <v/>
      </c>
      <c r="D151" s="18"/>
      <c r="E151" s="19"/>
      <c r="F151" s="19"/>
      <c r="G151" s="20"/>
      <c r="H151" s="16" t="str">
        <f aca="false">IF(OR(E151="",F151=""),"",ROUND(MOD(F151-E151,1)*24-N(G151),2))</f>
        <v/>
      </c>
      <c r="I151" s="18"/>
      <c r="J151" s="18"/>
      <c r="K151" s="18"/>
      <c r="L151" s="16" t="str">
        <f aca="false">IF(OR(A151="",B151=""),"",SUMIFS('Registro por hora'!$H$5:$H$2004,'Registro por hora'!$A$5:$A$2004,A151,'Registro por hora'!$B$5:$B$2004,B151))</f>
        <v/>
      </c>
      <c r="M151" s="13" t="str">
        <f aca="false">IF(B151="","",IF(D151="","⚠ Falta estado",IF(AND(OR(D151="Ausente",D151="Medio día"),I151=""),"⚠ Falta motivo",IF(AND(OR(D151="Ausente",D151="Medio día"),J151=""),"⚠ Falta explicación",IF(D151="Ausente","✔ Ausencia justificada",IF(OR(E151="",F151=""),"⚠ Falta hora de entrada/salida",IF(K151="","⚠ Falta resumen del día",IF(N(L151)&lt;N(H151)-0.01,"⚠ Faltan "&amp;TEXT(N(H151)-N(L151),"0.0")&amp;" h por reportar","✔ OK"))))))))</f>
        <v/>
      </c>
    </row>
    <row r="152" customFormat="false" ht="15" hidden="false" customHeight="false" outlineLevel="0" collapsed="false">
      <c r="A152" s="17"/>
      <c r="B152" s="18"/>
      <c r="C152" s="13" t="str">
        <f aca="false">IF(B152="","",IFERROR(INDEX(Personal!$C$5:$C$104,MATCH(B152,Personal!$B$5:$B$104,0)),""))</f>
        <v/>
      </c>
      <c r="D152" s="18"/>
      <c r="E152" s="19"/>
      <c r="F152" s="19"/>
      <c r="G152" s="20"/>
      <c r="H152" s="16" t="str">
        <f aca="false">IF(OR(E152="",F152=""),"",ROUND(MOD(F152-E152,1)*24-N(G152),2))</f>
        <v/>
      </c>
      <c r="I152" s="18"/>
      <c r="J152" s="18"/>
      <c r="K152" s="18"/>
      <c r="L152" s="16" t="str">
        <f aca="false">IF(OR(A152="",B152=""),"",SUMIFS('Registro por hora'!$H$5:$H$2004,'Registro por hora'!$A$5:$A$2004,A152,'Registro por hora'!$B$5:$B$2004,B152))</f>
        <v/>
      </c>
      <c r="M152" s="13" t="str">
        <f aca="false">IF(B152="","",IF(D152="","⚠ Falta estado",IF(AND(OR(D152="Ausente",D152="Medio día"),I152=""),"⚠ Falta motivo",IF(AND(OR(D152="Ausente",D152="Medio día"),J152=""),"⚠ Falta explicación",IF(D152="Ausente","✔ Ausencia justificada",IF(OR(E152="",F152=""),"⚠ Falta hora de entrada/salida",IF(K152="","⚠ Falta resumen del día",IF(N(L152)&lt;N(H152)-0.01,"⚠ Faltan "&amp;TEXT(N(H152)-N(L152),"0.0")&amp;" h por reportar","✔ OK"))))))))</f>
        <v/>
      </c>
    </row>
    <row r="153" customFormat="false" ht="15" hidden="false" customHeight="false" outlineLevel="0" collapsed="false">
      <c r="A153" s="17"/>
      <c r="B153" s="18"/>
      <c r="C153" s="13" t="str">
        <f aca="false">IF(B153="","",IFERROR(INDEX(Personal!$C$5:$C$104,MATCH(B153,Personal!$B$5:$B$104,0)),""))</f>
        <v/>
      </c>
      <c r="D153" s="18"/>
      <c r="E153" s="19"/>
      <c r="F153" s="19"/>
      <c r="G153" s="20"/>
      <c r="H153" s="16" t="str">
        <f aca="false">IF(OR(E153="",F153=""),"",ROUND(MOD(F153-E153,1)*24-N(G153),2))</f>
        <v/>
      </c>
      <c r="I153" s="18"/>
      <c r="J153" s="18"/>
      <c r="K153" s="18"/>
      <c r="L153" s="16" t="str">
        <f aca="false">IF(OR(A153="",B153=""),"",SUMIFS('Registro por hora'!$H$5:$H$2004,'Registro por hora'!$A$5:$A$2004,A153,'Registro por hora'!$B$5:$B$2004,B153))</f>
        <v/>
      </c>
      <c r="M153" s="13" t="str">
        <f aca="false">IF(B153="","",IF(D153="","⚠ Falta estado",IF(AND(OR(D153="Ausente",D153="Medio día"),I153=""),"⚠ Falta motivo",IF(AND(OR(D153="Ausente",D153="Medio día"),J153=""),"⚠ Falta explicación",IF(D153="Ausente","✔ Ausencia justificada",IF(OR(E153="",F153=""),"⚠ Falta hora de entrada/salida",IF(K153="","⚠ Falta resumen del día",IF(N(L153)&lt;N(H153)-0.01,"⚠ Faltan "&amp;TEXT(N(H153)-N(L153),"0.0")&amp;" h por reportar","✔ OK"))))))))</f>
        <v/>
      </c>
    </row>
    <row r="154" customFormat="false" ht="15" hidden="false" customHeight="false" outlineLevel="0" collapsed="false">
      <c r="A154" s="17"/>
      <c r="B154" s="18"/>
      <c r="C154" s="13" t="str">
        <f aca="false">IF(B154="","",IFERROR(INDEX(Personal!$C$5:$C$104,MATCH(B154,Personal!$B$5:$B$104,0)),""))</f>
        <v/>
      </c>
      <c r="D154" s="18"/>
      <c r="E154" s="19"/>
      <c r="F154" s="19"/>
      <c r="G154" s="20"/>
      <c r="H154" s="16" t="str">
        <f aca="false">IF(OR(E154="",F154=""),"",ROUND(MOD(F154-E154,1)*24-N(G154),2))</f>
        <v/>
      </c>
      <c r="I154" s="18"/>
      <c r="J154" s="18"/>
      <c r="K154" s="18"/>
      <c r="L154" s="16" t="str">
        <f aca="false">IF(OR(A154="",B154=""),"",SUMIFS('Registro por hora'!$H$5:$H$2004,'Registro por hora'!$A$5:$A$2004,A154,'Registro por hora'!$B$5:$B$2004,B154))</f>
        <v/>
      </c>
      <c r="M154" s="13" t="str">
        <f aca="false">IF(B154="","",IF(D154="","⚠ Falta estado",IF(AND(OR(D154="Ausente",D154="Medio día"),I154=""),"⚠ Falta motivo",IF(AND(OR(D154="Ausente",D154="Medio día"),J154=""),"⚠ Falta explicación",IF(D154="Ausente","✔ Ausencia justificada",IF(OR(E154="",F154=""),"⚠ Falta hora de entrada/salida",IF(K154="","⚠ Falta resumen del día",IF(N(L154)&lt;N(H154)-0.01,"⚠ Faltan "&amp;TEXT(N(H154)-N(L154),"0.0")&amp;" h por reportar","✔ OK"))))))))</f>
        <v/>
      </c>
    </row>
    <row r="155" customFormat="false" ht="15" hidden="false" customHeight="false" outlineLevel="0" collapsed="false">
      <c r="A155" s="17"/>
      <c r="B155" s="18"/>
      <c r="C155" s="13" t="str">
        <f aca="false">IF(B155="","",IFERROR(INDEX(Personal!$C$5:$C$104,MATCH(B155,Personal!$B$5:$B$104,0)),""))</f>
        <v/>
      </c>
      <c r="D155" s="18"/>
      <c r="E155" s="19"/>
      <c r="F155" s="19"/>
      <c r="G155" s="20"/>
      <c r="H155" s="16" t="str">
        <f aca="false">IF(OR(E155="",F155=""),"",ROUND(MOD(F155-E155,1)*24-N(G155),2))</f>
        <v/>
      </c>
      <c r="I155" s="18"/>
      <c r="J155" s="18"/>
      <c r="K155" s="18"/>
      <c r="L155" s="16" t="str">
        <f aca="false">IF(OR(A155="",B155=""),"",SUMIFS('Registro por hora'!$H$5:$H$2004,'Registro por hora'!$A$5:$A$2004,A155,'Registro por hora'!$B$5:$B$2004,B155))</f>
        <v/>
      </c>
      <c r="M155" s="13" t="str">
        <f aca="false">IF(B155="","",IF(D155="","⚠ Falta estado",IF(AND(OR(D155="Ausente",D155="Medio día"),I155=""),"⚠ Falta motivo",IF(AND(OR(D155="Ausente",D155="Medio día"),J155=""),"⚠ Falta explicación",IF(D155="Ausente","✔ Ausencia justificada",IF(OR(E155="",F155=""),"⚠ Falta hora de entrada/salida",IF(K155="","⚠ Falta resumen del día",IF(N(L155)&lt;N(H155)-0.01,"⚠ Faltan "&amp;TEXT(N(H155)-N(L155),"0.0")&amp;" h por reportar","✔ OK"))))))))</f>
        <v/>
      </c>
    </row>
    <row r="156" customFormat="false" ht="15" hidden="false" customHeight="false" outlineLevel="0" collapsed="false">
      <c r="A156" s="17"/>
      <c r="B156" s="18"/>
      <c r="C156" s="13" t="str">
        <f aca="false">IF(B156="","",IFERROR(INDEX(Personal!$C$5:$C$104,MATCH(B156,Personal!$B$5:$B$104,0)),""))</f>
        <v/>
      </c>
      <c r="D156" s="18"/>
      <c r="E156" s="19"/>
      <c r="F156" s="19"/>
      <c r="G156" s="20"/>
      <c r="H156" s="16" t="str">
        <f aca="false">IF(OR(E156="",F156=""),"",ROUND(MOD(F156-E156,1)*24-N(G156),2))</f>
        <v/>
      </c>
      <c r="I156" s="18"/>
      <c r="J156" s="18"/>
      <c r="K156" s="18"/>
      <c r="L156" s="16" t="str">
        <f aca="false">IF(OR(A156="",B156=""),"",SUMIFS('Registro por hora'!$H$5:$H$2004,'Registro por hora'!$A$5:$A$2004,A156,'Registro por hora'!$B$5:$B$2004,B156))</f>
        <v/>
      </c>
      <c r="M156" s="13" t="str">
        <f aca="false">IF(B156="","",IF(D156="","⚠ Falta estado",IF(AND(OR(D156="Ausente",D156="Medio día"),I156=""),"⚠ Falta motivo",IF(AND(OR(D156="Ausente",D156="Medio día"),J156=""),"⚠ Falta explicación",IF(D156="Ausente","✔ Ausencia justificada",IF(OR(E156="",F156=""),"⚠ Falta hora de entrada/salida",IF(K156="","⚠ Falta resumen del día",IF(N(L156)&lt;N(H156)-0.01,"⚠ Faltan "&amp;TEXT(N(H156)-N(L156),"0.0")&amp;" h por reportar","✔ OK"))))))))</f>
        <v/>
      </c>
    </row>
    <row r="157" customFormat="false" ht="15" hidden="false" customHeight="false" outlineLevel="0" collapsed="false">
      <c r="A157" s="17"/>
      <c r="B157" s="18"/>
      <c r="C157" s="13" t="str">
        <f aca="false">IF(B157="","",IFERROR(INDEX(Personal!$C$5:$C$104,MATCH(B157,Personal!$B$5:$B$104,0)),""))</f>
        <v/>
      </c>
      <c r="D157" s="18"/>
      <c r="E157" s="19"/>
      <c r="F157" s="19"/>
      <c r="G157" s="20"/>
      <c r="H157" s="16" t="str">
        <f aca="false">IF(OR(E157="",F157=""),"",ROUND(MOD(F157-E157,1)*24-N(G157),2))</f>
        <v/>
      </c>
      <c r="I157" s="18"/>
      <c r="J157" s="18"/>
      <c r="K157" s="18"/>
      <c r="L157" s="16" t="str">
        <f aca="false">IF(OR(A157="",B157=""),"",SUMIFS('Registro por hora'!$H$5:$H$2004,'Registro por hora'!$A$5:$A$2004,A157,'Registro por hora'!$B$5:$B$2004,B157))</f>
        <v/>
      </c>
      <c r="M157" s="13" t="str">
        <f aca="false">IF(B157="","",IF(D157="","⚠ Falta estado",IF(AND(OR(D157="Ausente",D157="Medio día"),I157=""),"⚠ Falta motivo",IF(AND(OR(D157="Ausente",D157="Medio día"),J157=""),"⚠ Falta explicación",IF(D157="Ausente","✔ Ausencia justificada",IF(OR(E157="",F157=""),"⚠ Falta hora de entrada/salida",IF(K157="","⚠ Falta resumen del día",IF(N(L157)&lt;N(H157)-0.01,"⚠ Faltan "&amp;TEXT(N(H157)-N(L157),"0.0")&amp;" h por reportar","✔ OK"))))))))</f>
        <v/>
      </c>
    </row>
    <row r="158" customFormat="false" ht="15" hidden="false" customHeight="false" outlineLevel="0" collapsed="false">
      <c r="A158" s="17"/>
      <c r="B158" s="18"/>
      <c r="C158" s="13" t="str">
        <f aca="false">IF(B158="","",IFERROR(INDEX(Personal!$C$5:$C$104,MATCH(B158,Personal!$B$5:$B$104,0)),""))</f>
        <v/>
      </c>
      <c r="D158" s="18"/>
      <c r="E158" s="19"/>
      <c r="F158" s="19"/>
      <c r="G158" s="20"/>
      <c r="H158" s="16" t="str">
        <f aca="false">IF(OR(E158="",F158=""),"",ROUND(MOD(F158-E158,1)*24-N(G158),2))</f>
        <v/>
      </c>
      <c r="I158" s="18"/>
      <c r="J158" s="18"/>
      <c r="K158" s="18"/>
      <c r="L158" s="16" t="str">
        <f aca="false">IF(OR(A158="",B158=""),"",SUMIFS('Registro por hora'!$H$5:$H$2004,'Registro por hora'!$A$5:$A$2004,A158,'Registro por hora'!$B$5:$B$2004,B158))</f>
        <v/>
      </c>
      <c r="M158" s="13" t="str">
        <f aca="false">IF(B158="","",IF(D158="","⚠ Falta estado",IF(AND(OR(D158="Ausente",D158="Medio día"),I158=""),"⚠ Falta motivo",IF(AND(OR(D158="Ausente",D158="Medio día"),J158=""),"⚠ Falta explicación",IF(D158="Ausente","✔ Ausencia justificada",IF(OR(E158="",F158=""),"⚠ Falta hora de entrada/salida",IF(K158="","⚠ Falta resumen del día",IF(N(L158)&lt;N(H158)-0.01,"⚠ Faltan "&amp;TEXT(N(H158)-N(L158),"0.0")&amp;" h por reportar","✔ OK"))))))))</f>
        <v/>
      </c>
    </row>
    <row r="159" customFormat="false" ht="15" hidden="false" customHeight="false" outlineLevel="0" collapsed="false">
      <c r="A159" s="17"/>
      <c r="B159" s="18"/>
      <c r="C159" s="13" t="str">
        <f aca="false">IF(B159="","",IFERROR(INDEX(Personal!$C$5:$C$104,MATCH(B159,Personal!$B$5:$B$104,0)),""))</f>
        <v/>
      </c>
      <c r="D159" s="18"/>
      <c r="E159" s="19"/>
      <c r="F159" s="19"/>
      <c r="G159" s="20"/>
      <c r="H159" s="16" t="str">
        <f aca="false">IF(OR(E159="",F159=""),"",ROUND(MOD(F159-E159,1)*24-N(G159),2))</f>
        <v/>
      </c>
      <c r="I159" s="18"/>
      <c r="J159" s="18"/>
      <c r="K159" s="18"/>
      <c r="L159" s="16" t="str">
        <f aca="false">IF(OR(A159="",B159=""),"",SUMIFS('Registro por hora'!$H$5:$H$2004,'Registro por hora'!$A$5:$A$2004,A159,'Registro por hora'!$B$5:$B$2004,B159))</f>
        <v/>
      </c>
      <c r="M159" s="13" t="str">
        <f aca="false">IF(B159="","",IF(D159="","⚠ Falta estado",IF(AND(OR(D159="Ausente",D159="Medio día"),I159=""),"⚠ Falta motivo",IF(AND(OR(D159="Ausente",D159="Medio día"),J159=""),"⚠ Falta explicación",IF(D159="Ausente","✔ Ausencia justificada",IF(OR(E159="",F159=""),"⚠ Falta hora de entrada/salida",IF(K159="","⚠ Falta resumen del día",IF(N(L159)&lt;N(H159)-0.01,"⚠ Faltan "&amp;TEXT(N(H159)-N(L159),"0.0")&amp;" h por reportar","✔ OK"))))))))</f>
        <v/>
      </c>
    </row>
    <row r="160" customFormat="false" ht="15" hidden="false" customHeight="false" outlineLevel="0" collapsed="false">
      <c r="A160" s="17"/>
      <c r="B160" s="18"/>
      <c r="C160" s="13" t="str">
        <f aca="false">IF(B160="","",IFERROR(INDEX(Personal!$C$5:$C$104,MATCH(B160,Personal!$B$5:$B$104,0)),""))</f>
        <v/>
      </c>
      <c r="D160" s="18"/>
      <c r="E160" s="19"/>
      <c r="F160" s="19"/>
      <c r="G160" s="20"/>
      <c r="H160" s="16" t="str">
        <f aca="false">IF(OR(E160="",F160=""),"",ROUND(MOD(F160-E160,1)*24-N(G160),2))</f>
        <v/>
      </c>
      <c r="I160" s="18"/>
      <c r="J160" s="18"/>
      <c r="K160" s="18"/>
      <c r="L160" s="16" t="str">
        <f aca="false">IF(OR(A160="",B160=""),"",SUMIFS('Registro por hora'!$H$5:$H$2004,'Registro por hora'!$A$5:$A$2004,A160,'Registro por hora'!$B$5:$B$2004,B160))</f>
        <v/>
      </c>
      <c r="M160" s="13" t="str">
        <f aca="false">IF(B160="","",IF(D160="","⚠ Falta estado",IF(AND(OR(D160="Ausente",D160="Medio día"),I160=""),"⚠ Falta motivo",IF(AND(OR(D160="Ausente",D160="Medio día"),J160=""),"⚠ Falta explicación",IF(D160="Ausente","✔ Ausencia justificada",IF(OR(E160="",F160=""),"⚠ Falta hora de entrada/salida",IF(K160="","⚠ Falta resumen del día",IF(N(L160)&lt;N(H160)-0.01,"⚠ Faltan "&amp;TEXT(N(H160)-N(L160),"0.0")&amp;" h por reportar","✔ OK"))))))))</f>
        <v/>
      </c>
    </row>
    <row r="161" customFormat="false" ht="15" hidden="false" customHeight="false" outlineLevel="0" collapsed="false">
      <c r="A161" s="17"/>
      <c r="B161" s="18"/>
      <c r="C161" s="13" t="str">
        <f aca="false">IF(B161="","",IFERROR(INDEX(Personal!$C$5:$C$104,MATCH(B161,Personal!$B$5:$B$104,0)),""))</f>
        <v/>
      </c>
      <c r="D161" s="18"/>
      <c r="E161" s="19"/>
      <c r="F161" s="19"/>
      <c r="G161" s="20"/>
      <c r="H161" s="16" t="str">
        <f aca="false">IF(OR(E161="",F161=""),"",ROUND(MOD(F161-E161,1)*24-N(G161),2))</f>
        <v/>
      </c>
      <c r="I161" s="18"/>
      <c r="J161" s="18"/>
      <c r="K161" s="18"/>
      <c r="L161" s="16" t="str">
        <f aca="false">IF(OR(A161="",B161=""),"",SUMIFS('Registro por hora'!$H$5:$H$2004,'Registro por hora'!$A$5:$A$2004,A161,'Registro por hora'!$B$5:$B$2004,B161))</f>
        <v/>
      </c>
      <c r="M161" s="13" t="str">
        <f aca="false">IF(B161="","",IF(D161="","⚠ Falta estado",IF(AND(OR(D161="Ausente",D161="Medio día"),I161=""),"⚠ Falta motivo",IF(AND(OR(D161="Ausente",D161="Medio día"),J161=""),"⚠ Falta explicación",IF(D161="Ausente","✔ Ausencia justificada",IF(OR(E161="",F161=""),"⚠ Falta hora de entrada/salida",IF(K161="","⚠ Falta resumen del día",IF(N(L161)&lt;N(H161)-0.01,"⚠ Faltan "&amp;TEXT(N(H161)-N(L161),"0.0")&amp;" h por reportar","✔ OK"))))))))</f>
        <v/>
      </c>
    </row>
    <row r="162" customFormat="false" ht="15" hidden="false" customHeight="false" outlineLevel="0" collapsed="false">
      <c r="A162" s="17"/>
      <c r="B162" s="18"/>
      <c r="C162" s="13" t="str">
        <f aca="false">IF(B162="","",IFERROR(INDEX(Personal!$C$5:$C$104,MATCH(B162,Personal!$B$5:$B$104,0)),""))</f>
        <v/>
      </c>
      <c r="D162" s="18"/>
      <c r="E162" s="19"/>
      <c r="F162" s="19"/>
      <c r="G162" s="20"/>
      <c r="H162" s="16" t="str">
        <f aca="false">IF(OR(E162="",F162=""),"",ROUND(MOD(F162-E162,1)*24-N(G162),2))</f>
        <v/>
      </c>
      <c r="I162" s="18"/>
      <c r="J162" s="18"/>
      <c r="K162" s="18"/>
      <c r="L162" s="16" t="str">
        <f aca="false">IF(OR(A162="",B162=""),"",SUMIFS('Registro por hora'!$H$5:$H$2004,'Registro por hora'!$A$5:$A$2004,A162,'Registro por hora'!$B$5:$B$2004,B162))</f>
        <v/>
      </c>
      <c r="M162" s="13" t="str">
        <f aca="false">IF(B162="","",IF(D162="","⚠ Falta estado",IF(AND(OR(D162="Ausente",D162="Medio día"),I162=""),"⚠ Falta motivo",IF(AND(OR(D162="Ausente",D162="Medio día"),J162=""),"⚠ Falta explicación",IF(D162="Ausente","✔ Ausencia justificada",IF(OR(E162="",F162=""),"⚠ Falta hora de entrada/salida",IF(K162="","⚠ Falta resumen del día",IF(N(L162)&lt;N(H162)-0.01,"⚠ Faltan "&amp;TEXT(N(H162)-N(L162),"0.0")&amp;" h por reportar","✔ OK"))))))))</f>
        <v/>
      </c>
    </row>
    <row r="163" customFormat="false" ht="15" hidden="false" customHeight="false" outlineLevel="0" collapsed="false">
      <c r="A163" s="17"/>
      <c r="B163" s="18"/>
      <c r="C163" s="13" t="str">
        <f aca="false">IF(B163="","",IFERROR(INDEX(Personal!$C$5:$C$104,MATCH(B163,Personal!$B$5:$B$104,0)),""))</f>
        <v/>
      </c>
      <c r="D163" s="18"/>
      <c r="E163" s="19"/>
      <c r="F163" s="19"/>
      <c r="G163" s="20"/>
      <c r="H163" s="16" t="str">
        <f aca="false">IF(OR(E163="",F163=""),"",ROUND(MOD(F163-E163,1)*24-N(G163),2))</f>
        <v/>
      </c>
      <c r="I163" s="18"/>
      <c r="J163" s="18"/>
      <c r="K163" s="18"/>
      <c r="L163" s="16" t="str">
        <f aca="false">IF(OR(A163="",B163=""),"",SUMIFS('Registro por hora'!$H$5:$H$2004,'Registro por hora'!$A$5:$A$2004,A163,'Registro por hora'!$B$5:$B$2004,B163))</f>
        <v/>
      </c>
      <c r="M163" s="13" t="str">
        <f aca="false">IF(B163="","",IF(D163="","⚠ Falta estado",IF(AND(OR(D163="Ausente",D163="Medio día"),I163=""),"⚠ Falta motivo",IF(AND(OR(D163="Ausente",D163="Medio día"),J163=""),"⚠ Falta explicación",IF(D163="Ausente","✔ Ausencia justificada",IF(OR(E163="",F163=""),"⚠ Falta hora de entrada/salida",IF(K163="","⚠ Falta resumen del día",IF(N(L163)&lt;N(H163)-0.01,"⚠ Faltan "&amp;TEXT(N(H163)-N(L163),"0.0")&amp;" h por reportar","✔ OK"))))))))</f>
        <v/>
      </c>
    </row>
    <row r="164" customFormat="false" ht="15" hidden="false" customHeight="false" outlineLevel="0" collapsed="false">
      <c r="A164" s="17"/>
      <c r="B164" s="18"/>
      <c r="C164" s="13" t="str">
        <f aca="false">IF(B164="","",IFERROR(INDEX(Personal!$C$5:$C$104,MATCH(B164,Personal!$B$5:$B$104,0)),""))</f>
        <v/>
      </c>
      <c r="D164" s="18"/>
      <c r="E164" s="19"/>
      <c r="F164" s="19"/>
      <c r="G164" s="20"/>
      <c r="H164" s="16" t="str">
        <f aca="false">IF(OR(E164="",F164=""),"",ROUND(MOD(F164-E164,1)*24-N(G164),2))</f>
        <v/>
      </c>
      <c r="I164" s="18"/>
      <c r="J164" s="18"/>
      <c r="K164" s="18"/>
      <c r="L164" s="16" t="str">
        <f aca="false">IF(OR(A164="",B164=""),"",SUMIFS('Registro por hora'!$H$5:$H$2004,'Registro por hora'!$A$5:$A$2004,A164,'Registro por hora'!$B$5:$B$2004,B164))</f>
        <v/>
      </c>
      <c r="M164" s="13" t="str">
        <f aca="false">IF(B164="","",IF(D164="","⚠ Falta estado",IF(AND(OR(D164="Ausente",D164="Medio día"),I164=""),"⚠ Falta motivo",IF(AND(OR(D164="Ausente",D164="Medio día"),J164=""),"⚠ Falta explicación",IF(D164="Ausente","✔ Ausencia justificada",IF(OR(E164="",F164=""),"⚠ Falta hora de entrada/salida",IF(K164="","⚠ Falta resumen del día",IF(N(L164)&lt;N(H164)-0.01,"⚠ Faltan "&amp;TEXT(N(H164)-N(L164),"0.0")&amp;" h por reportar","✔ OK"))))))))</f>
        <v/>
      </c>
    </row>
    <row r="165" customFormat="false" ht="15" hidden="false" customHeight="false" outlineLevel="0" collapsed="false">
      <c r="A165" s="17"/>
      <c r="B165" s="18"/>
      <c r="C165" s="13" t="str">
        <f aca="false">IF(B165="","",IFERROR(INDEX(Personal!$C$5:$C$104,MATCH(B165,Personal!$B$5:$B$104,0)),""))</f>
        <v/>
      </c>
      <c r="D165" s="18"/>
      <c r="E165" s="19"/>
      <c r="F165" s="19"/>
      <c r="G165" s="20"/>
      <c r="H165" s="16" t="str">
        <f aca="false">IF(OR(E165="",F165=""),"",ROUND(MOD(F165-E165,1)*24-N(G165),2))</f>
        <v/>
      </c>
      <c r="I165" s="18"/>
      <c r="J165" s="18"/>
      <c r="K165" s="18"/>
      <c r="L165" s="16" t="str">
        <f aca="false">IF(OR(A165="",B165=""),"",SUMIFS('Registro por hora'!$H$5:$H$2004,'Registro por hora'!$A$5:$A$2004,A165,'Registro por hora'!$B$5:$B$2004,B165))</f>
        <v/>
      </c>
      <c r="M165" s="13" t="str">
        <f aca="false">IF(B165="","",IF(D165="","⚠ Falta estado",IF(AND(OR(D165="Ausente",D165="Medio día"),I165=""),"⚠ Falta motivo",IF(AND(OR(D165="Ausente",D165="Medio día"),J165=""),"⚠ Falta explicación",IF(D165="Ausente","✔ Ausencia justificada",IF(OR(E165="",F165=""),"⚠ Falta hora de entrada/salida",IF(K165="","⚠ Falta resumen del día",IF(N(L165)&lt;N(H165)-0.01,"⚠ Faltan "&amp;TEXT(N(H165)-N(L165),"0.0")&amp;" h por reportar","✔ OK"))))))))</f>
        <v/>
      </c>
    </row>
    <row r="166" customFormat="false" ht="15" hidden="false" customHeight="false" outlineLevel="0" collapsed="false">
      <c r="A166" s="17"/>
      <c r="B166" s="18"/>
      <c r="C166" s="13" t="str">
        <f aca="false">IF(B166="","",IFERROR(INDEX(Personal!$C$5:$C$104,MATCH(B166,Personal!$B$5:$B$104,0)),""))</f>
        <v/>
      </c>
      <c r="D166" s="18"/>
      <c r="E166" s="19"/>
      <c r="F166" s="19"/>
      <c r="G166" s="20"/>
      <c r="H166" s="16" t="str">
        <f aca="false">IF(OR(E166="",F166=""),"",ROUND(MOD(F166-E166,1)*24-N(G166),2))</f>
        <v/>
      </c>
      <c r="I166" s="18"/>
      <c r="J166" s="18"/>
      <c r="K166" s="18"/>
      <c r="L166" s="16" t="str">
        <f aca="false">IF(OR(A166="",B166=""),"",SUMIFS('Registro por hora'!$H$5:$H$2004,'Registro por hora'!$A$5:$A$2004,A166,'Registro por hora'!$B$5:$B$2004,B166))</f>
        <v/>
      </c>
      <c r="M166" s="13" t="str">
        <f aca="false">IF(B166="","",IF(D166="","⚠ Falta estado",IF(AND(OR(D166="Ausente",D166="Medio día"),I166=""),"⚠ Falta motivo",IF(AND(OR(D166="Ausente",D166="Medio día"),J166=""),"⚠ Falta explicación",IF(D166="Ausente","✔ Ausencia justificada",IF(OR(E166="",F166=""),"⚠ Falta hora de entrada/salida",IF(K166="","⚠ Falta resumen del día",IF(N(L166)&lt;N(H166)-0.01,"⚠ Faltan "&amp;TEXT(N(H166)-N(L166),"0.0")&amp;" h por reportar","✔ OK"))))))))</f>
        <v/>
      </c>
    </row>
    <row r="167" customFormat="false" ht="15" hidden="false" customHeight="false" outlineLevel="0" collapsed="false">
      <c r="A167" s="17"/>
      <c r="B167" s="18"/>
      <c r="C167" s="13" t="str">
        <f aca="false">IF(B167="","",IFERROR(INDEX(Personal!$C$5:$C$104,MATCH(B167,Personal!$B$5:$B$104,0)),""))</f>
        <v/>
      </c>
      <c r="D167" s="18"/>
      <c r="E167" s="19"/>
      <c r="F167" s="19"/>
      <c r="G167" s="20"/>
      <c r="H167" s="16" t="str">
        <f aca="false">IF(OR(E167="",F167=""),"",ROUND(MOD(F167-E167,1)*24-N(G167),2))</f>
        <v/>
      </c>
      <c r="I167" s="18"/>
      <c r="J167" s="18"/>
      <c r="K167" s="18"/>
      <c r="L167" s="16" t="str">
        <f aca="false">IF(OR(A167="",B167=""),"",SUMIFS('Registro por hora'!$H$5:$H$2004,'Registro por hora'!$A$5:$A$2004,A167,'Registro por hora'!$B$5:$B$2004,B167))</f>
        <v/>
      </c>
      <c r="M167" s="13" t="str">
        <f aca="false">IF(B167="","",IF(D167="","⚠ Falta estado",IF(AND(OR(D167="Ausente",D167="Medio día"),I167=""),"⚠ Falta motivo",IF(AND(OR(D167="Ausente",D167="Medio día"),J167=""),"⚠ Falta explicación",IF(D167="Ausente","✔ Ausencia justificada",IF(OR(E167="",F167=""),"⚠ Falta hora de entrada/salida",IF(K167="","⚠ Falta resumen del día",IF(N(L167)&lt;N(H167)-0.01,"⚠ Faltan "&amp;TEXT(N(H167)-N(L167),"0.0")&amp;" h por reportar","✔ OK"))))))))</f>
        <v/>
      </c>
    </row>
    <row r="168" customFormat="false" ht="15" hidden="false" customHeight="false" outlineLevel="0" collapsed="false">
      <c r="A168" s="17"/>
      <c r="B168" s="18"/>
      <c r="C168" s="13" t="str">
        <f aca="false">IF(B168="","",IFERROR(INDEX(Personal!$C$5:$C$104,MATCH(B168,Personal!$B$5:$B$104,0)),""))</f>
        <v/>
      </c>
      <c r="D168" s="18"/>
      <c r="E168" s="19"/>
      <c r="F168" s="19"/>
      <c r="G168" s="20"/>
      <c r="H168" s="16" t="str">
        <f aca="false">IF(OR(E168="",F168=""),"",ROUND(MOD(F168-E168,1)*24-N(G168),2))</f>
        <v/>
      </c>
      <c r="I168" s="18"/>
      <c r="J168" s="18"/>
      <c r="K168" s="18"/>
      <c r="L168" s="16" t="str">
        <f aca="false">IF(OR(A168="",B168=""),"",SUMIFS('Registro por hora'!$H$5:$H$2004,'Registro por hora'!$A$5:$A$2004,A168,'Registro por hora'!$B$5:$B$2004,B168))</f>
        <v/>
      </c>
      <c r="M168" s="13" t="str">
        <f aca="false">IF(B168="","",IF(D168="","⚠ Falta estado",IF(AND(OR(D168="Ausente",D168="Medio día"),I168=""),"⚠ Falta motivo",IF(AND(OR(D168="Ausente",D168="Medio día"),J168=""),"⚠ Falta explicación",IF(D168="Ausente","✔ Ausencia justificada",IF(OR(E168="",F168=""),"⚠ Falta hora de entrada/salida",IF(K168="","⚠ Falta resumen del día",IF(N(L168)&lt;N(H168)-0.01,"⚠ Faltan "&amp;TEXT(N(H168)-N(L168),"0.0")&amp;" h por reportar","✔ OK"))))))))</f>
        <v/>
      </c>
    </row>
    <row r="169" customFormat="false" ht="15" hidden="false" customHeight="false" outlineLevel="0" collapsed="false">
      <c r="A169" s="17"/>
      <c r="B169" s="18"/>
      <c r="C169" s="13" t="str">
        <f aca="false">IF(B169="","",IFERROR(INDEX(Personal!$C$5:$C$104,MATCH(B169,Personal!$B$5:$B$104,0)),""))</f>
        <v/>
      </c>
      <c r="D169" s="18"/>
      <c r="E169" s="19"/>
      <c r="F169" s="19"/>
      <c r="G169" s="20"/>
      <c r="H169" s="16" t="str">
        <f aca="false">IF(OR(E169="",F169=""),"",ROUND(MOD(F169-E169,1)*24-N(G169),2))</f>
        <v/>
      </c>
      <c r="I169" s="18"/>
      <c r="J169" s="18"/>
      <c r="K169" s="18"/>
      <c r="L169" s="16" t="str">
        <f aca="false">IF(OR(A169="",B169=""),"",SUMIFS('Registro por hora'!$H$5:$H$2004,'Registro por hora'!$A$5:$A$2004,A169,'Registro por hora'!$B$5:$B$2004,B169))</f>
        <v/>
      </c>
      <c r="M169" s="13" t="str">
        <f aca="false">IF(B169="","",IF(D169="","⚠ Falta estado",IF(AND(OR(D169="Ausente",D169="Medio día"),I169=""),"⚠ Falta motivo",IF(AND(OR(D169="Ausente",D169="Medio día"),J169=""),"⚠ Falta explicación",IF(D169="Ausente","✔ Ausencia justificada",IF(OR(E169="",F169=""),"⚠ Falta hora de entrada/salida",IF(K169="","⚠ Falta resumen del día",IF(N(L169)&lt;N(H169)-0.01,"⚠ Faltan "&amp;TEXT(N(H169)-N(L169),"0.0")&amp;" h por reportar","✔ OK"))))))))</f>
        <v/>
      </c>
    </row>
    <row r="170" customFormat="false" ht="15" hidden="false" customHeight="false" outlineLevel="0" collapsed="false">
      <c r="A170" s="17"/>
      <c r="B170" s="18"/>
      <c r="C170" s="13" t="str">
        <f aca="false">IF(B170="","",IFERROR(INDEX(Personal!$C$5:$C$104,MATCH(B170,Personal!$B$5:$B$104,0)),""))</f>
        <v/>
      </c>
      <c r="D170" s="18"/>
      <c r="E170" s="19"/>
      <c r="F170" s="19"/>
      <c r="G170" s="20"/>
      <c r="H170" s="16" t="str">
        <f aca="false">IF(OR(E170="",F170=""),"",ROUND(MOD(F170-E170,1)*24-N(G170),2))</f>
        <v/>
      </c>
      <c r="I170" s="18"/>
      <c r="J170" s="18"/>
      <c r="K170" s="18"/>
      <c r="L170" s="16" t="str">
        <f aca="false">IF(OR(A170="",B170=""),"",SUMIFS('Registro por hora'!$H$5:$H$2004,'Registro por hora'!$A$5:$A$2004,A170,'Registro por hora'!$B$5:$B$2004,B170))</f>
        <v/>
      </c>
      <c r="M170" s="13" t="str">
        <f aca="false">IF(B170="","",IF(D170="","⚠ Falta estado",IF(AND(OR(D170="Ausente",D170="Medio día"),I170=""),"⚠ Falta motivo",IF(AND(OR(D170="Ausente",D170="Medio día"),J170=""),"⚠ Falta explicación",IF(D170="Ausente","✔ Ausencia justificada",IF(OR(E170="",F170=""),"⚠ Falta hora de entrada/salida",IF(K170="","⚠ Falta resumen del día",IF(N(L170)&lt;N(H170)-0.01,"⚠ Faltan "&amp;TEXT(N(H170)-N(L170),"0.0")&amp;" h por reportar","✔ OK"))))))))</f>
        <v/>
      </c>
    </row>
    <row r="171" customFormat="false" ht="15" hidden="false" customHeight="false" outlineLevel="0" collapsed="false">
      <c r="A171" s="17"/>
      <c r="B171" s="18"/>
      <c r="C171" s="13" t="str">
        <f aca="false">IF(B171="","",IFERROR(INDEX(Personal!$C$5:$C$104,MATCH(B171,Personal!$B$5:$B$104,0)),""))</f>
        <v/>
      </c>
      <c r="D171" s="18"/>
      <c r="E171" s="19"/>
      <c r="F171" s="19"/>
      <c r="G171" s="20"/>
      <c r="H171" s="16" t="str">
        <f aca="false">IF(OR(E171="",F171=""),"",ROUND(MOD(F171-E171,1)*24-N(G171),2))</f>
        <v/>
      </c>
      <c r="I171" s="18"/>
      <c r="J171" s="18"/>
      <c r="K171" s="18"/>
      <c r="L171" s="16" t="str">
        <f aca="false">IF(OR(A171="",B171=""),"",SUMIFS('Registro por hora'!$H$5:$H$2004,'Registro por hora'!$A$5:$A$2004,A171,'Registro por hora'!$B$5:$B$2004,B171))</f>
        <v/>
      </c>
      <c r="M171" s="13" t="str">
        <f aca="false">IF(B171="","",IF(D171="","⚠ Falta estado",IF(AND(OR(D171="Ausente",D171="Medio día"),I171=""),"⚠ Falta motivo",IF(AND(OR(D171="Ausente",D171="Medio día"),J171=""),"⚠ Falta explicación",IF(D171="Ausente","✔ Ausencia justificada",IF(OR(E171="",F171=""),"⚠ Falta hora de entrada/salida",IF(K171="","⚠ Falta resumen del día",IF(N(L171)&lt;N(H171)-0.01,"⚠ Faltan "&amp;TEXT(N(H171)-N(L171),"0.0")&amp;" h por reportar","✔ OK"))))))))</f>
        <v/>
      </c>
    </row>
    <row r="172" customFormat="false" ht="15" hidden="false" customHeight="false" outlineLevel="0" collapsed="false">
      <c r="A172" s="17"/>
      <c r="B172" s="18"/>
      <c r="C172" s="13" t="str">
        <f aca="false">IF(B172="","",IFERROR(INDEX(Personal!$C$5:$C$104,MATCH(B172,Personal!$B$5:$B$104,0)),""))</f>
        <v/>
      </c>
      <c r="D172" s="18"/>
      <c r="E172" s="19"/>
      <c r="F172" s="19"/>
      <c r="G172" s="20"/>
      <c r="H172" s="16" t="str">
        <f aca="false">IF(OR(E172="",F172=""),"",ROUND(MOD(F172-E172,1)*24-N(G172),2))</f>
        <v/>
      </c>
      <c r="I172" s="18"/>
      <c r="J172" s="18"/>
      <c r="K172" s="18"/>
      <c r="L172" s="16" t="str">
        <f aca="false">IF(OR(A172="",B172=""),"",SUMIFS('Registro por hora'!$H$5:$H$2004,'Registro por hora'!$A$5:$A$2004,A172,'Registro por hora'!$B$5:$B$2004,B172))</f>
        <v/>
      </c>
      <c r="M172" s="13" t="str">
        <f aca="false">IF(B172="","",IF(D172="","⚠ Falta estado",IF(AND(OR(D172="Ausente",D172="Medio día"),I172=""),"⚠ Falta motivo",IF(AND(OR(D172="Ausente",D172="Medio día"),J172=""),"⚠ Falta explicación",IF(D172="Ausente","✔ Ausencia justificada",IF(OR(E172="",F172=""),"⚠ Falta hora de entrada/salida",IF(K172="","⚠ Falta resumen del día",IF(N(L172)&lt;N(H172)-0.01,"⚠ Faltan "&amp;TEXT(N(H172)-N(L172),"0.0")&amp;" h por reportar","✔ OK"))))))))</f>
        <v/>
      </c>
    </row>
    <row r="173" customFormat="false" ht="15" hidden="false" customHeight="false" outlineLevel="0" collapsed="false">
      <c r="A173" s="17"/>
      <c r="B173" s="18"/>
      <c r="C173" s="13" t="str">
        <f aca="false">IF(B173="","",IFERROR(INDEX(Personal!$C$5:$C$104,MATCH(B173,Personal!$B$5:$B$104,0)),""))</f>
        <v/>
      </c>
      <c r="D173" s="18"/>
      <c r="E173" s="19"/>
      <c r="F173" s="19"/>
      <c r="G173" s="20"/>
      <c r="H173" s="16" t="str">
        <f aca="false">IF(OR(E173="",F173=""),"",ROUND(MOD(F173-E173,1)*24-N(G173),2))</f>
        <v/>
      </c>
      <c r="I173" s="18"/>
      <c r="J173" s="18"/>
      <c r="K173" s="18"/>
      <c r="L173" s="16" t="str">
        <f aca="false">IF(OR(A173="",B173=""),"",SUMIFS('Registro por hora'!$H$5:$H$2004,'Registro por hora'!$A$5:$A$2004,A173,'Registro por hora'!$B$5:$B$2004,B173))</f>
        <v/>
      </c>
      <c r="M173" s="13" t="str">
        <f aca="false">IF(B173="","",IF(D173="","⚠ Falta estado",IF(AND(OR(D173="Ausente",D173="Medio día"),I173=""),"⚠ Falta motivo",IF(AND(OR(D173="Ausente",D173="Medio día"),J173=""),"⚠ Falta explicación",IF(D173="Ausente","✔ Ausencia justificada",IF(OR(E173="",F173=""),"⚠ Falta hora de entrada/salida",IF(K173="","⚠ Falta resumen del día",IF(N(L173)&lt;N(H173)-0.01,"⚠ Faltan "&amp;TEXT(N(H173)-N(L173),"0.0")&amp;" h por reportar","✔ OK"))))))))</f>
        <v/>
      </c>
    </row>
    <row r="174" customFormat="false" ht="15" hidden="false" customHeight="false" outlineLevel="0" collapsed="false">
      <c r="A174" s="17"/>
      <c r="B174" s="18"/>
      <c r="C174" s="13" t="str">
        <f aca="false">IF(B174="","",IFERROR(INDEX(Personal!$C$5:$C$104,MATCH(B174,Personal!$B$5:$B$104,0)),""))</f>
        <v/>
      </c>
      <c r="D174" s="18"/>
      <c r="E174" s="19"/>
      <c r="F174" s="19"/>
      <c r="G174" s="20"/>
      <c r="H174" s="16" t="str">
        <f aca="false">IF(OR(E174="",F174=""),"",ROUND(MOD(F174-E174,1)*24-N(G174),2))</f>
        <v/>
      </c>
      <c r="I174" s="18"/>
      <c r="J174" s="18"/>
      <c r="K174" s="18"/>
      <c r="L174" s="16" t="str">
        <f aca="false">IF(OR(A174="",B174=""),"",SUMIFS('Registro por hora'!$H$5:$H$2004,'Registro por hora'!$A$5:$A$2004,A174,'Registro por hora'!$B$5:$B$2004,B174))</f>
        <v/>
      </c>
      <c r="M174" s="13" t="str">
        <f aca="false">IF(B174="","",IF(D174="","⚠ Falta estado",IF(AND(OR(D174="Ausente",D174="Medio día"),I174=""),"⚠ Falta motivo",IF(AND(OR(D174="Ausente",D174="Medio día"),J174=""),"⚠ Falta explicación",IF(D174="Ausente","✔ Ausencia justificada",IF(OR(E174="",F174=""),"⚠ Falta hora de entrada/salida",IF(K174="","⚠ Falta resumen del día",IF(N(L174)&lt;N(H174)-0.01,"⚠ Faltan "&amp;TEXT(N(H174)-N(L174),"0.0")&amp;" h por reportar","✔ OK"))))))))</f>
        <v/>
      </c>
    </row>
    <row r="175" customFormat="false" ht="15" hidden="false" customHeight="false" outlineLevel="0" collapsed="false">
      <c r="A175" s="17"/>
      <c r="B175" s="18"/>
      <c r="C175" s="13" t="str">
        <f aca="false">IF(B175="","",IFERROR(INDEX(Personal!$C$5:$C$104,MATCH(B175,Personal!$B$5:$B$104,0)),""))</f>
        <v/>
      </c>
      <c r="D175" s="18"/>
      <c r="E175" s="19"/>
      <c r="F175" s="19"/>
      <c r="G175" s="20"/>
      <c r="H175" s="16" t="str">
        <f aca="false">IF(OR(E175="",F175=""),"",ROUND(MOD(F175-E175,1)*24-N(G175),2))</f>
        <v/>
      </c>
      <c r="I175" s="18"/>
      <c r="J175" s="18"/>
      <c r="K175" s="18"/>
      <c r="L175" s="16" t="str">
        <f aca="false">IF(OR(A175="",B175=""),"",SUMIFS('Registro por hora'!$H$5:$H$2004,'Registro por hora'!$A$5:$A$2004,A175,'Registro por hora'!$B$5:$B$2004,B175))</f>
        <v/>
      </c>
      <c r="M175" s="13" t="str">
        <f aca="false">IF(B175="","",IF(D175="","⚠ Falta estado",IF(AND(OR(D175="Ausente",D175="Medio día"),I175=""),"⚠ Falta motivo",IF(AND(OR(D175="Ausente",D175="Medio día"),J175=""),"⚠ Falta explicación",IF(D175="Ausente","✔ Ausencia justificada",IF(OR(E175="",F175=""),"⚠ Falta hora de entrada/salida",IF(K175="","⚠ Falta resumen del día",IF(N(L175)&lt;N(H175)-0.01,"⚠ Faltan "&amp;TEXT(N(H175)-N(L175),"0.0")&amp;" h por reportar","✔ OK"))))))))</f>
        <v/>
      </c>
    </row>
    <row r="176" customFormat="false" ht="15" hidden="false" customHeight="false" outlineLevel="0" collapsed="false">
      <c r="A176" s="17"/>
      <c r="B176" s="18"/>
      <c r="C176" s="13" t="str">
        <f aca="false">IF(B176="","",IFERROR(INDEX(Personal!$C$5:$C$104,MATCH(B176,Personal!$B$5:$B$104,0)),""))</f>
        <v/>
      </c>
      <c r="D176" s="18"/>
      <c r="E176" s="19"/>
      <c r="F176" s="19"/>
      <c r="G176" s="20"/>
      <c r="H176" s="16" t="str">
        <f aca="false">IF(OR(E176="",F176=""),"",ROUND(MOD(F176-E176,1)*24-N(G176),2))</f>
        <v/>
      </c>
      <c r="I176" s="18"/>
      <c r="J176" s="18"/>
      <c r="K176" s="18"/>
      <c r="L176" s="16" t="str">
        <f aca="false">IF(OR(A176="",B176=""),"",SUMIFS('Registro por hora'!$H$5:$H$2004,'Registro por hora'!$A$5:$A$2004,A176,'Registro por hora'!$B$5:$B$2004,B176))</f>
        <v/>
      </c>
      <c r="M176" s="13" t="str">
        <f aca="false">IF(B176="","",IF(D176="","⚠ Falta estado",IF(AND(OR(D176="Ausente",D176="Medio día"),I176=""),"⚠ Falta motivo",IF(AND(OR(D176="Ausente",D176="Medio día"),J176=""),"⚠ Falta explicación",IF(D176="Ausente","✔ Ausencia justificada",IF(OR(E176="",F176=""),"⚠ Falta hora de entrada/salida",IF(K176="","⚠ Falta resumen del día",IF(N(L176)&lt;N(H176)-0.01,"⚠ Faltan "&amp;TEXT(N(H176)-N(L176),"0.0")&amp;" h por reportar","✔ OK"))))))))</f>
        <v/>
      </c>
    </row>
    <row r="177" customFormat="false" ht="15" hidden="false" customHeight="false" outlineLevel="0" collapsed="false">
      <c r="A177" s="17"/>
      <c r="B177" s="18"/>
      <c r="C177" s="13" t="str">
        <f aca="false">IF(B177="","",IFERROR(INDEX(Personal!$C$5:$C$104,MATCH(B177,Personal!$B$5:$B$104,0)),""))</f>
        <v/>
      </c>
      <c r="D177" s="18"/>
      <c r="E177" s="19"/>
      <c r="F177" s="19"/>
      <c r="G177" s="20"/>
      <c r="H177" s="16" t="str">
        <f aca="false">IF(OR(E177="",F177=""),"",ROUND(MOD(F177-E177,1)*24-N(G177),2))</f>
        <v/>
      </c>
      <c r="I177" s="18"/>
      <c r="J177" s="18"/>
      <c r="K177" s="18"/>
      <c r="L177" s="16" t="str">
        <f aca="false">IF(OR(A177="",B177=""),"",SUMIFS('Registro por hora'!$H$5:$H$2004,'Registro por hora'!$A$5:$A$2004,A177,'Registro por hora'!$B$5:$B$2004,B177))</f>
        <v/>
      </c>
      <c r="M177" s="13" t="str">
        <f aca="false">IF(B177="","",IF(D177="","⚠ Falta estado",IF(AND(OR(D177="Ausente",D177="Medio día"),I177=""),"⚠ Falta motivo",IF(AND(OR(D177="Ausente",D177="Medio día"),J177=""),"⚠ Falta explicación",IF(D177="Ausente","✔ Ausencia justificada",IF(OR(E177="",F177=""),"⚠ Falta hora de entrada/salida",IF(K177="","⚠ Falta resumen del día",IF(N(L177)&lt;N(H177)-0.01,"⚠ Faltan "&amp;TEXT(N(H177)-N(L177),"0.0")&amp;" h por reportar","✔ OK"))))))))</f>
        <v/>
      </c>
    </row>
    <row r="178" customFormat="false" ht="15" hidden="false" customHeight="false" outlineLevel="0" collapsed="false">
      <c r="A178" s="17"/>
      <c r="B178" s="18"/>
      <c r="C178" s="13" t="str">
        <f aca="false">IF(B178="","",IFERROR(INDEX(Personal!$C$5:$C$104,MATCH(B178,Personal!$B$5:$B$104,0)),""))</f>
        <v/>
      </c>
      <c r="D178" s="18"/>
      <c r="E178" s="19"/>
      <c r="F178" s="19"/>
      <c r="G178" s="20"/>
      <c r="H178" s="16" t="str">
        <f aca="false">IF(OR(E178="",F178=""),"",ROUND(MOD(F178-E178,1)*24-N(G178),2))</f>
        <v/>
      </c>
      <c r="I178" s="18"/>
      <c r="J178" s="18"/>
      <c r="K178" s="18"/>
      <c r="L178" s="16" t="str">
        <f aca="false">IF(OR(A178="",B178=""),"",SUMIFS('Registro por hora'!$H$5:$H$2004,'Registro por hora'!$A$5:$A$2004,A178,'Registro por hora'!$B$5:$B$2004,B178))</f>
        <v/>
      </c>
      <c r="M178" s="13" t="str">
        <f aca="false">IF(B178="","",IF(D178="","⚠ Falta estado",IF(AND(OR(D178="Ausente",D178="Medio día"),I178=""),"⚠ Falta motivo",IF(AND(OR(D178="Ausente",D178="Medio día"),J178=""),"⚠ Falta explicación",IF(D178="Ausente","✔ Ausencia justificada",IF(OR(E178="",F178=""),"⚠ Falta hora de entrada/salida",IF(K178="","⚠ Falta resumen del día",IF(N(L178)&lt;N(H178)-0.01,"⚠ Faltan "&amp;TEXT(N(H178)-N(L178),"0.0")&amp;" h por reportar","✔ OK"))))))))</f>
        <v/>
      </c>
    </row>
    <row r="179" customFormat="false" ht="15" hidden="false" customHeight="false" outlineLevel="0" collapsed="false">
      <c r="A179" s="17"/>
      <c r="B179" s="18"/>
      <c r="C179" s="13" t="str">
        <f aca="false">IF(B179="","",IFERROR(INDEX(Personal!$C$5:$C$104,MATCH(B179,Personal!$B$5:$B$104,0)),""))</f>
        <v/>
      </c>
      <c r="D179" s="18"/>
      <c r="E179" s="19"/>
      <c r="F179" s="19"/>
      <c r="G179" s="20"/>
      <c r="H179" s="16" t="str">
        <f aca="false">IF(OR(E179="",F179=""),"",ROUND(MOD(F179-E179,1)*24-N(G179),2))</f>
        <v/>
      </c>
      <c r="I179" s="18"/>
      <c r="J179" s="18"/>
      <c r="K179" s="18"/>
      <c r="L179" s="16" t="str">
        <f aca="false">IF(OR(A179="",B179=""),"",SUMIFS('Registro por hora'!$H$5:$H$2004,'Registro por hora'!$A$5:$A$2004,A179,'Registro por hora'!$B$5:$B$2004,B179))</f>
        <v/>
      </c>
      <c r="M179" s="13" t="str">
        <f aca="false">IF(B179="","",IF(D179="","⚠ Falta estado",IF(AND(OR(D179="Ausente",D179="Medio día"),I179=""),"⚠ Falta motivo",IF(AND(OR(D179="Ausente",D179="Medio día"),J179=""),"⚠ Falta explicación",IF(D179="Ausente","✔ Ausencia justificada",IF(OR(E179="",F179=""),"⚠ Falta hora de entrada/salida",IF(K179="","⚠ Falta resumen del día",IF(N(L179)&lt;N(H179)-0.01,"⚠ Faltan "&amp;TEXT(N(H179)-N(L179),"0.0")&amp;" h por reportar","✔ OK"))))))))</f>
        <v/>
      </c>
    </row>
    <row r="180" customFormat="false" ht="15" hidden="false" customHeight="false" outlineLevel="0" collapsed="false">
      <c r="A180" s="17"/>
      <c r="B180" s="18"/>
      <c r="C180" s="13" t="str">
        <f aca="false">IF(B180="","",IFERROR(INDEX(Personal!$C$5:$C$104,MATCH(B180,Personal!$B$5:$B$104,0)),""))</f>
        <v/>
      </c>
      <c r="D180" s="18"/>
      <c r="E180" s="19"/>
      <c r="F180" s="19"/>
      <c r="G180" s="20"/>
      <c r="H180" s="16" t="str">
        <f aca="false">IF(OR(E180="",F180=""),"",ROUND(MOD(F180-E180,1)*24-N(G180),2))</f>
        <v/>
      </c>
      <c r="I180" s="18"/>
      <c r="J180" s="18"/>
      <c r="K180" s="18"/>
      <c r="L180" s="16" t="str">
        <f aca="false">IF(OR(A180="",B180=""),"",SUMIFS('Registro por hora'!$H$5:$H$2004,'Registro por hora'!$A$5:$A$2004,A180,'Registro por hora'!$B$5:$B$2004,B180))</f>
        <v/>
      </c>
      <c r="M180" s="13" t="str">
        <f aca="false">IF(B180="","",IF(D180="","⚠ Falta estado",IF(AND(OR(D180="Ausente",D180="Medio día"),I180=""),"⚠ Falta motivo",IF(AND(OR(D180="Ausente",D180="Medio día"),J180=""),"⚠ Falta explicación",IF(D180="Ausente","✔ Ausencia justificada",IF(OR(E180="",F180=""),"⚠ Falta hora de entrada/salida",IF(K180="","⚠ Falta resumen del día",IF(N(L180)&lt;N(H180)-0.01,"⚠ Faltan "&amp;TEXT(N(H180)-N(L180),"0.0")&amp;" h por reportar","✔ OK"))))))))</f>
        <v/>
      </c>
    </row>
    <row r="181" customFormat="false" ht="15" hidden="false" customHeight="false" outlineLevel="0" collapsed="false">
      <c r="A181" s="17"/>
      <c r="B181" s="18"/>
      <c r="C181" s="13" t="str">
        <f aca="false">IF(B181="","",IFERROR(INDEX(Personal!$C$5:$C$104,MATCH(B181,Personal!$B$5:$B$104,0)),""))</f>
        <v/>
      </c>
      <c r="D181" s="18"/>
      <c r="E181" s="19"/>
      <c r="F181" s="19"/>
      <c r="G181" s="20"/>
      <c r="H181" s="16" t="str">
        <f aca="false">IF(OR(E181="",F181=""),"",ROUND(MOD(F181-E181,1)*24-N(G181),2))</f>
        <v/>
      </c>
      <c r="I181" s="18"/>
      <c r="J181" s="18"/>
      <c r="K181" s="18"/>
      <c r="L181" s="16" t="str">
        <f aca="false">IF(OR(A181="",B181=""),"",SUMIFS('Registro por hora'!$H$5:$H$2004,'Registro por hora'!$A$5:$A$2004,A181,'Registro por hora'!$B$5:$B$2004,B181))</f>
        <v/>
      </c>
      <c r="M181" s="13" t="str">
        <f aca="false">IF(B181="","",IF(D181="","⚠ Falta estado",IF(AND(OR(D181="Ausente",D181="Medio día"),I181=""),"⚠ Falta motivo",IF(AND(OR(D181="Ausente",D181="Medio día"),J181=""),"⚠ Falta explicación",IF(D181="Ausente","✔ Ausencia justificada",IF(OR(E181="",F181=""),"⚠ Falta hora de entrada/salida",IF(K181="","⚠ Falta resumen del día",IF(N(L181)&lt;N(H181)-0.01,"⚠ Faltan "&amp;TEXT(N(H181)-N(L181),"0.0")&amp;" h por reportar","✔ OK"))))))))</f>
        <v/>
      </c>
    </row>
    <row r="182" customFormat="false" ht="15" hidden="false" customHeight="false" outlineLevel="0" collapsed="false">
      <c r="A182" s="17"/>
      <c r="B182" s="18"/>
      <c r="C182" s="13" t="str">
        <f aca="false">IF(B182="","",IFERROR(INDEX(Personal!$C$5:$C$104,MATCH(B182,Personal!$B$5:$B$104,0)),""))</f>
        <v/>
      </c>
      <c r="D182" s="18"/>
      <c r="E182" s="19"/>
      <c r="F182" s="19"/>
      <c r="G182" s="20"/>
      <c r="H182" s="16" t="str">
        <f aca="false">IF(OR(E182="",F182=""),"",ROUND(MOD(F182-E182,1)*24-N(G182),2))</f>
        <v/>
      </c>
      <c r="I182" s="18"/>
      <c r="J182" s="18"/>
      <c r="K182" s="18"/>
      <c r="L182" s="16" t="str">
        <f aca="false">IF(OR(A182="",B182=""),"",SUMIFS('Registro por hora'!$H$5:$H$2004,'Registro por hora'!$A$5:$A$2004,A182,'Registro por hora'!$B$5:$B$2004,B182))</f>
        <v/>
      </c>
      <c r="M182" s="13" t="str">
        <f aca="false">IF(B182="","",IF(D182="","⚠ Falta estado",IF(AND(OR(D182="Ausente",D182="Medio día"),I182=""),"⚠ Falta motivo",IF(AND(OR(D182="Ausente",D182="Medio día"),J182=""),"⚠ Falta explicación",IF(D182="Ausente","✔ Ausencia justificada",IF(OR(E182="",F182=""),"⚠ Falta hora de entrada/salida",IF(K182="","⚠ Falta resumen del día",IF(N(L182)&lt;N(H182)-0.01,"⚠ Faltan "&amp;TEXT(N(H182)-N(L182),"0.0")&amp;" h por reportar","✔ OK"))))))))</f>
        <v/>
      </c>
    </row>
    <row r="183" customFormat="false" ht="15" hidden="false" customHeight="false" outlineLevel="0" collapsed="false">
      <c r="A183" s="17"/>
      <c r="B183" s="18"/>
      <c r="C183" s="13" t="str">
        <f aca="false">IF(B183="","",IFERROR(INDEX(Personal!$C$5:$C$104,MATCH(B183,Personal!$B$5:$B$104,0)),""))</f>
        <v/>
      </c>
      <c r="D183" s="18"/>
      <c r="E183" s="19"/>
      <c r="F183" s="19"/>
      <c r="G183" s="20"/>
      <c r="H183" s="16" t="str">
        <f aca="false">IF(OR(E183="",F183=""),"",ROUND(MOD(F183-E183,1)*24-N(G183),2))</f>
        <v/>
      </c>
      <c r="I183" s="18"/>
      <c r="J183" s="18"/>
      <c r="K183" s="18"/>
      <c r="L183" s="16" t="str">
        <f aca="false">IF(OR(A183="",B183=""),"",SUMIFS('Registro por hora'!$H$5:$H$2004,'Registro por hora'!$A$5:$A$2004,A183,'Registro por hora'!$B$5:$B$2004,B183))</f>
        <v/>
      </c>
      <c r="M183" s="13" t="str">
        <f aca="false">IF(B183="","",IF(D183="","⚠ Falta estado",IF(AND(OR(D183="Ausente",D183="Medio día"),I183=""),"⚠ Falta motivo",IF(AND(OR(D183="Ausente",D183="Medio día"),J183=""),"⚠ Falta explicación",IF(D183="Ausente","✔ Ausencia justificada",IF(OR(E183="",F183=""),"⚠ Falta hora de entrada/salida",IF(K183="","⚠ Falta resumen del día",IF(N(L183)&lt;N(H183)-0.01,"⚠ Faltan "&amp;TEXT(N(H183)-N(L183),"0.0")&amp;" h por reportar","✔ OK"))))))))</f>
        <v/>
      </c>
    </row>
    <row r="184" customFormat="false" ht="15" hidden="false" customHeight="false" outlineLevel="0" collapsed="false">
      <c r="A184" s="17"/>
      <c r="B184" s="18"/>
      <c r="C184" s="13" t="str">
        <f aca="false">IF(B184="","",IFERROR(INDEX(Personal!$C$5:$C$104,MATCH(B184,Personal!$B$5:$B$104,0)),""))</f>
        <v/>
      </c>
      <c r="D184" s="18"/>
      <c r="E184" s="19"/>
      <c r="F184" s="19"/>
      <c r="G184" s="20"/>
      <c r="H184" s="16" t="str">
        <f aca="false">IF(OR(E184="",F184=""),"",ROUND(MOD(F184-E184,1)*24-N(G184),2))</f>
        <v/>
      </c>
      <c r="I184" s="18"/>
      <c r="J184" s="18"/>
      <c r="K184" s="18"/>
      <c r="L184" s="16" t="str">
        <f aca="false">IF(OR(A184="",B184=""),"",SUMIFS('Registro por hora'!$H$5:$H$2004,'Registro por hora'!$A$5:$A$2004,A184,'Registro por hora'!$B$5:$B$2004,B184))</f>
        <v/>
      </c>
      <c r="M184" s="13" t="str">
        <f aca="false">IF(B184="","",IF(D184="","⚠ Falta estado",IF(AND(OR(D184="Ausente",D184="Medio día"),I184=""),"⚠ Falta motivo",IF(AND(OR(D184="Ausente",D184="Medio día"),J184=""),"⚠ Falta explicación",IF(D184="Ausente","✔ Ausencia justificada",IF(OR(E184="",F184=""),"⚠ Falta hora de entrada/salida",IF(K184="","⚠ Falta resumen del día",IF(N(L184)&lt;N(H184)-0.01,"⚠ Faltan "&amp;TEXT(N(H184)-N(L184),"0.0")&amp;" h por reportar","✔ OK"))))))))</f>
        <v/>
      </c>
    </row>
    <row r="185" customFormat="false" ht="15" hidden="false" customHeight="false" outlineLevel="0" collapsed="false">
      <c r="A185" s="17"/>
      <c r="B185" s="18"/>
      <c r="C185" s="13" t="str">
        <f aca="false">IF(B185="","",IFERROR(INDEX(Personal!$C$5:$C$104,MATCH(B185,Personal!$B$5:$B$104,0)),""))</f>
        <v/>
      </c>
      <c r="D185" s="18"/>
      <c r="E185" s="19"/>
      <c r="F185" s="19"/>
      <c r="G185" s="20"/>
      <c r="H185" s="16" t="str">
        <f aca="false">IF(OR(E185="",F185=""),"",ROUND(MOD(F185-E185,1)*24-N(G185),2))</f>
        <v/>
      </c>
      <c r="I185" s="18"/>
      <c r="J185" s="18"/>
      <c r="K185" s="18"/>
      <c r="L185" s="16" t="str">
        <f aca="false">IF(OR(A185="",B185=""),"",SUMIFS('Registro por hora'!$H$5:$H$2004,'Registro por hora'!$A$5:$A$2004,A185,'Registro por hora'!$B$5:$B$2004,B185))</f>
        <v/>
      </c>
      <c r="M185" s="13" t="str">
        <f aca="false">IF(B185="","",IF(D185="","⚠ Falta estado",IF(AND(OR(D185="Ausente",D185="Medio día"),I185=""),"⚠ Falta motivo",IF(AND(OR(D185="Ausente",D185="Medio día"),J185=""),"⚠ Falta explicación",IF(D185="Ausente","✔ Ausencia justificada",IF(OR(E185="",F185=""),"⚠ Falta hora de entrada/salida",IF(K185="","⚠ Falta resumen del día",IF(N(L185)&lt;N(H185)-0.01,"⚠ Faltan "&amp;TEXT(N(H185)-N(L185),"0.0")&amp;" h por reportar","✔ OK"))))))))</f>
        <v/>
      </c>
    </row>
    <row r="186" customFormat="false" ht="15" hidden="false" customHeight="false" outlineLevel="0" collapsed="false">
      <c r="A186" s="17"/>
      <c r="B186" s="18"/>
      <c r="C186" s="13" t="str">
        <f aca="false">IF(B186="","",IFERROR(INDEX(Personal!$C$5:$C$104,MATCH(B186,Personal!$B$5:$B$104,0)),""))</f>
        <v/>
      </c>
      <c r="D186" s="18"/>
      <c r="E186" s="19"/>
      <c r="F186" s="19"/>
      <c r="G186" s="20"/>
      <c r="H186" s="16" t="str">
        <f aca="false">IF(OR(E186="",F186=""),"",ROUND(MOD(F186-E186,1)*24-N(G186),2))</f>
        <v/>
      </c>
      <c r="I186" s="18"/>
      <c r="J186" s="18"/>
      <c r="K186" s="18"/>
      <c r="L186" s="16" t="str">
        <f aca="false">IF(OR(A186="",B186=""),"",SUMIFS('Registro por hora'!$H$5:$H$2004,'Registro por hora'!$A$5:$A$2004,A186,'Registro por hora'!$B$5:$B$2004,B186))</f>
        <v/>
      </c>
      <c r="M186" s="13" t="str">
        <f aca="false">IF(B186="","",IF(D186="","⚠ Falta estado",IF(AND(OR(D186="Ausente",D186="Medio día"),I186=""),"⚠ Falta motivo",IF(AND(OR(D186="Ausente",D186="Medio día"),J186=""),"⚠ Falta explicación",IF(D186="Ausente","✔ Ausencia justificada",IF(OR(E186="",F186=""),"⚠ Falta hora de entrada/salida",IF(K186="","⚠ Falta resumen del día",IF(N(L186)&lt;N(H186)-0.01,"⚠ Faltan "&amp;TEXT(N(H186)-N(L186),"0.0")&amp;" h por reportar","✔ OK"))))))))</f>
        <v/>
      </c>
    </row>
    <row r="187" customFormat="false" ht="15" hidden="false" customHeight="false" outlineLevel="0" collapsed="false">
      <c r="A187" s="17"/>
      <c r="B187" s="18"/>
      <c r="C187" s="13" t="str">
        <f aca="false">IF(B187="","",IFERROR(INDEX(Personal!$C$5:$C$104,MATCH(B187,Personal!$B$5:$B$104,0)),""))</f>
        <v/>
      </c>
      <c r="D187" s="18"/>
      <c r="E187" s="19"/>
      <c r="F187" s="19"/>
      <c r="G187" s="20"/>
      <c r="H187" s="16" t="str">
        <f aca="false">IF(OR(E187="",F187=""),"",ROUND(MOD(F187-E187,1)*24-N(G187),2))</f>
        <v/>
      </c>
      <c r="I187" s="18"/>
      <c r="J187" s="18"/>
      <c r="K187" s="18"/>
      <c r="L187" s="16" t="str">
        <f aca="false">IF(OR(A187="",B187=""),"",SUMIFS('Registro por hora'!$H$5:$H$2004,'Registro por hora'!$A$5:$A$2004,A187,'Registro por hora'!$B$5:$B$2004,B187))</f>
        <v/>
      </c>
      <c r="M187" s="13" t="str">
        <f aca="false">IF(B187="","",IF(D187="","⚠ Falta estado",IF(AND(OR(D187="Ausente",D187="Medio día"),I187=""),"⚠ Falta motivo",IF(AND(OR(D187="Ausente",D187="Medio día"),J187=""),"⚠ Falta explicación",IF(D187="Ausente","✔ Ausencia justificada",IF(OR(E187="",F187=""),"⚠ Falta hora de entrada/salida",IF(K187="","⚠ Falta resumen del día",IF(N(L187)&lt;N(H187)-0.01,"⚠ Faltan "&amp;TEXT(N(H187)-N(L187),"0.0")&amp;" h por reportar","✔ OK"))))))))</f>
        <v/>
      </c>
    </row>
    <row r="188" customFormat="false" ht="15" hidden="false" customHeight="false" outlineLevel="0" collapsed="false">
      <c r="A188" s="17"/>
      <c r="B188" s="18"/>
      <c r="C188" s="13" t="str">
        <f aca="false">IF(B188="","",IFERROR(INDEX(Personal!$C$5:$C$104,MATCH(B188,Personal!$B$5:$B$104,0)),""))</f>
        <v/>
      </c>
      <c r="D188" s="18"/>
      <c r="E188" s="19"/>
      <c r="F188" s="19"/>
      <c r="G188" s="20"/>
      <c r="H188" s="16" t="str">
        <f aca="false">IF(OR(E188="",F188=""),"",ROUND(MOD(F188-E188,1)*24-N(G188),2))</f>
        <v/>
      </c>
      <c r="I188" s="18"/>
      <c r="J188" s="18"/>
      <c r="K188" s="18"/>
      <c r="L188" s="16" t="str">
        <f aca="false">IF(OR(A188="",B188=""),"",SUMIFS('Registro por hora'!$H$5:$H$2004,'Registro por hora'!$A$5:$A$2004,A188,'Registro por hora'!$B$5:$B$2004,B188))</f>
        <v/>
      </c>
      <c r="M188" s="13" t="str">
        <f aca="false">IF(B188="","",IF(D188="","⚠ Falta estado",IF(AND(OR(D188="Ausente",D188="Medio día"),I188=""),"⚠ Falta motivo",IF(AND(OR(D188="Ausente",D188="Medio día"),J188=""),"⚠ Falta explicación",IF(D188="Ausente","✔ Ausencia justificada",IF(OR(E188="",F188=""),"⚠ Falta hora de entrada/salida",IF(K188="","⚠ Falta resumen del día",IF(N(L188)&lt;N(H188)-0.01,"⚠ Faltan "&amp;TEXT(N(H188)-N(L188),"0.0")&amp;" h por reportar","✔ OK"))))))))</f>
        <v/>
      </c>
    </row>
    <row r="189" customFormat="false" ht="15" hidden="false" customHeight="false" outlineLevel="0" collapsed="false">
      <c r="A189" s="17"/>
      <c r="B189" s="18"/>
      <c r="C189" s="13" t="str">
        <f aca="false">IF(B189="","",IFERROR(INDEX(Personal!$C$5:$C$104,MATCH(B189,Personal!$B$5:$B$104,0)),""))</f>
        <v/>
      </c>
      <c r="D189" s="18"/>
      <c r="E189" s="19"/>
      <c r="F189" s="19"/>
      <c r="G189" s="20"/>
      <c r="H189" s="16" t="str">
        <f aca="false">IF(OR(E189="",F189=""),"",ROUND(MOD(F189-E189,1)*24-N(G189),2))</f>
        <v/>
      </c>
      <c r="I189" s="18"/>
      <c r="J189" s="18"/>
      <c r="K189" s="18"/>
      <c r="L189" s="16" t="str">
        <f aca="false">IF(OR(A189="",B189=""),"",SUMIFS('Registro por hora'!$H$5:$H$2004,'Registro por hora'!$A$5:$A$2004,A189,'Registro por hora'!$B$5:$B$2004,B189))</f>
        <v/>
      </c>
      <c r="M189" s="13" t="str">
        <f aca="false">IF(B189="","",IF(D189="","⚠ Falta estado",IF(AND(OR(D189="Ausente",D189="Medio día"),I189=""),"⚠ Falta motivo",IF(AND(OR(D189="Ausente",D189="Medio día"),J189=""),"⚠ Falta explicación",IF(D189="Ausente","✔ Ausencia justificada",IF(OR(E189="",F189=""),"⚠ Falta hora de entrada/salida",IF(K189="","⚠ Falta resumen del día",IF(N(L189)&lt;N(H189)-0.01,"⚠ Faltan "&amp;TEXT(N(H189)-N(L189),"0.0")&amp;" h por reportar","✔ OK"))))))))</f>
        <v/>
      </c>
    </row>
    <row r="190" customFormat="false" ht="15" hidden="false" customHeight="false" outlineLevel="0" collapsed="false">
      <c r="A190" s="17"/>
      <c r="B190" s="18"/>
      <c r="C190" s="13" t="str">
        <f aca="false">IF(B190="","",IFERROR(INDEX(Personal!$C$5:$C$104,MATCH(B190,Personal!$B$5:$B$104,0)),""))</f>
        <v/>
      </c>
      <c r="D190" s="18"/>
      <c r="E190" s="19"/>
      <c r="F190" s="19"/>
      <c r="G190" s="20"/>
      <c r="H190" s="16" t="str">
        <f aca="false">IF(OR(E190="",F190=""),"",ROUND(MOD(F190-E190,1)*24-N(G190),2))</f>
        <v/>
      </c>
      <c r="I190" s="18"/>
      <c r="J190" s="18"/>
      <c r="K190" s="18"/>
      <c r="L190" s="16" t="str">
        <f aca="false">IF(OR(A190="",B190=""),"",SUMIFS('Registro por hora'!$H$5:$H$2004,'Registro por hora'!$A$5:$A$2004,A190,'Registro por hora'!$B$5:$B$2004,B190))</f>
        <v/>
      </c>
      <c r="M190" s="13" t="str">
        <f aca="false">IF(B190="","",IF(D190="","⚠ Falta estado",IF(AND(OR(D190="Ausente",D190="Medio día"),I190=""),"⚠ Falta motivo",IF(AND(OR(D190="Ausente",D190="Medio día"),J190=""),"⚠ Falta explicación",IF(D190="Ausente","✔ Ausencia justificada",IF(OR(E190="",F190=""),"⚠ Falta hora de entrada/salida",IF(K190="","⚠ Falta resumen del día",IF(N(L190)&lt;N(H190)-0.01,"⚠ Faltan "&amp;TEXT(N(H190)-N(L190),"0.0")&amp;" h por reportar","✔ OK"))))))))</f>
        <v/>
      </c>
    </row>
    <row r="191" customFormat="false" ht="15" hidden="false" customHeight="false" outlineLevel="0" collapsed="false">
      <c r="A191" s="17"/>
      <c r="B191" s="18"/>
      <c r="C191" s="13" t="str">
        <f aca="false">IF(B191="","",IFERROR(INDEX(Personal!$C$5:$C$104,MATCH(B191,Personal!$B$5:$B$104,0)),""))</f>
        <v/>
      </c>
      <c r="D191" s="18"/>
      <c r="E191" s="19"/>
      <c r="F191" s="19"/>
      <c r="G191" s="20"/>
      <c r="H191" s="16" t="str">
        <f aca="false">IF(OR(E191="",F191=""),"",ROUND(MOD(F191-E191,1)*24-N(G191),2))</f>
        <v/>
      </c>
      <c r="I191" s="18"/>
      <c r="J191" s="18"/>
      <c r="K191" s="18"/>
      <c r="L191" s="16" t="str">
        <f aca="false">IF(OR(A191="",B191=""),"",SUMIFS('Registro por hora'!$H$5:$H$2004,'Registro por hora'!$A$5:$A$2004,A191,'Registro por hora'!$B$5:$B$2004,B191))</f>
        <v/>
      </c>
      <c r="M191" s="13" t="str">
        <f aca="false">IF(B191="","",IF(D191="","⚠ Falta estado",IF(AND(OR(D191="Ausente",D191="Medio día"),I191=""),"⚠ Falta motivo",IF(AND(OR(D191="Ausente",D191="Medio día"),J191=""),"⚠ Falta explicación",IF(D191="Ausente","✔ Ausencia justificada",IF(OR(E191="",F191=""),"⚠ Falta hora de entrada/salida",IF(K191="","⚠ Falta resumen del día",IF(N(L191)&lt;N(H191)-0.01,"⚠ Faltan "&amp;TEXT(N(H191)-N(L191),"0.0")&amp;" h por reportar","✔ OK"))))))))</f>
        <v/>
      </c>
    </row>
    <row r="192" customFormat="false" ht="15" hidden="false" customHeight="false" outlineLevel="0" collapsed="false">
      <c r="A192" s="17"/>
      <c r="B192" s="18"/>
      <c r="C192" s="13" t="str">
        <f aca="false">IF(B192="","",IFERROR(INDEX(Personal!$C$5:$C$104,MATCH(B192,Personal!$B$5:$B$104,0)),""))</f>
        <v/>
      </c>
      <c r="D192" s="18"/>
      <c r="E192" s="19"/>
      <c r="F192" s="19"/>
      <c r="G192" s="20"/>
      <c r="H192" s="16" t="str">
        <f aca="false">IF(OR(E192="",F192=""),"",ROUND(MOD(F192-E192,1)*24-N(G192),2))</f>
        <v/>
      </c>
      <c r="I192" s="18"/>
      <c r="J192" s="18"/>
      <c r="K192" s="18"/>
      <c r="L192" s="16" t="str">
        <f aca="false">IF(OR(A192="",B192=""),"",SUMIFS('Registro por hora'!$H$5:$H$2004,'Registro por hora'!$A$5:$A$2004,A192,'Registro por hora'!$B$5:$B$2004,B192))</f>
        <v/>
      </c>
      <c r="M192" s="13" t="str">
        <f aca="false">IF(B192="","",IF(D192="","⚠ Falta estado",IF(AND(OR(D192="Ausente",D192="Medio día"),I192=""),"⚠ Falta motivo",IF(AND(OR(D192="Ausente",D192="Medio día"),J192=""),"⚠ Falta explicación",IF(D192="Ausente","✔ Ausencia justificada",IF(OR(E192="",F192=""),"⚠ Falta hora de entrada/salida",IF(K192="","⚠ Falta resumen del día",IF(N(L192)&lt;N(H192)-0.01,"⚠ Faltan "&amp;TEXT(N(H192)-N(L192),"0.0")&amp;" h por reportar","✔ OK"))))))))</f>
        <v/>
      </c>
    </row>
    <row r="193" customFormat="false" ht="15" hidden="false" customHeight="false" outlineLevel="0" collapsed="false">
      <c r="A193" s="17"/>
      <c r="B193" s="18"/>
      <c r="C193" s="13" t="str">
        <f aca="false">IF(B193="","",IFERROR(INDEX(Personal!$C$5:$C$104,MATCH(B193,Personal!$B$5:$B$104,0)),""))</f>
        <v/>
      </c>
      <c r="D193" s="18"/>
      <c r="E193" s="19"/>
      <c r="F193" s="19"/>
      <c r="G193" s="20"/>
      <c r="H193" s="16" t="str">
        <f aca="false">IF(OR(E193="",F193=""),"",ROUND(MOD(F193-E193,1)*24-N(G193),2))</f>
        <v/>
      </c>
      <c r="I193" s="18"/>
      <c r="J193" s="18"/>
      <c r="K193" s="18"/>
      <c r="L193" s="16" t="str">
        <f aca="false">IF(OR(A193="",B193=""),"",SUMIFS('Registro por hora'!$H$5:$H$2004,'Registro por hora'!$A$5:$A$2004,A193,'Registro por hora'!$B$5:$B$2004,B193))</f>
        <v/>
      </c>
      <c r="M193" s="13" t="str">
        <f aca="false">IF(B193="","",IF(D193="","⚠ Falta estado",IF(AND(OR(D193="Ausente",D193="Medio día"),I193=""),"⚠ Falta motivo",IF(AND(OR(D193="Ausente",D193="Medio día"),J193=""),"⚠ Falta explicación",IF(D193="Ausente","✔ Ausencia justificada",IF(OR(E193="",F193=""),"⚠ Falta hora de entrada/salida",IF(K193="","⚠ Falta resumen del día",IF(N(L193)&lt;N(H193)-0.01,"⚠ Faltan "&amp;TEXT(N(H193)-N(L193),"0.0")&amp;" h por reportar","✔ OK"))))))))</f>
        <v/>
      </c>
    </row>
    <row r="194" customFormat="false" ht="15" hidden="false" customHeight="false" outlineLevel="0" collapsed="false">
      <c r="A194" s="17"/>
      <c r="B194" s="18"/>
      <c r="C194" s="13" t="str">
        <f aca="false">IF(B194="","",IFERROR(INDEX(Personal!$C$5:$C$104,MATCH(B194,Personal!$B$5:$B$104,0)),""))</f>
        <v/>
      </c>
      <c r="D194" s="18"/>
      <c r="E194" s="19"/>
      <c r="F194" s="19"/>
      <c r="G194" s="20"/>
      <c r="H194" s="16" t="str">
        <f aca="false">IF(OR(E194="",F194=""),"",ROUND(MOD(F194-E194,1)*24-N(G194),2))</f>
        <v/>
      </c>
      <c r="I194" s="18"/>
      <c r="J194" s="18"/>
      <c r="K194" s="18"/>
      <c r="L194" s="16" t="str">
        <f aca="false">IF(OR(A194="",B194=""),"",SUMIFS('Registro por hora'!$H$5:$H$2004,'Registro por hora'!$A$5:$A$2004,A194,'Registro por hora'!$B$5:$B$2004,B194))</f>
        <v/>
      </c>
      <c r="M194" s="13" t="str">
        <f aca="false">IF(B194="","",IF(D194="","⚠ Falta estado",IF(AND(OR(D194="Ausente",D194="Medio día"),I194=""),"⚠ Falta motivo",IF(AND(OR(D194="Ausente",D194="Medio día"),J194=""),"⚠ Falta explicación",IF(D194="Ausente","✔ Ausencia justificada",IF(OR(E194="",F194=""),"⚠ Falta hora de entrada/salida",IF(K194="","⚠ Falta resumen del día",IF(N(L194)&lt;N(H194)-0.01,"⚠ Faltan "&amp;TEXT(N(H194)-N(L194),"0.0")&amp;" h por reportar","✔ OK"))))))))</f>
        <v/>
      </c>
    </row>
    <row r="195" customFormat="false" ht="15" hidden="false" customHeight="false" outlineLevel="0" collapsed="false">
      <c r="A195" s="17"/>
      <c r="B195" s="18"/>
      <c r="C195" s="13" t="str">
        <f aca="false">IF(B195="","",IFERROR(INDEX(Personal!$C$5:$C$104,MATCH(B195,Personal!$B$5:$B$104,0)),""))</f>
        <v/>
      </c>
      <c r="D195" s="18"/>
      <c r="E195" s="19"/>
      <c r="F195" s="19"/>
      <c r="G195" s="20"/>
      <c r="H195" s="16" t="str">
        <f aca="false">IF(OR(E195="",F195=""),"",ROUND(MOD(F195-E195,1)*24-N(G195),2))</f>
        <v/>
      </c>
      <c r="I195" s="18"/>
      <c r="J195" s="18"/>
      <c r="K195" s="18"/>
      <c r="L195" s="16" t="str">
        <f aca="false">IF(OR(A195="",B195=""),"",SUMIFS('Registro por hora'!$H$5:$H$2004,'Registro por hora'!$A$5:$A$2004,A195,'Registro por hora'!$B$5:$B$2004,B195))</f>
        <v/>
      </c>
      <c r="M195" s="13" t="str">
        <f aca="false">IF(B195="","",IF(D195="","⚠ Falta estado",IF(AND(OR(D195="Ausente",D195="Medio día"),I195=""),"⚠ Falta motivo",IF(AND(OR(D195="Ausente",D195="Medio día"),J195=""),"⚠ Falta explicación",IF(D195="Ausente","✔ Ausencia justificada",IF(OR(E195="",F195=""),"⚠ Falta hora de entrada/salida",IF(K195="","⚠ Falta resumen del día",IF(N(L195)&lt;N(H195)-0.01,"⚠ Faltan "&amp;TEXT(N(H195)-N(L195),"0.0")&amp;" h por reportar","✔ OK"))))))))</f>
        <v/>
      </c>
    </row>
    <row r="196" customFormat="false" ht="15" hidden="false" customHeight="false" outlineLevel="0" collapsed="false">
      <c r="A196" s="17"/>
      <c r="B196" s="18"/>
      <c r="C196" s="13" t="str">
        <f aca="false">IF(B196="","",IFERROR(INDEX(Personal!$C$5:$C$104,MATCH(B196,Personal!$B$5:$B$104,0)),""))</f>
        <v/>
      </c>
      <c r="D196" s="18"/>
      <c r="E196" s="19"/>
      <c r="F196" s="19"/>
      <c r="G196" s="20"/>
      <c r="H196" s="16" t="str">
        <f aca="false">IF(OR(E196="",F196=""),"",ROUND(MOD(F196-E196,1)*24-N(G196),2))</f>
        <v/>
      </c>
      <c r="I196" s="18"/>
      <c r="J196" s="18"/>
      <c r="K196" s="18"/>
      <c r="L196" s="16" t="str">
        <f aca="false">IF(OR(A196="",B196=""),"",SUMIFS('Registro por hora'!$H$5:$H$2004,'Registro por hora'!$A$5:$A$2004,A196,'Registro por hora'!$B$5:$B$2004,B196))</f>
        <v/>
      </c>
      <c r="M196" s="13" t="str">
        <f aca="false">IF(B196="","",IF(D196="","⚠ Falta estado",IF(AND(OR(D196="Ausente",D196="Medio día"),I196=""),"⚠ Falta motivo",IF(AND(OR(D196="Ausente",D196="Medio día"),J196=""),"⚠ Falta explicación",IF(D196="Ausente","✔ Ausencia justificada",IF(OR(E196="",F196=""),"⚠ Falta hora de entrada/salida",IF(K196="","⚠ Falta resumen del día",IF(N(L196)&lt;N(H196)-0.01,"⚠ Faltan "&amp;TEXT(N(H196)-N(L196),"0.0")&amp;" h por reportar","✔ OK"))))))))</f>
        <v/>
      </c>
    </row>
    <row r="197" customFormat="false" ht="15" hidden="false" customHeight="false" outlineLevel="0" collapsed="false">
      <c r="A197" s="17"/>
      <c r="B197" s="18"/>
      <c r="C197" s="13" t="str">
        <f aca="false">IF(B197="","",IFERROR(INDEX(Personal!$C$5:$C$104,MATCH(B197,Personal!$B$5:$B$104,0)),""))</f>
        <v/>
      </c>
      <c r="D197" s="18"/>
      <c r="E197" s="19"/>
      <c r="F197" s="19"/>
      <c r="G197" s="20"/>
      <c r="H197" s="16" t="str">
        <f aca="false">IF(OR(E197="",F197=""),"",ROUND(MOD(F197-E197,1)*24-N(G197),2))</f>
        <v/>
      </c>
      <c r="I197" s="18"/>
      <c r="J197" s="18"/>
      <c r="K197" s="18"/>
      <c r="L197" s="16" t="str">
        <f aca="false">IF(OR(A197="",B197=""),"",SUMIFS('Registro por hora'!$H$5:$H$2004,'Registro por hora'!$A$5:$A$2004,A197,'Registro por hora'!$B$5:$B$2004,B197))</f>
        <v/>
      </c>
      <c r="M197" s="13" t="str">
        <f aca="false">IF(B197="","",IF(D197="","⚠ Falta estado",IF(AND(OR(D197="Ausente",D197="Medio día"),I197=""),"⚠ Falta motivo",IF(AND(OR(D197="Ausente",D197="Medio día"),J197=""),"⚠ Falta explicación",IF(D197="Ausente","✔ Ausencia justificada",IF(OR(E197="",F197=""),"⚠ Falta hora de entrada/salida",IF(K197="","⚠ Falta resumen del día",IF(N(L197)&lt;N(H197)-0.01,"⚠ Faltan "&amp;TEXT(N(H197)-N(L197),"0.0")&amp;" h por reportar","✔ OK"))))))))</f>
        <v/>
      </c>
    </row>
    <row r="198" customFormat="false" ht="15" hidden="false" customHeight="false" outlineLevel="0" collapsed="false">
      <c r="A198" s="17"/>
      <c r="B198" s="18"/>
      <c r="C198" s="13" t="str">
        <f aca="false">IF(B198="","",IFERROR(INDEX(Personal!$C$5:$C$104,MATCH(B198,Personal!$B$5:$B$104,0)),""))</f>
        <v/>
      </c>
      <c r="D198" s="18"/>
      <c r="E198" s="19"/>
      <c r="F198" s="19"/>
      <c r="G198" s="20"/>
      <c r="H198" s="16" t="str">
        <f aca="false">IF(OR(E198="",F198=""),"",ROUND(MOD(F198-E198,1)*24-N(G198),2))</f>
        <v/>
      </c>
      <c r="I198" s="18"/>
      <c r="J198" s="18"/>
      <c r="K198" s="18"/>
      <c r="L198" s="16" t="str">
        <f aca="false">IF(OR(A198="",B198=""),"",SUMIFS('Registro por hora'!$H$5:$H$2004,'Registro por hora'!$A$5:$A$2004,A198,'Registro por hora'!$B$5:$B$2004,B198))</f>
        <v/>
      </c>
      <c r="M198" s="13" t="str">
        <f aca="false">IF(B198="","",IF(D198="","⚠ Falta estado",IF(AND(OR(D198="Ausente",D198="Medio día"),I198=""),"⚠ Falta motivo",IF(AND(OR(D198="Ausente",D198="Medio día"),J198=""),"⚠ Falta explicación",IF(D198="Ausente","✔ Ausencia justificada",IF(OR(E198="",F198=""),"⚠ Falta hora de entrada/salida",IF(K198="","⚠ Falta resumen del día",IF(N(L198)&lt;N(H198)-0.01,"⚠ Faltan "&amp;TEXT(N(H198)-N(L198),"0.0")&amp;" h por reportar","✔ OK"))))))))</f>
        <v/>
      </c>
    </row>
    <row r="199" customFormat="false" ht="15" hidden="false" customHeight="false" outlineLevel="0" collapsed="false">
      <c r="A199" s="17"/>
      <c r="B199" s="18"/>
      <c r="C199" s="13" t="str">
        <f aca="false">IF(B199="","",IFERROR(INDEX(Personal!$C$5:$C$104,MATCH(B199,Personal!$B$5:$B$104,0)),""))</f>
        <v/>
      </c>
      <c r="D199" s="18"/>
      <c r="E199" s="19"/>
      <c r="F199" s="19"/>
      <c r="G199" s="20"/>
      <c r="H199" s="16" t="str">
        <f aca="false">IF(OR(E199="",F199=""),"",ROUND(MOD(F199-E199,1)*24-N(G199),2))</f>
        <v/>
      </c>
      <c r="I199" s="18"/>
      <c r="J199" s="18"/>
      <c r="K199" s="18"/>
      <c r="L199" s="16" t="str">
        <f aca="false">IF(OR(A199="",B199=""),"",SUMIFS('Registro por hora'!$H$5:$H$2004,'Registro por hora'!$A$5:$A$2004,A199,'Registro por hora'!$B$5:$B$2004,B199))</f>
        <v/>
      </c>
      <c r="M199" s="13" t="str">
        <f aca="false">IF(B199="","",IF(D199="","⚠ Falta estado",IF(AND(OR(D199="Ausente",D199="Medio día"),I199=""),"⚠ Falta motivo",IF(AND(OR(D199="Ausente",D199="Medio día"),J199=""),"⚠ Falta explicación",IF(D199="Ausente","✔ Ausencia justificada",IF(OR(E199="",F199=""),"⚠ Falta hora de entrada/salida",IF(K199="","⚠ Falta resumen del día",IF(N(L199)&lt;N(H199)-0.01,"⚠ Faltan "&amp;TEXT(N(H199)-N(L199),"0.0")&amp;" h por reportar","✔ OK"))))))))</f>
        <v/>
      </c>
    </row>
    <row r="200" customFormat="false" ht="15" hidden="false" customHeight="false" outlineLevel="0" collapsed="false">
      <c r="A200" s="17"/>
      <c r="B200" s="18"/>
      <c r="C200" s="13" t="str">
        <f aca="false">IF(B200="","",IFERROR(INDEX(Personal!$C$5:$C$104,MATCH(B200,Personal!$B$5:$B$104,0)),""))</f>
        <v/>
      </c>
      <c r="D200" s="18"/>
      <c r="E200" s="19"/>
      <c r="F200" s="19"/>
      <c r="G200" s="20"/>
      <c r="H200" s="16" t="str">
        <f aca="false">IF(OR(E200="",F200=""),"",ROUND(MOD(F200-E200,1)*24-N(G200),2))</f>
        <v/>
      </c>
      <c r="I200" s="18"/>
      <c r="J200" s="18"/>
      <c r="K200" s="18"/>
      <c r="L200" s="16" t="str">
        <f aca="false">IF(OR(A200="",B200=""),"",SUMIFS('Registro por hora'!$H$5:$H$2004,'Registro por hora'!$A$5:$A$2004,A200,'Registro por hora'!$B$5:$B$2004,B200))</f>
        <v/>
      </c>
      <c r="M200" s="13" t="str">
        <f aca="false">IF(B200="","",IF(D200="","⚠ Falta estado",IF(AND(OR(D200="Ausente",D200="Medio día"),I200=""),"⚠ Falta motivo",IF(AND(OR(D200="Ausente",D200="Medio día"),J200=""),"⚠ Falta explicación",IF(D200="Ausente","✔ Ausencia justificada",IF(OR(E200="",F200=""),"⚠ Falta hora de entrada/salida",IF(K200="","⚠ Falta resumen del día",IF(N(L200)&lt;N(H200)-0.01,"⚠ Faltan "&amp;TEXT(N(H200)-N(L200),"0.0")&amp;" h por reportar","✔ OK"))))))))</f>
        <v/>
      </c>
    </row>
    <row r="201" customFormat="false" ht="15" hidden="false" customHeight="false" outlineLevel="0" collapsed="false">
      <c r="A201" s="17"/>
      <c r="B201" s="18"/>
      <c r="C201" s="13" t="str">
        <f aca="false">IF(B201="","",IFERROR(INDEX(Personal!$C$5:$C$104,MATCH(B201,Personal!$B$5:$B$104,0)),""))</f>
        <v/>
      </c>
      <c r="D201" s="18"/>
      <c r="E201" s="19"/>
      <c r="F201" s="19"/>
      <c r="G201" s="20"/>
      <c r="H201" s="16" t="str">
        <f aca="false">IF(OR(E201="",F201=""),"",ROUND(MOD(F201-E201,1)*24-N(G201),2))</f>
        <v/>
      </c>
      <c r="I201" s="18"/>
      <c r="J201" s="18"/>
      <c r="K201" s="18"/>
      <c r="L201" s="16" t="str">
        <f aca="false">IF(OR(A201="",B201=""),"",SUMIFS('Registro por hora'!$H$5:$H$2004,'Registro por hora'!$A$5:$A$2004,A201,'Registro por hora'!$B$5:$B$2004,B201))</f>
        <v/>
      </c>
      <c r="M201" s="13" t="str">
        <f aca="false">IF(B201="","",IF(D201="","⚠ Falta estado",IF(AND(OR(D201="Ausente",D201="Medio día"),I201=""),"⚠ Falta motivo",IF(AND(OR(D201="Ausente",D201="Medio día"),J201=""),"⚠ Falta explicación",IF(D201="Ausente","✔ Ausencia justificada",IF(OR(E201="",F201=""),"⚠ Falta hora de entrada/salida",IF(K201="","⚠ Falta resumen del día",IF(N(L201)&lt;N(H201)-0.01,"⚠ Faltan "&amp;TEXT(N(H201)-N(L201),"0.0")&amp;" h por reportar","✔ OK"))))))))</f>
        <v/>
      </c>
    </row>
    <row r="202" customFormat="false" ht="15" hidden="false" customHeight="false" outlineLevel="0" collapsed="false">
      <c r="A202" s="17"/>
      <c r="B202" s="18"/>
      <c r="C202" s="13" t="str">
        <f aca="false">IF(B202="","",IFERROR(INDEX(Personal!$C$5:$C$104,MATCH(B202,Personal!$B$5:$B$104,0)),""))</f>
        <v/>
      </c>
      <c r="D202" s="18"/>
      <c r="E202" s="19"/>
      <c r="F202" s="19"/>
      <c r="G202" s="20"/>
      <c r="H202" s="16" t="str">
        <f aca="false">IF(OR(E202="",F202=""),"",ROUND(MOD(F202-E202,1)*24-N(G202),2))</f>
        <v/>
      </c>
      <c r="I202" s="18"/>
      <c r="J202" s="18"/>
      <c r="K202" s="18"/>
      <c r="L202" s="16" t="str">
        <f aca="false">IF(OR(A202="",B202=""),"",SUMIFS('Registro por hora'!$H$5:$H$2004,'Registro por hora'!$A$5:$A$2004,A202,'Registro por hora'!$B$5:$B$2004,B202))</f>
        <v/>
      </c>
      <c r="M202" s="13" t="str">
        <f aca="false">IF(B202="","",IF(D202="","⚠ Falta estado",IF(AND(OR(D202="Ausente",D202="Medio día"),I202=""),"⚠ Falta motivo",IF(AND(OR(D202="Ausente",D202="Medio día"),J202=""),"⚠ Falta explicación",IF(D202="Ausente","✔ Ausencia justificada",IF(OR(E202="",F202=""),"⚠ Falta hora de entrada/salida",IF(K202="","⚠ Falta resumen del día",IF(N(L202)&lt;N(H202)-0.01,"⚠ Faltan "&amp;TEXT(N(H202)-N(L202),"0.0")&amp;" h por reportar","✔ OK"))))))))</f>
        <v/>
      </c>
    </row>
    <row r="203" customFormat="false" ht="15" hidden="false" customHeight="false" outlineLevel="0" collapsed="false">
      <c r="A203" s="17"/>
      <c r="B203" s="18"/>
      <c r="C203" s="13" t="str">
        <f aca="false">IF(B203="","",IFERROR(INDEX(Personal!$C$5:$C$104,MATCH(B203,Personal!$B$5:$B$104,0)),""))</f>
        <v/>
      </c>
      <c r="D203" s="18"/>
      <c r="E203" s="19"/>
      <c r="F203" s="19"/>
      <c r="G203" s="20"/>
      <c r="H203" s="16" t="str">
        <f aca="false">IF(OR(E203="",F203=""),"",ROUND(MOD(F203-E203,1)*24-N(G203),2))</f>
        <v/>
      </c>
      <c r="I203" s="18"/>
      <c r="J203" s="18"/>
      <c r="K203" s="18"/>
      <c r="L203" s="16" t="str">
        <f aca="false">IF(OR(A203="",B203=""),"",SUMIFS('Registro por hora'!$H$5:$H$2004,'Registro por hora'!$A$5:$A$2004,A203,'Registro por hora'!$B$5:$B$2004,B203))</f>
        <v/>
      </c>
      <c r="M203" s="13" t="str">
        <f aca="false">IF(B203="","",IF(D203="","⚠ Falta estado",IF(AND(OR(D203="Ausente",D203="Medio día"),I203=""),"⚠ Falta motivo",IF(AND(OR(D203="Ausente",D203="Medio día"),J203=""),"⚠ Falta explicación",IF(D203="Ausente","✔ Ausencia justificada",IF(OR(E203="",F203=""),"⚠ Falta hora de entrada/salida",IF(K203="","⚠ Falta resumen del día",IF(N(L203)&lt;N(H203)-0.01,"⚠ Faltan "&amp;TEXT(N(H203)-N(L203),"0.0")&amp;" h por reportar","✔ OK"))))))))</f>
        <v/>
      </c>
    </row>
    <row r="204" customFormat="false" ht="15" hidden="false" customHeight="false" outlineLevel="0" collapsed="false">
      <c r="A204" s="17"/>
      <c r="B204" s="18"/>
      <c r="C204" s="13" t="str">
        <f aca="false">IF(B204="","",IFERROR(INDEX(Personal!$C$5:$C$104,MATCH(B204,Personal!$B$5:$B$104,0)),""))</f>
        <v/>
      </c>
      <c r="D204" s="18"/>
      <c r="E204" s="19"/>
      <c r="F204" s="19"/>
      <c r="G204" s="20"/>
      <c r="H204" s="16" t="str">
        <f aca="false">IF(OR(E204="",F204=""),"",ROUND(MOD(F204-E204,1)*24-N(G204),2))</f>
        <v/>
      </c>
      <c r="I204" s="18"/>
      <c r="J204" s="18"/>
      <c r="K204" s="18"/>
      <c r="L204" s="16" t="str">
        <f aca="false">IF(OR(A204="",B204=""),"",SUMIFS('Registro por hora'!$H$5:$H$2004,'Registro por hora'!$A$5:$A$2004,A204,'Registro por hora'!$B$5:$B$2004,B204))</f>
        <v/>
      </c>
      <c r="M204" s="13" t="str">
        <f aca="false">IF(B204="","",IF(D204="","⚠ Falta estado",IF(AND(OR(D204="Ausente",D204="Medio día"),I204=""),"⚠ Falta motivo",IF(AND(OR(D204="Ausente",D204="Medio día"),J204=""),"⚠ Falta explicación",IF(D204="Ausente","✔ Ausencia justificada",IF(OR(E204="",F204=""),"⚠ Falta hora de entrada/salida",IF(K204="","⚠ Falta resumen del día",IF(N(L204)&lt;N(H204)-0.01,"⚠ Faltan "&amp;TEXT(N(H204)-N(L204),"0.0")&amp;" h por reportar","✔ OK"))))))))</f>
        <v/>
      </c>
    </row>
    <row r="205" customFormat="false" ht="15" hidden="false" customHeight="false" outlineLevel="0" collapsed="false">
      <c r="A205" s="17"/>
      <c r="B205" s="18"/>
      <c r="C205" s="13" t="str">
        <f aca="false">IF(B205="","",IFERROR(INDEX(Personal!$C$5:$C$104,MATCH(B205,Personal!$B$5:$B$104,0)),""))</f>
        <v/>
      </c>
      <c r="D205" s="18"/>
      <c r="E205" s="19"/>
      <c r="F205" s="19"/>
      <c r="G205" s="20"/>
      <c r="H205" s="16" t="str">
        <f aca="false">IF(OR(E205="",F205=""),"",ROUND(MOD(F205-E205,1)*24-N(G205),2))</f>
        <v/>
      </c>
      <c r="I205" s="18"/>
      <c r="J205" s="18"/>
      <c r="K205" s="18"/>
      <c r="L205" s="16" t="str">
        <f aca="false">IF(OR(A205="",B205=""),"",SUMIFS('Registro por hora'!$H$5:$H$2004,'Registro por hora'!$A$5:$A$2004,A205,'Registro por hora'!$B$5:$B$2004,B205))</f>
        <v/>
      </c>
      <c r="M205" s="13" t="str">
        <f aca="false">IF(B205="","",IF(D205="","⚠ Falta estado",IF(AND(OR(D205="Ausente",D205="Medio día"),I205=""),"⚠ Falta motivo",IF(AND(OR(D205="Ausente",D205="Medio día"),J205=""),"⚠ Falta explicación",IF(D205="Ausente","✔ Ausencia justificada",IF(OR(E205="",F205=""),"⚠ Falta hora de entrada/salida",IF(K205="","⚠ Falta resumen del día",IF(N(L205)&lt;N(H205)-0.01,"⚠ Faltan "&amp;TEXT(N(H205)-N(L205),"0.0")&amp;" h por reportar","✔ OK"))))))))</f>
        <v/>
      </c>
    </row>
    <row r="206" customFormat="false" ht="15" hidden="false" customHeight="false" outlineLevel="0" collapsed="false">
      <c r="A206" s="17"/>
      <c r="B206" s="18"/>
      <c r="C206" s="13" t="str">
        <f aca="false">IF(B206="","",IFERROR(INDEX(Personal!$C$5:$C$104,MATCH(B206,Personal!$B$5:$B$104,0)),""))</f>
        <v/>
      </c>
      <c r="D206" s="18"/>
      <c r="E206" s="19"/>
      <c r="F206" s="19"/>
      <c r="G206" s="20"/>
      <c r="H206" s="16" t="str">
        <f aca="false">IF(OR(E206="",F206=""),"",ROUND(MOD(F206-E206,1)*24-N(G206),2))</f>
        <v/>
      </c>
      <c r="I206" s="18"/>
      <c r="J206" s="18"/>
      <c r="K206" s="18"/>
      <c r="L206" s="16" t="str">
        <f aca="false">IF(OR(A206="",B206=""),"",SUMIFS('Registro por hora'!$H$5:$H$2004,'Registro por hora'!$A$5:$A$2004,A206,'Registro por hora'!$B$5:$B$2004,B206))</f>
        <v/>
      </c>
      <c r="M206" s="13" t="str">
        <f aca="false">IF(B206="","",IF(D206="","⚠ Falta estado",IF(AND(OR(D206="Ausente",D206="Medio día"),I206=""),"⚠ Falta motivo",IF(AND(OR(D206="Ausente",D206="Medio día"),J206=""),"⚠ Falta explicación",IF(D206="Ausente","✔ Ausencia justificada",IF(OR(E206="",F206=""),"⚠ Falta hora de entrada/salida",IF(K206="","⚠ Falta resumen del día",IF(N(L206)&lt;N(H206)-0.01,"⚠ Faltan "&amp;TEXT(N(H206)-N(L206),"0.0")&amp;" h por reportar","✔ OK"))))))))</f>
        <v/>
      </c>
    </row>
    <row r="207" customFormat="false" ht="15" hidden="false" customHeight="false" outlineLevel="0" collapsed="false">
      <c r="A207" s="17"/>
      <c r="B207" s="18"/>
      <c r="C207" s="13" t="str">
        <f aca="false">IF(B207="","",IFERROR(INDEX(Personal!$C$5:$C$104,MATCH(B207,Personal!$B$5:$B$104,0)),""))</f>
        <v/>
      </c>
      <c r="D207" s="18"/>
      <c r="E207" s="19"/>
      <c r="F207" s="19"/>
      <c r="G207" s="20"/>
      <c r="H207" s="16" t="str">
        <f aca="false">IF(OR(E207="",F207=""),"",ROUND(MOD(F207-E207,1)*24-N(G207),2))</f>
        <v/>
      </c>
      <c r="I207" s="18"/>
      <c r="J207" s="18"/>
      <c r="K207" s="18"/>
      <c r="L207" s="16" t="str">
        <f aca="false">IF(OR(A207="",B207=""),"",SUMIFS('Registro por hora'!$H$5:$H$2004,'Registro por hora'!$A$5:$A$2004,A207,'Registro por hora'!$B$5:$B$2004,B207))</f>
        <v/>
      </c>
      <c r="M207" s="13" t="str">
        <f aca="false">IF(B207="","",IF(D207="","⚠ Falta estado",IF(AND(OR(D207="Ausente",D207="Medio día"),I207=""),"⚠ Falta motivo",IF(AND(OR(D207="Ausente",D207="Medio día"),J207=""),"⚠ Falta explicación",IF(D207="Ausente","✔ Ausencia justificada",IF(OR(E207="",F207=""),"⚠ Falta hora de entrada/salida",IF(K207="","⚠ Falta resumen del día",IF(N(L207)&lt;N(H207)-0.01,"⚠ Faltan "&amp;TEXT(N(H207)-N(L207),"0.0")&amp;" h por reportar","✔ OK"))))))))</f>
        <v/>
      </c>
    </row>
    <row r="208" customFormat="false" ht="15" hidden="false" customHeight="false" outlineLevel="0" collapsed="false">
      <c r="A208" s="17"/>
      <c r="B208" s="18"/>
      <c r="C208" s="13" t="str">
        <f aca="false">IF(B208="","",IFERROR(INDEX(Personal!$C$5:$C$104,MATCH(B208,Personal!$B$5:$B$104,0)),""))</f>
        <v/>
      </c>
      <c r="D208" s="18"/>
      <c r="E208" s="19"/>
      <c r="F208" s="19"/>
      <c r="G208" s="20"/>
      <c r="H208" s="16" t="str">
        <f aca="false">IF(OR(E208="",F208=""),"",ROUND(MOD(F208-E208,1)*24-N(G208),2))</f>
        <v/>
      </c>
      <c r="I208" s="18"/>
      <c r="J208" s="18"/>
      <c r="K208" s="18"/>
      <c r="L208" s="16" t="str">
        <f aca="false">IF(OR(A208="",B208=""),"",SUMIFS('Registro por hora'!$H$5:$H$2004,'Registro por hora'!$A$5:$A$2004,A208,'Registro por hora'!$B$5:$B$2004,B208))</f>
        <v/>
      </c>
      <c r="M208" s="13" t="str">
        <f aca="false">IF(B208="","",IF(D208="","⚠ Falta estado",IF(AND(OR(D208="Ausente",D208="Medio día"),I208=""),"⚠ Falta motivo",IF(AND(OR(D208="Ausente",D208="Medio día"),J208=""),"⚠ Falta explicación",IF(D208="Ausente","✔ Ausencia justificada",IF(OR(E208="",F208=""),"⚠ Falta hora de entrada/salida",IF(K208="","⚠ Falta resumen del día",IF(N(L208)&lt;N(H208)-0.01,"⚠ Faltan "&amp;TEXT(N(H208)-N(L208),"0.0")&amp;" h por reportar","✔ OK"))))))))</f>
        <v/>
      </c>
    </row>
    <row r="209" customFormat="false" ht="15" hidden="false" customHeight="false" outlineLevel="0" collapsed="false">
      <c r="A209" s="17"/>
      <c r="B209" s="18"/>
      <c r="C209" s="13" t="str">
        <f aca="false">IF(B209="","",IFERROR(INDEX(Personal!$C$5:$C$104,MATCH(B209,Personal!$B$5:$B$104,0)),""))</f>
        <v/>
      </c>
      <c r="D209" s="18"/>
      <c r="E209" s="19"/>
      <c r="F209" s="19"/>
      <c r="G209" s="20"/>
      <c r="H209" s="16" t="str">
        <f aca="false">IF(OR(E209="",F209=""),"",ROUND(MOD(F209-E209,1)*24-N(G209),2))</f>
        <v/>
      </c>
      <c r="I209" s="18"/>
      <c r="J209" s="18"/>
      <c r="K209" s="18"/>
      <c r="L209" s="16" t="str">
        <f aca="false">IF(OR(A209="",B209=""),"",SUMIFS('Registro por hora'!$H$5:$H$2004,'Registro por hora'!$A$5:$A$2004,A209,'Registro por hora'!$B$5:$B$2004,B209))</f>
        <v/>
      </c>
      <c r="M209" s="13" t="str">
        <f aca="false">IF(B209="","",IF(D209="","⚠ Falta estado",IF(AND(OR(D209="Ausente",D209="Medio día"),I209=""),"⚠ Falta motivo",IF(AND(OR(D209="Ausente",D209="Medio día"),J209=""),"⚠ Falta explicación",IF(D209="Ausente","✔ Ausencia justificada",IF(OR(E209="",F209=""),"⚠ Falta hora de entrada/salida",IF(K209="","⚠ Falta resumen del día",IF(N(L209)&lt;N(H209)-0.01,"⚠ Faltan "&amp;TEXT(N(H209)-N(L209),"0.0")&amp;" h por reportar","✔ OK"))))))))</f>
        <v/>
      </c>
    </row>
    <row r="210" customFormat="false" ht="15" hidden="false" customHeight="false" outlineLevel="0" collapsed="false">
      <c r="A210" s="17"/>
      <c r="B210" s="18"/>
      <c r="C210" s="13" t="str">
        <f aca="false">IF(B210="","",IFERROR(INDEX(Personal!$C$5:$C$104,MATCH(B210,Personal!$B$5:$B$104,0)),""))</f>
        <v/>
      </c>
      <c r="D210" s="18"/>
      <c r="E210" s="19"/>
      <c r="F210" s="19"/>
      <c r="G210" s="20"/>
      <c r="H210" s="16" t="str">
        <f aca="false">IF(OR(E210="",F210=""),"",ROUND(MOD(F210-E210,1)*24-N(G210),2))</f>
        <v/>
      </c>
      <c r="I210" s="18"/>
      <c r="J210" s="18"/>
      <c r="K210" s="18"/>
      <c r="L210" s="16" t="str">
        <f aca="false">IF(OR(A210="",B210=""),"",SUMIFS('Registro por hora'!$H$5:$H$2004,'Registro por hora'!$A$5:$A$2004,A210,'Registro por hora'!$B$5:$B$2004,B210))</f>
        <v/>
      </c>
      <c r="M210" s="13" t="str">
        <f aca="false">IF(B210="","",IF(D210="","⚠ Falta estado",IF(AND(OR(D210="Ausente",D210="Medio día"),I210=""),"⚠ Falta motivo",IF(AND(OR(D210="Ausente",D210="Medio día"),J210=""),"⚠ Falta explicación",IF(D210="Ausente","✔ Ausencia justificada",IF(OR(E210="",F210=""),"⚠ Falta hora de entrada/salida",IF(K210="","⚠ Falta resumen del día",IF(N(L210)&lt;N(H210)-0.01,"⚠ Faltan "&amp;TEXT(N(H210)-N(L210),"0.0")&amp;" h por reportar","✔ OK"))))))))</f>
        <v/>
      </c>
    </row>
    <row r="211" customFormat="false" ht="15" hidden="false" customHeight="false" outlineLevel="0" collapsed="false">
      <c r="A211" s="17"/>
      <c r="B211" s="18"/>
      <c r="C211" s="13" t="str">
        <f aca="false">IF(B211="","",IFERROR(INDEX(Personal!$C$5:$C$104,MATCH(B211,Personal!$B$5:$B$104,0)),""))</f>
        <v/>
      </c>
      <c r="D211" s="18"/>
      <c r="E211" s="19"/>
      <c r="F211" s="19"/>
      <c r="G211" s="20"/>
      <c r="H211" s="16" t="str">
        <f aca="false">IF(OR(E211="",F211=""),"",ROUND(MOD(F211-E211,1)*24-N(G211),2))</f>
        <v/>
      </c>
      <c r="I211" s="18"/>
      <c r="J211" s="18"/>
      <c r="K211" s="18"/>
      <c r="L211" s="16" t="str">
        <f aca="false">IF(OR(A211="",B211=""),"",SUMIFS('Registro por hora'!$H$5:$H$2004,'Registro por hora'!$A$5:$A$2004,A211,'Registro por hora'!$B$5:$B$2004,B211))</f>
        <v/>
      </c>
      <c r="M211" s="13" t="str">
        <f aca="false">IF(B211="","",IF(D211="","⚠ Falta estado",IF(AND(OR(D211="Ausente",D211="Medio día"),I211=""),"⚠ Falta motivo",IF(AND(OR(D211="Ausente",D211="Medio día"),J211=""),"⚠ Falta explicación",IF(D211="Ausente","✔ Ausencia justificada",IF(OR(E211="",F211=""),"⚠ Falta hora de entrada/salida",IF(K211="","⚠ Falta resumen del día",IF(N(L211)&lt;N(H211)-0.01,"⚠ Faltan "&amp;TEXT(N(H211)-N(L211),"0.0")&amp;" h por reportar","✔ OK"))))))))</f>
        <v/>
      </c>
    </row>
    <row r="212" customFormat="false" ht="15" hidden="false" customHeight="false" outlineLevel="0" collapsed="false">
      <c r="A212" s="17"/>
      <c r="B212" s="18"/>
      <c r="C212" s="13" t="str">
        <f aca="false">IF(B212="","",IFERROR(INDEX(Personal!$C$5:$C$104,MATCH(B212,Personal!$B$5:$B$104,0)),""))</f>
        <v/>
      </c>
      <c r="D212" s="18"/>
      <c r="E212" s="19"/>
      <c r="F212" s="19"/>
      <c r="G212" s="20"/>
      <c r="H212" s="16" t="str">
        <f aca="false">IF(OR(E212="",F212=""),"",ROUND(MOD(F212-E212,1)*24-N(G212),2))</f>
        <v/>
      </c>
      <c r="I212" s="18"/>
      <c r="J212" s="18"/>
      <c r="K212" s="18"/>
      <c r="L212" s="16" t="str">
        <f aca="false">IF(OR(A212="",B212=""),"",SUMIFS('Registro por hora'!$H$5:$H$2004,'Registro por hora'!$A$5:$A$2004,A212,'Registro por hora'!$B$5:$B$2004,B212))</f>
        <v/>
      </c>
      <c r="M212" s="13" t="str">
        <f aca="false">IF(B212="","",IF(D212="","⚠ Falta estado",IF(AND(OR(D212="Ausente",D212="Medio día"),I212=""),"⚠ Falta motivo",IF(AND(OR(D212="Ausente",D212="Medio día"),J212=""),"⚠ Falta explicación",IF(D212="Ausente","✔ Ausencia justificada",IF(OR(E212="",F212=""),"⚠ Falta hora de entrada/salida",IF(K212="","⚠ Falta resumen del día",IF(N(L212)&lt;N(H212)-0.01,"⚠ Faltan "&amp;TEXT(N(H212)-N(L212),"0.0")&amp;" h por reportar","✔ OK"))))))))</f>
        <v/>
      </c>
    </row>
    <row r="213" customFormat="false" ht="15" hidden="false" customHeight="false" outlineLevel="0" collapsed="false">
      <c r="A213" s="17"/>
      <c r="B213" s="18"/>
      <c r="C213" s="13" t="str">
        <f aca="false">IF(B213="","",IFERROR(INDEX(Personal!$C$5:$C$104,MATCH(B213,Personal!$B$5:$B$104,0)),""))</f>
        <v/>
      </c>
      <c r="D213" s="18"/>
      <c r="E213" s="19"/>
      <c r="F213" s="19"/>
      <c r="G213" s="20"/>
      <c r="H213" s="16" t="str">
        <f aca="false">IF(OR(E213="",F213=""),"",ROUND(MOD(F213-E213,1)*24-N(G213),2))</f>
        <v/>
      </c>
      <c r="I213" s="18"/>
      <c r="J213" s="18"/>
      <c r="K213" s="18"/>
      <c r="L213" s="16" t="str">
        <f aca="false">IF(OR(A213="",B213=""),"",SUMIFS('Registro por hora'!$H$5:$H$2004,'Registro por hora'!$A$5:$A$2004,A213,'Registro por hora'!$B$5:$B$2004,B213))</f>
        <v/>
      </c>
      <c r="M213" s="13" t="str">
        <f aca="false">IF(B213="","",IF(D213="","⚠ Falta estado",IF(AND(OR(D213="Ausente",D213="Medio día"),I213=""),"⚠ Falta motivo",IF(AND(OR(D213="Ausente",D213="Medio día"),J213=""),"⚠ Falta explicación",IF(D213="Ausente","✔ Ausencia justificada",IF(OR(E213="",F213=""),"⚠ Falta hora de entrada/salida",IF(K213="","⚠ Falta resumen del día",IF(N(L213)&lt;N(H213)-0.01,"⚠ Faltan "&amp;TEXT(N(H213)-N(L213),"0.0")&amp;" h por reportar","✔ OK"))))))))</f>
        <v/>
      </c>
    </row>
    <row r="214" customFormat="false" ht="15" hidden="false" customHeight="false" outlineLevel="0" collapsed="false">
      <c r="A214" s="17"/>
      <c r="B214" s="18"/>
      <c r="C214" s="13" t="str">
        <f aca="false">IF(B214="","",IFERROR(INDEX(Personal!$C$5:$C$104,MATCH(B214,Personal!$B$5:$B$104,0)),""))</f>
        <v/>
      </c>
      <c r="D214" s="18"/>
      <c r="E214" s="19"/>
      <c r="F214" s="19"/>
      <c r="G214" s="20"/>
      <c r="H214" s="16" t="str">
        <f aca="false">IF(OR(E214="",F214=""),"",ROUND(MOD(F214-E214,1)*24-N(G214),2))</f>
        <v/>
      </c>
      <c r="I214" s="18"/>
      <c r="J214" s="18"/>
      <c r="K214" s="18"/>
      <c r="L214" s="16" t="str">
        <f aca="false">IF(OR(A214="",B214=""),"",SUMIFS('Registro por hora'!$H$5:$H$2004,'Registro por hora'!$A$5:$A$2004,A214,'Registro por hora'!$B$5:$B$2004,B214))</f>
        <v/>
      </c>
      <c r="M214" s="13" t="str">
        <f aca="false">IF(B214="","",IF(D214="","⚠ Falta estado",IF(AND(OR(D214="Ausente",D214="Medio día"),I214=""),"⚠ Falta motivo",IF(AND(OR(D214="Ausente",D214="Medio día"),J214=""),"⚠ Falta explicación",IF(D214="Ausente","✔ Ausencia justificada",IF(OR(E214="",F214=""),"⚠ Falta hora de entrada/salida",IF(K214="","⚠ Falta resumen del día",IF(N(L214)&lt;N(H214)-0.01,"⚠ Faltan "&amp;TEXT(N(H214)-N(L214),"0.0")&amp;" h por reportar","✔ OK"))))))))</f>
        <v/>
      </c>
    </row>
    <row r="215" customFormat="false" ht="15" hidden="false" customHeight="false" outlineLevel="0" collapsed="false">
      <c r="A215" s="17"/>
      <c r="B215" s="18"/>
      <c r="C215" s="13" t="str">
        <f aca="false">IF(B215="","",IFERROR(INDEX(Personal!$C$5:$C$104,MATCH(B215,Personal!$B$5:$B$104,0)),""))</f>
        <v/>
      </c>
      <c r="D215" s="18"/>
      <c r="E215" s="19"/>
      <c r="F215" s="19"/>
      <c r="G215" s="20"/>
      <c r="H215" s="16" t="str">
        <f aca="false">IF(OR(E215="",F215=""),"",ROUND(MOD(F215-E215,1)*24-N(G215),2))</f>
        <v/>
      </c>
      <c r="I215" s="18"/>
      <c r="J215" s="18"/>
      <c r="K215" s="18"/>
      <c r="L215" s="16" t="str">
        <f aca="false">IF(OR(A215="",B215=""),"",SUMIFS('Registro por hora'!$H$5:$H$2004,'Registro por hora'!$A$5:$A$2004,A215,'Registro por hora'!$B$5:$B$2004,B215))</f>
        <v/>
      </c>
      <c r="M215" s="13" t="str">
        <f aca="false">IF(B215="","",IF(D215="","⚠ Falta estado",IF(AND(OR(D215="Ausente",D215="Medio día"),I215=""),"⚠ Falta motivo",IF(AND(OR(D215="Ausente",D215="Medio día"),J215=""),"⚠ Falta explicación",IF(D215="Ausente","✔ Ausencia justificada",IF(OR(E215="",F215=""),"⚠ Falta hora de entrada/salida",IF(K215="","⚠ Falta resumen del día",IF(N(L215)&lt;N(H215)-0.01,"⚠ Faltan "&amp;TEXT(N(H215)-N(L215),"0.0")&amp;" h por reportar","✔ OK"))))))))</f>
        <v/>
      </c>
    </row>
    <row r="216" customFormat="false" ht="15" hidden="false" customHeight="false" outlineLevel="0" collapsed="false">
      <c r="A216" s="17"/>
      <c r="B216" s="18"/>
      <c r="C216" s="13" t="str">
        <f aca="false">IF(B216="","",IFERROR(INDEX(Personal!$C$5:$C$104,MATCH(B216,Personal!$B$5:$B$104,0)),""))</f>
        <v/>
      </c>
      <c r="D216" s="18"/>
      <c r="E216" s="19"/>
      <c r="F216" s="19"/>
      <c r="G216" s="20"/>
      <c r="H216" s="16" t="str">
        <f aca="false">IF(OR(E216="",F216=""),"",ROUND(MOD(F216-E216,1)*24-N(G216),2))</f>
        <v/>
      </c>
      <c r="I216" s="18"/>
      <c r="J216" s="18"/>
      <c r="K216" s="18"/>
      <c r="L216" s="16" t="str">
        <f aca="false">IF(OR(A216="",B216=""),"",SUMIFS('Registro por hora'!$H$5:$H$2004,'Registro por hora'!$A$5:$A$2004,A216,'Registro por hora'!$B$5:$B$2004,B216))</f>
        <v/>
      </c>
      <c r="M216" s="13" t="str">
        <f aca="false">IF(B216="","",IF(D216="","⚠ Falta estado",IF(AND(OR(D216="Ausente",D216="Medio día"),I216=""),"⚠ Falta motivo",IF(AND(OR(D216="Ausente",D216="Medio día"),J216=""),"⚠ Falta explicación",IF(D216="Ausente","✔ Ausencia justificada",IF(OR(E216="",F216=""),"⚠ Falta hora de entrada/salida",IF(K216="","⚠ Falta resumen del día",IF(N(L216)&lt;N(H216)-0.01,"⚠ Faltan "&amp;TEXT(N(H216)-N(L216),"0.0")&amp;" h por reportar","✔ OK"))))))))</f>
        <v/>
      </c>
    </row>
    <row r="217" customFormat="false" ht="15" hidden="false" customHeight="false" outlineLevel="0" collapsed="false">
      <c r="A217" s="17"/>
      <c r="B217" s="18"/>
      <c r="C217" s="13" t="str">
        <f aca="false">IF(B217="","",IFERROR(INDEX(Personal!$C$5:$C$104,MATCH(B217,Personal!$B$5:$B$104,0)),""))</f>
        <v/>
      </c>
      <c r="D217" s="18"/>
      <c r="E217" s="19"/>
      <c r="F217" s="19"/>
      <c r="G217" s="20"/>
      <c r="H217" s="16" t="str">
        <f aca="false">IF(OR(E217="",F217=""),"",ROUND(MOD(F217-E217,1)*24-N(G217),2))</f>
        <v/>
      </c>
      <c r="I217" s="18"/>
      <c r="J217" s="18"/>
      <c r="K217" s="18"/>
      <c r="L217" s="16" t="str">
        <f aca="false">IF(OR(A217="",B217=""),"",SUMIFS('Registro por hora'!$H$5:$H$2004,'Registro por hora'!$A$5:$A$2004,A217,'Registro por hora'!$B$5:$B$2004,B217))</f>
        <v/>
      </c>
      <c r="M217" s="13" t="str">
        <f aca="false">IF(B217="","",IF(D217="","⚠ Falta estado",IF(AND(OR(D217="Ausente",D217="Medio día"),I217=""),"⚠ Falta motivo",IF(AND(OR(D217="Ausente",D217="Medio día"),J217=""),"⚠ Falta explicación",IF(D217="Ausente","✔ Ausencia justificada",IF(OR(E217="",F217=""),"⚠ Falta hora de entrada/salida",IF(K217="","⚠ Falta resumen del día",IF(N(L217)&lt;N(H217)-0.01,"⚠ Faltan "&amp;TEXT(N(H217)-N(L217),"0.0")&amp;" h por reportar","✔ OK"))))))))</f>
        <v/>
      </c>
    </row>
    <row r="218" customFormat="false" ht="15" hidden="false" customHeight="false" outlineLevel="0" collapsed="false">
      <c r="A218" s="17"/>
      <c r="B218" s="18"/>
      <c r="C218" s="13" t="str">
        <f aca="false">IF(B218="","",IFERROR(INDEX(Personal!$C$5:$C$104,MATCH(B218,Personal!$B$5:$B$104,0)),""))</f>
        <v/>
      </c>
      <c r="D218" s="18"/>
      <c r="E218" s="19"/>
      <c r="F218" s="19"/>
      <c r="G218" s="20"/>
      <c r="H218" s="16" t="str">
        <f aca="false">IF(OR(E218="",F218=""),"",ROUND(MOD(F218-E218,1)*24-N(G218),2))</f>
        <v/>
      </c>
      <c r="I218" s="18"/>
      <c r="J218" s="18"/>
      <c r="K218" s="18"/>
      <c r="L218" s="16" t="str">
        <f aca="false">IF(OR(A218="",B218=""),"",SUMIFS('Registro por hora'!$H$5:$H$2004,'Registro por hora'!$A$5:$A$2004,A218,'Registro por hora'!$B$5:$B$2004,B218))</f>
        <v/>
      </c>
      <c r="M218" s="13" t="str">
        <f aca="false">IF(B218="","",IF(D218="","⚠ Falta estado",IF(AND(OR(D218="Ausente",D218="Medio día"),I218=""),"⚠ Falta motivo",IF(AND(OR(D218="Ausente",D218="Medio día"),J218=""),"⚠ Falta explicación",IF(D218="Ausente","✔ Ausencia justificada",IF(OR(E218="",F218=""),"⚠ Falta hora de entrada/salida",IF(K218="","⚠ Falta resumen del día",IF(N(L218)&lt;N(H218)-0.01,"⚠ Faltan "&amp;TEXT(N(H218)-N(L218),"0.0")&amp;" h por reportar","✔ OK"))))))))</f>
        <v/>
      </c>
    </row>
    <row r="219" customFormat="false" ht="15" hidden="false" customHeight="false" outlineLevel="0" collapsed="false">
      <c r="A219" s="17"/>
      <c r="B219" s="18"/>
      <c r="C219" s="13" t="str">
        <f aca="false">IF(B219="","",IFERROR(INDEX(Personal!$C$5:$C$104,MATCH(B219,Personal!$B$5:$B$104,0)),""))</f>
        <v/>
      </c>
      <c r="D219" s="18"/>
      <c r="E219" s="19"/>
      <c r="F219" s="19"/>
      <c r="G219" s="20"/>
      <c r="H219" s="16" t="str">
        <f aca="false">IF(OR(E219="",F219=""),"",ROUND(MOD(F219-E219,1)*24-N(G219),2))</f>
        <v/>
      </c>
      <c r="I219" s="18"/>
      <c r="J219" s="18"/>
      <c r="K219" s="18"/>
      <c r="L219" s="16" t="str">
        <f aca="false">IF(OR(A219="",B219=""),"",SUMIFS('Registro por hora'!$H$5:$H$2004,'Registro por hora'!$A$5:$A$2004,A219,'Registro por hora'!$B$5:$B$2004,B219))</f>
        <v/>
      </c>
      <c r="M219" s="13" t="str">
        <f aca="false">IF(B219="","",IF(D219="","⚠ Falta estado",IF(AND(OR(D219="Ausente",D219="Medio día"),I219=""),"⚠ Falta motivo",IF(AND(OR(D219="Ausente",D219="Medio día"),J219=""),"⚠ Falta explicación",IF(D219="Ausente","✔ Ausencia justificada",IF(OR(E219="",F219=""),"⚠ Falta hora de entrada/salida",IF(K219="","⚠ Falta resumen del día",IF(N(L219)&lt;N(H219)-0.01,"⚠ Faltan "&amp;TEXT(N(H219)-N(L219),"0.0")&amp;" h por reportar","✔ OK"))))))))</f>
        <v/>
      </c>
    </row>
    <row r="220" customFormat="false" ht="15" hidden="false" customHeight="false" outlineLevel="0" collapsed="false">
      <c r="A220" s="17"/>
      <c r="B220" s="18"/>
      <c r="C220" s="13" t="str">
        <f aca="false">IF(B220="","",IFERROR(INDEX(Personal!$C$5:$C$104,MATCH(B220,Personal!$B$5:$B$104,0)),""))</f>
        <v/>
      </c>
      <c r="D220" s="18"/>
      <c r="E220" s="19"/>
      <c r="F220" s="19"/>
      <c r="G220" s="20"/>
      <c r="H220" s="16" t="str">
        <f aca="false">IF(OR(E220="",F220=""),"",ROUND(MOD(F220-E220,1)*24-N(G220),2))</f>
        <v/>
      </c>
      <c r="I220" s="18"/>
      <c r="J220" s="18"/>
      <c r="K220" s="18"/>
      <c r="L220" s="16" t="str">
        <f aca="false">IF(OR(A220="",B220=""),"",SUMIFS('Registro por hora'!$H$5:$H$2004,'Registro por hora'!$A$5:$A$2004,A220,'Registro por hora'!$B$5:$B$2004,B220))</f>
        <v/>
      </c>
      <c r="M220" s="13" t="str">
        <f aca="false">IF(B220="","",IF(D220="","⚠ Falta estado",IF(AND(OR(D220="Ausente",D220="Medio día"),I220=""),"⚠ Falta motivo",IF(AND(OR(D220="Ausente",D220="Medio día"),J220=""),"⚠ Falta explicación",IF(D220="Ausente","✔ Ausencia justificada",IF(OR(E220="",F220=""),"⚠ Falta hora de entrada/salida",IF(K220="","⚠ Falta resumen del día",IF(N(L220)&lt;N(H220)-0.01,"⚠ Faltan "&amp;TEXT(N(H220)-N(L220),"0.0")&amp;" h por reportar","✔ OK"))))))))</f>
        <v/>
      </c>
    </row>
    <row r="221" customFormat="false" ht="15" hidden="false" customHeight="false" outlineLevel="0" collapsed="false">
      <c r="A221" s="17"/>
      <c r="B221" s="18"/>
      <c r="C221" s="13" t="str">
        <f aca="false">IF(B221="","",IFERROR(INDEX(Personal!$C$5:$C$104,MATCH(B221,Personal!$B$5:$B$104,0)),""))</f>
        <v/>
      </c>
      <c r="D221" s="18"/>
      <c r="E221" s="19"/>
      <c r="F221" s="19"/>
      <c r="G221" s="20"/>
      <c r="H221" s="16" t="str">
        <f aca="false">IF(OR(E221="",F221=""),"",ROUND(MOD(F221-E221,1)*24-N(G221),2))</f>
        <v/>
      </c>
      <c r="I221" s="18"/>
      <c r="J221" s="18"/>
      <c r="K221" s="18"/>
      <c r="L221" s="16" t="str">
        <f aca="false">IF(OR(A221="",B221=""),"",SUMIFS('Registro por hora'!$H$5:$H$2004,'Registro por hora'!$A$5:$A$2004,A221,'Registro por hora'!$B$5:$B$2004,B221))</f>
        <v/>
      </c>
      <c r="M221" s="13" t="str">
        <f aca="false">IF(B221="","",IF(D221="","⚠ Falta estado",IF(AND(OR(D221="Ausente",D221="Medio día"),I221=""),"⚠ Falta motivo",IF(AND(OR(D221="Ausente",D221="Medio día"),J221=""),"⚠ Falta explicación",IF(D221="Ausente","✔ Ausencia justificada",IF(OR(E221="",F221=""),"⚠ Falta hora de entrada/salida",IF(K221="","⚠ Falta resumen del día",IF(N(L221)&lt;N(H221)-0.01,"⚠ Faltan "&amp;TEXT(N(H221)-N(L221),"0.0")&amp;" h por reportar","✔ OK"))))))))</f>
        <v/>
      </c>
    </row>
    <row r="222" customFormat="false" ht="15" hidden="false" customHeight="false" outlineLevel="0" collapsed="false">
      <c r="A222" s="17"/>
      <c r="B222" s="18"/>
      <c r="C222" s="13" t="str">
        <f aca="false">IF(B222="","",IFERROR(INDEX(Personal!$C$5:$C$104,MATCH(B222,Personal!$B$5:$B$104,0)),""))</f>
        <v/>
      </c>
      <c r="D222" s="18"/>
      <c r="E222" s="19"/>
      <c r="F222" s="19"/>
      <c r="G222" s="20"/>
      <c r="H222" s="16" t="str">
        <f aca="false">IF(OR(E222="",F222=""),"",ROUND(MOD(F222-E222,1)*24-N(G222),2))</f>
        <v/>
      </c>
      <c r="I222" s="18"/>
      <c r="J222" s="18"/>
      <c r="K222" s="18"/>
      <c r="L222" s="16" t="str">
        <f aca="false">IF(OR(A222="",B222=""),"",SUMIFS('Registro por hora'!$H$5:$H$2004,'Registro por hora'!$A$5:$A$2004,A222,'Registro por hora'!$B$5:$B$2004,B222))</f>
        <v/>
      </c>
      <c r="M222" s="13" t="str">
        <f aca="false">IF(B222="","",IF(D222="","⚠ Falta estado",IF(AND(OR(D222="Ausente",D222="Medio día"),I222=""),"⚠ Falta motivo",IF(AND(OR(D222="Ausente",D222="Medio día"),J222=""),"⚠ Falta explicación",IF(D222="Ausente","✔ Ausencia justificada",IF(OR(E222="",F222=""),"⚠ Falta hora de entrada/salida",IF(K222="","⚠ Falta resumen del día",IF(N(L222)&lt;N(H222)-0.01,"⚠ Faltan "&amp;TEXT(N(H222)-N(L222),"0.0")&amp;" h por reportar","✔ OK"))))))))</f>
        <v/>
      </c>
    </row>
    <row r="223" customFormat="false" ht="15" hidden="false" customHeight="false" outlineLevel="0" collapsed="false">
      <c r="A223" s="17"/>
      <c r="B223" s="18"/>
      <c r="C223" s="13" t="str">
        <f aca="false">IF(B223="","",IFERROR(INDEX(Personal!$C$5:$C$104,MATCH(B223,Personal!$B$5:$B$104,0)),""))</f>
        <v/>
      </c>
      <c r="D223" s="18"/>
      <c r="E223" s="19"/>
      <c r="F223" s="19"/>
      <c r="G223" s="20"/>
      <c r="H223" s="16" t="str">
        <f aca="false">IF(OR(E223="",F223=""),"",ROUND(MOD(F223-E223,1)*24-N(G223),2))</f>
        <v/>
      </c>
      <c r="I223" s="18"/>
      <c r="J223" s="18"/>
      <c r="K223" s="18"/>
      <c r="L223" s="16" t="str">
        <f aca="false">IF(OR(A223="",B223=""),"",SUMIFS('Registro por hora'!$H$5:$H$2004,'Registro por hora'!$A$5:$A$2004,A223,'Registro por hora'!$B$5:$B$2004,B223))</f>
        <v/>
      </c>
      <c r="M223" s="13" t="str">
        <f aca="false">IF(B223="","",IF(D223="","⚠ Falta estado",IF(AND(OR(D223="Ausente",D223="Medio día"),I223=""),"⚠ Falta motivo",IF(AND(OR(D223="Ausente",D223="Medio día"),J223=""),"⚠ Falta explicación",IF(D223="Ausente","✔ Ausencia justificada",IF(OR(E223="",F223=""),"⚠ Falta hora de entrada/salida",IF(K223="","⚠ Falta resumen del día",IF(N(L223)&lt;N(H223)-0.01,"⚠ Faltan "&amp;TEXT(N(H223)-N(L223),"0.0")&amp;" h por reportar","✔ OK"))))))))</f>
        <v/>
      </c>
    </row>
    <row r="224" customFormat="false" ht="15" hidden="false" customHeight="false" outlineLevel="0" collapsed="false">
      <c r="A224" s="17"/>
      <c r="B224" s="18"/>
      <c r="C224" s="13" t="str">
        <f aca="false">IF(B224="","",IFERROR(INDEX(Personal!$C$5:$C$104,MATCH(B224,Personal!$B$5:$B$104,0)),""))</f>
        <v/>
      </c>
      <c r="D224" s="18"/>
      <c r="E224" s="19"/>
      <c r="F224" s="19"/>
      <c r="G224" s="20"/>
      <c r="H224" s="16" t="str">
        <f aca="false">IF(OR(E224="",F224=""),"",ROUND(MOD(F224-E224,1)*24-N(G224),2))</f>
        <v/>
      </c>
      <c r="I224" s="18"/>
      <c r="J224" s="18"/>
      <c r="K224" s="18"/>
      <c r="L224" s="16" t="str">
        <f aca="false">IF(OR(A224="",B224=""),"",SUMIFS('Registro por hora'!$H$5:$H$2004,'Registro por hora'!$A$5:$A$2004,A224,'Registro por hora'!$B$5:$B$2004,B224))</f>
        <v/>
      </c>
      <c r="M224" s="13" t="str">
        <f aca="false">IF(B224="","",IF(D224="","⚠ Falta estado",IF(AND(OR(D224="Ausente",D224="Medio día"),I224=""),"⚠ Falta motivo",IF(AND(OR(D224="Ausente",D224="Medio día"),J224=""),"⚠ Falta explicación",IF(D224="Ausente","✔ Ausencia justificada",IF(OR(E224="",F224=""),"⚠ Falta hora de entrada/salida",IF(K224="","⚠ Falta resumen del día",IF(N(L224)&lt;N(H224)-0.01,"⚠ Faltan "&amp;TEXT(N(H224)-N(L224),"0.0")&amp;" h por reportar","✔ OK"))))))))</f>
        <v/>
      </c>
    </row>
    <row r="225" customFormat="false" ht="15" hidden="false" customHeight="false" outlineLevel="0" collapsed="false">
      <c r="A225" s="17"/>
      <c r="B225" s="18"/>
      <c r="C225" s="13" t="str">
        <f aca="false">IF(B225="","",IFERROR(INDEX(Personal!$C$5:$C$104,MATCH(B225,Personal!$B$5:$B$104,0)),""))</f>
        <v/>
      </c>
      <c r="D225" s="18"/>
      <c r="E225" s="19"/>
      <c r="F225" s="19"/>
      <c r="G225" s="20"/>
      <c r="H225" s="16" t="str">
        <f aca="false">IF(OR(E225="",F225=""),"",ROUND(MOD(F225-E225,1)*24-N(G225),2))</f>
        <v/>
      </c>
      <c r="I225" s="18"/>
      <c r="J225" s="18"/>
      <c r="K225" s="18"/>
      <c r="L225" s="16" t="str">
        <f aca="false">IF(OR(A225="",B225=""),"",SUMIFS('Registro por hora'!$H$5:$H$2004,'Registro por hora'!$A$5:$A$2004,A225,'Registro por hora'!$B$5:$B$2004,B225))</f>
        <v/>
      </c>
      <c r="M225" s="13" t="str">
        <f aca="false">IF(B225="","",IF(D225="","⚠ Falta estado",IF(AND(OR(D225="Ausente",D225="Medio día"),I225=""),"⚠ Falta motivo",IF(AND(OR(D225="Ausente",D225="Medio día"),J225=""),"⚠ Falta explicación",IF(D225="Ausente","✔ Ausencia justificada",IF(OR(E225="",F225=""),"⚠ Falta hora de entrada/salida",IF(K225="","⚠ Falta resumen del día",IF(N(L225)&lt;N(H225)-0.01,"⚠ Faltan "&amp;TEXT(N(H225)-N(L225),"0.0")&amp;" h por reportar","✔ OK"))))))))</f>
        <v/>
      </c>
    </row>
    <row r="226" customFormat="false" ht="15" hidden="false" customHeight="false" outlineLevel="0" collapsed="false">
      <c r="A226" s="17"/>
      <c r="B226" s="18"/>
      <c r="C226" s="13" t="str">
        <f aca="false">IF(B226="","",IFERROR(INDEX(Personal!$C$5:$C$104,MATCH(B226,Personal!$B$5:$B$104,0)),""))</f>
        <v/>
      </c>
      <c r="D226" s="18"/>
      <c r="E226" s="19"/>
      <c r="F226" s="19"/>
      <c r="G226" s="20"/>
      <c r="H226" s="16" t="str">
        <f aca="false">IF(OR(E226="",F226=""),"",ROUND(MOD(F226-E226,1)*24-N(G226),2))</f>
        <v/>
      </c>
      <c r="I226" s="18"/>
      <c r="J226" s="18"/>
      <c r="K226" s="18"/>
      <c r="L226" s="16" t="str">
        <f aca="false">IF(OR(A226="",B226=""),"",SUMIFS('Registro por hora'!$H$5:$H$2004,'Registro por hora'!$A$5:$A$2004,A226,'Registro por hora'!$B$5:$B$2004,B226))</f>
        <v/>
      </c>
      <c r="M226" s="13" t="str">
        <f aca="false">IF(B226="","",IF(D226="","⚠ Falta estado",IF(AND(OR(D226="Ausente",D226="Medio día"),I226=""),"⚠ Falta motivo",IF(AND(OR(D226="Ausente",D226="Medio día"),J226=""),"⚠ Falta explicación",IF(D226="Ausente","✔ Ausencia justificada",IF(OR(E226="",F226=""),"⚠ Falta hora de entrada/salida",IF(K226="","⚠ Falta resumen del día",IF(N(L226)&lt;N(H226)-0.01,"⚠ Faltan "&amp;TEXT(N(H226)-N(L226),"0.0")&amp;" h por reportar","✔ OK"))))))))</f>
        <v/>
      </c>
    </row>
    <row r="227" customFormat="false" ht="15" hidden="false" customHeight="false" outlineLevel="0" collapsed="false">
      <c r="A227" s="17"/>
      <c r="B227" s="18"/>
      <c r="C227" s="13" t="str">
        <f aca="false">IF(B227="","",IFERROR(INDEX(Personal!$C$5:$C$104,MATCH(B227,Personal!$B$5:$B$104,0)),""))</f>
        <v/>
      </c>
      <c r="D227" s="18"/>
      <c r="E227" s="19"/>
      <c r="F227" s="19"/>
      <c r="G227" s="20"/>
      <c r="H227" s="16" t="str">
        <f aca="false">IF(OR(E227="",F227=""),"",ROUND(MOD(F227-E227,1)*24-N(G227),2))</f>
        <v/>
      </c>
      <c r="I227" s="18"/>
      <c r="J227" s="18"/>
      <c r="K227" s="18"/>
      <c r="L227" s="16" t="str">
        <f aca="false">IF(OR(A227="",B227=""),"",SUMIFS('Registro por hora'!$H$5:$H$2004,'Registro por hora'!$A$5:$A$2004,A227,'Registro por hora'!$B$5:$B$2004,B227))</f>
        <v/>
      </c>
      <c r="M227" s="13" t="str">
        <f aca="false">IF(B227="","",IF(D227="","⚠ Falta estado",IF(AND(OR(D227="Ausente",D227="Medio día"),I227=""),"⚠ Falta motivo",IF(AND(OR(D227="Ausente",D227="Medio día"),J227=""),"⚠ Falta explicación",IF(D227="Ausente","✔ Ausencia justificada",IF(OR(E227="",F227=""),"⚠ Falta hora de entrada/salida",IF(K227="","⚠ Falta resumen del día",IF(N(L227)&lt;N(H227)-0.01,"⚠ Faltan "&amp;TEXT(N(H227)-N(L227),"0.0")&amp;" h por reportar","✔ OK"))))))))</f>
        <v/>
      </c>
    </row>
    <row r="228" customFormat="false" ht="15" hidden="false" customHeight="false" outlineLevel="0" collapsed="false">
      <c r="A228" s="17"/>
      <c r="B228" s="18"/>
      <c r="C228" s="13" t="str">
        <f aca="false">IF(B228="","",IFERROR(INDEX(Personal!$C$5:$C$104,MATCH(B228,Personal!$B$5:$B$104,0)),""))</f>
        <v/>
      </c>
      <c r="D228" s="18"/>
      <c r="E228" s="19"/>
      <c r="F228" s="19"/>
      <c r="G228" s="20"/>
      <c r="H228" s="16" t="str">
        <f aca="false">IF(OR(E228="",F228=""),"",ROUND(MOD(F228-E228,1)*24-N(G228),2))</f>
        <v/>
      </c>
      <c r="I228" s="18"/>
      <c r="J228" s="18"/>
      <c r="K228" s="18"/>
      <c r="L228" s="16" t="str">
        <f aca="false">IF(OR(A228="",B228=""),"",SUMIFS('Registro por hora'!$H$5:$H$2004,'Registro por hora'!$A$5:$A$2004,A228,'Registro por hora'!$B$5:$B$2004,B228))</f>
        <v/>
      </c>
      <c r="M228" s="13" t="str">
        <f aca="false">IF(B228="","",IF(D228="","⚠ Falta estado",IF(AND(OR(D228="Ausente",D228="Medio día"),I228=""),"⚠ Falta motivo",IF(AND(OR(D228="Ausente",D228="Medio día"),J228=""),"⚠ Falta explicación",IF(D228="Ausente","✔ Ausencia justificada",IF(OR(E228="",F228=""),"⚠ Falta hora de entrada/salida",IF(K228="","⚠ Falta resumen del día",IF(N(L228)&lt;N(H228)-0.01,"⚠ Faltan "&amp;TEXT(N(H228)-N(L228),"0.0")&amp;" h por reportar","✔ OK"))))))))</f>
        <v/>
      </c>
    </row>
    <row r="229" customFormat="false" ht="15" hidden="false" customHeight="false" outlineLevel="0" collapsed="false">
      <c r="A229" s="17"/>
      <c r="B229" s="18"/>
      <c r="C229" s="13" t="str">
        <f aca="false">IF(B229="","",IFERROR(INDEX(Personal!$C$5:$C$104,MATCH(B229,Personal!$B$5:$B$104,0)),""))</f>
        <v/>
      </c>
      <c r="D229" s="18"/>
      <c r="E229" s="19"/>
      <c r="F229" s="19"/>
      <c r="G229" s="20"/>
      <c r="H229" s="16" t="str">
        <f aca="false">IF(OR(E229="",F229=""),"",ROUND(MOD(F229-E229,1)*24-N(G229),2))</f>
        <v/>
      </c>
      <c r="I229" s="18"/>
      <c r="J229" s="18"/>
      <c r="K229" s="18"/>
      <c r="L229" s="16" t="str">
        <f aca="false">IF(OR(A229="",B229=""),"",SUMIFS('Registro por hora'!$H$5:$H$2004,'Registro por hora'!$A$5:$A$2004,A229,'Registro por hora'!$B$5:$B$2004,B229))</f>
        <v/>
      </c>
      <c r="M229" s="13" t="str">
        <f aca="false">IF(B229="","",IF(D229="","⚠ Falta estado",IF(AND(OR(D229="Ausente",D229="Medio día"),I229=""),"⚠ Falta motivo",IF(AND(OR(D229="Ausente",D229="Medio día"),J229=""),"⚠ Falta explicación",IF(D229="Ausente","✔ Ausencia justificada",IF(OR(E229="",F229=""),"⚠ Falta hora de entrada/salida",IF(K229="","⚠ Falta resumen del día",IF(N(L229)&lt;N(H229)-0.01,"⚠ Faltan "&amp;TEXT(N(H229)-N(L229),"0.0")&amp;" h por reportar","✔ OK"))))))))</f>
        <v/>
      </c>
    </row>
    <row r="230" customFormat="false" ht="15" hidden="false" customHeight="false" outlineLevel="0" collapsed="false">
      <c r="A230" s="17"/>
      <c r="B230" s="18"/>
      <c r="C230" s="13" t="str">
        <f aca="false">IF(B230="","",IFERROR(INDEX(Personal!$C$5:$C$104,MATCH(B230,Personal!$B$5:$B$104,0)),""))</f>
        <v/>
      </c>
      <c r="D230" s="18"/>
      <c r="E230" s="19"/>
      <c r="F230" s="19"/>
      <c r="G230" s="20"/>
      <c r="H230" s="16" t="str">
        <f aca="false">IF(OR(E230="",F230=""),"",ROUND(MOD(F230-E230,1)*24-N(G230),2))</f>
        <v/>
      </c>
      <c r="I230" s="18"/>
      <c r="J230" s="18"/>
      <c r="K230" s="18"/>
      <c r="L230" s="16" t="str">
        <f aca="false">IF(OR(A230="",B230=""),"",SUMIFS('Registro por hora'!$H$5:$H$2004,'Registro por hora'!$A$5:$A$2004,A230,'Registro por hora'!$B$5:$B$2004,B230))</f>
        <v/>
      </c>
      <c r="M230" s="13" t="str">
        <f aca="false">IF(B230="","",IF(D230="","⚠ Falta estado",IF(AND(OR(D230="Ausente",D230="Medio día"),I230=""),"⚠ Falta motivo",IF(AND(OR(D230="Ausente",D230="Medio día"),J230=""),"⚠ Falta explicación",IF(D230="Ausente","✔ Ausencia justificada",IF(OR(E230="",F230=""),"⚠ Falta hora de entrada/salida",IF(K230="","⚠ Falta resumen del día",IF(N(L230)&lt;N(H230)-0.01,"⚠ Faltan "&amp;TEXT(N(H230)-N(L230),"0.0")&amp;" h por reportar","✔ OK"))))))))</f>
        <v/>
      </c>
    </row>
    <row r="231" customFormat="false" ht="15" hidden="false" customHeight="false" outlineLevel="0" collapsed="false">
      <c r="A231" s="17"/>
      <c r="B231" s="18"/>
      <c r="C231" s="13" t="str">
        <f aca="false">IF(B231="","",IFERROR(INDEX(Personal!$C$5:$C$104,MATCH(B231,Personal!$B$5:$B$104,0)),""))</f>
        <v/>
      </c>
      <c r="D231" s="18"/>
      <c r="E231" s="19"/>
      <c r="F231" s="19"/>
      <c r="G231" s="20"/>
      <c r="H231" s="16" t="str">
        <f aca="false">IF(OR(E231="",F231=""),"",ROUND(MOD(F231-E231,1)*24-N(G231),2))</f>
        <v/>
      </c>
      <c r="I231" s="18"/>
      <c r="J231" s="18"/>
      <c r="K231" s="18"/>
      <c r="L231" s="16" t="str">
        <f aca="false">IF(OR(A231="",B231=""),"",SUMIFS('Registro por hora'!$H$5:$H$2004,'Registro por hora'!$A$5:$A$2004,A231,'Registro por hora'!$B$5:$B$2004,B231))</f>
        <v/>
      </c>
      <c r="M231" s="13" t="str">
        <f aca="false">IF(B231="","",IF(D231="","⚠ Falta estado",IF(AND(OR(D231="Ausente",D231="Medio día"),I231=""),"⚠ Falta motivo",IF(AND(OR(D231="Ausente",D231="Medio día"),J231=""),"⚠ Falta explicación",IF(D231="Ausente","✔ Ausencia justificada",IF(OR(E231="",F231=""),"⚠ Falta hora de entrada/salida",IF(K231="","⚠ Falta resumen del día",IF(N(L231)&lt;N(H231)-0.01,"⚠ Faltan "&amp;TEXT(N(H231)-N(L231),"0.0")&amp;" h por reportar","✔ OK"))))))))</f>
        <v/>
      </c>
    </row>
    <row r="232" customFormat="false" ht="15" hidden="false" customHeight="false" outlineLevel="0" collapsed="false">
      <c r="A232" s="17"/>
      <c r="B232" s="18"/>
      <c r="C232" s="13" t="str">
        <f aca="false">IF(B232="","",IFERROR(INDEX(Personal!$C$5:$C$104,MATCH(B232,Personal!$B$5:$B$104,0)),""))</f>
        <v/>
      </c>
      <c r="D232" s="18"/>
      <c r="E232" s="19"/>
      <c r="F232" s="19"/>
      <c r="G232" s="20"/>
      <c r="H232" s="16" t="str">
        <f aca="false">IF(OR(E232="",F232=""),"",ROUND(MOD(F232-E232,1)*24-N(G232),2))</f>
        <v/>
      </c>
      <c r="I232" s="18"/>
      <c r="J232" s="18"/>
      <c r="K232" s="18"/>
      <c r="L232" s="16" t="str">
        <f aca="false">IF(OR(A232="",B232=""),"",SUMIFS('Registro por hora'!$H$5:$H$2004,'Registro por hora'!$A$5:$A$2004,A232,'Registro por hora'!$B$5:$B$2004,B232))</f>
        <v/>
      </c>
      <c r="M232" s="13" t="str">
        <f aca="false">IF(B232="","",IF(D232="","⚠ Falta estado",IF(AND(OR(D232="Ausente",D232="Medio día"),I232=""),"⚠ Falta motivo",IF(AND(OR(D232="Ausente",D232="Medio día"),J232=""),"⚠ Falta explicación",IF(D232="Ausente","✔ Ausencia justificada",IF(OR(E232="",F232=""),"⚠ Falta hora de entrada/salida",IF(K232="","⚠ Falta resumen del día",IF(N(L232)&lt;N(H232)-0.01,"⚠ Faltan "&amp;TEXT(N(H232)-N(L232),"0.0")&amp;" h por reportar","✔ OK"))))))))</f>
        <v/>
      </c>
    </row>
    <row r="233" customFormat="false" ht="15" hidden="false" customHeight="false" outlineLevel="0" collapsed="false">
      <c r="A233" s="17"/>
      <c r="B233" s="18"/>
      <c r="C233" s="13" t="str">
        <f aca="false">IF(B233="","",IFERROR(INDEX(Personal!$C$5:$C$104,MATCH(B233,Personal!$B$5:$B$104,0)),""))</f>
        <v/>
      </c>
      <c r="D233" s="18"/>
      <c r="E233" s="19"/>
      <c r="F233" s="19"/>
      <c r="G233" s="20"/>
      <c r="H233" s="16" t="str">
        <f aca="false">IF(OR(E233="",F233=""),"",ROUND(MOD(F233-E233,1)*24-N(G233),2))</f>
        <v/>
      </c>
      <c r="I233" s="18"/>
      <c r="J233" s="18"/>
      <c r="K233" s="18"/>
      <c r="L233" s="16" t="str">
        <f aca="false">IF(OR(A233="",B233=""),"",SUMIFS('Registro por hora'!$H$5:$H$2004,'Registro por hora'!$A$5:$A$2004,A233,'Registro por hora'!$B$5:$B$2004,B233))</f>
        <v/>
      </c>
      <c r="M233" s="13" t="str">
        <f aca="false">IF(B233="","",IF(D233="","⚠ Falta estado",IF(AND(OR(D233="Ausente",D233="Medio día"),I233=""),"⚠ Falta motivo",IF(AND(OR(D233="Ausente",D233="Medio día"),J233=""),"⚠ Falta explicación",IF(D233="Ausente","✔ Ausencia justificada",IF(OR(E233="",F233=""),"⚠ Falta hora de entrada/salida",IF(K233="","⚠ Falta resumen del día",IF(N(L233)&lt;N(H233)-0.01,"⚠ Faltan "&amp;TEXT(N(H233)-N(L233),"0.0")&amp;" h por reportar","✔ OK"))))))))</f>
        <v/>
      </c>
    </row>
    <row r="234" customFormat="false" ht="15" hidden="false" customHeight="false" outlineLevel="0" collapsed="false">
      <c r="A234" s="17"/>
      <c r="B234" s="18"/>
      <c r="C234" s="13" t="str">
        <f aca="false">IF(B234="","",IFERROR(INDEX(Personal!$C$5:$C$104,MATCH(B234,Personal!$B$5:$B$104,0)),""))</f>
        <v/>
      </c>
      <c r="D234" s="18"/>
      <c r="E234" s="19"/>
      <c r="F234" s="19"/>
      <c r="G234" s="20"/>
      <c r="H234" s="16" t="str">
        <f aca="false">IF(OR(E234="",F234=""),"",ROUND(MOD(F234-E234,1)*24-N(G234),2))</f>
        <v/>
      </c>
      <c r="I234" s="18"/>
      <c r="J234" s="18"/>
      <c r="K234" s="18"/>
      <c r="L234" s="16" t="str">
        <f aca="false">IF(OR(A234="",B234=""),"",SUMIFS('Registro por hora'!$H$5:$H$2004,'Registro por hora'!$A$5:$A$2004,A234,'Registro por hora'!$B$5:$B$2004,B234))</f>
        <v/>
      </c>
      <c r="M234" s="13" t="str">
        <f aca="false">IF(B234="","",IF(D234="","⚠ Falta estado",IF(AND(OR(D234="Ausente",D234="Medio día"),I234=""),"⚠ Falta motivo",IF(AND(OR(D234="Ausente",D234="Medio día"),J234=""),"⚠ Falta explicación",IF(D234="Ausente","✔ Ausencia justificada",IF(OR(E234="",F234=""),"⚠ Falta hora de entrada/salida",IF(K234="","⚠ Falta resumen del día",IF(N(L234)&lt;N(H234)-0.01,"⚠ Faltan "&amp;TEXT(N(H234)-N(L234),"0.0")&amp;" h por reportar","✔ OK"))))))))</f>
        <v/>
      </c>
    </row>
    <row r="235" customFormat="false" ht="15" hidden="false" customHeight="false" outlineLevel="0" collapsed="false">
      <c r="A235" s="17"/>
      <c r="B235" s="18"/>
      <c r="C235" s="13" t="str">
        <f aca="false">IF(B235="","",IFERROR(INDEX(Personal!$C$5:$C$104,MATCH(B235,Personal!$B$5:$B$104,0)),""))</f>
        <v/>
      </c>
      <c r="D235" s="18"/>
      <c r="E235" s="19"/>
      <c r="F235" s="19"/>
      <c r="G235" s="20"/>
      <c r="H235" s="16" t="str">
        <f aca="false">IF(OR(E235="",F235=""),"",ROUND(MOD(F235-E235,1)*24-N(G235),2))</f>
        <v/>
      </c>
      <c r="I235" s="18"/>
      <c r="J235" s="18"/>
      <c r="K235" s="18"/>
      <c r="L235" s="16" t="str">
        <f aca="false">IF(OR(A235="",B235=""),"",SUMIFS('Registro por hora'!$H$5:$H$2004,'Registro por hora'!$A$5:$A$2004,A235,'Registro por hora'!$B$5:$B$2004,B235))</f>
        <v/>
      </c>
      <c r="M235" s="13" t="str">
        <f aca="false">IF(B235="","",IF(D235="","⚠ Falta estado",IF(AND(OR(D235="Ausente",D235="Medio día"),I235=""),"⚠ Falta motivo",IF(AND(OR(D235="Ausente",D235="Medio día"),J235=""),"⚠ Falta explicación",IF(D235="Ausente","✔ Ausencia justificada",IF(OR(E235="",F235=""),"⚠ Falta hora de entrada/salida",IF(K235="","⚠ Falta resumen del día",IF(N(L235)&lt;N(H235)-0.01,"⚠ Faltan "&amp;TEXT(N(H235)-N(L235),"0.0")&amp;" h por reportar","✔ OK"))))))))</f>
        <v/>
      </c>
    </row>
    <row r="236" customFormat="false" ht="15" hidden="false" customHeight="false" outlineLevel="0" collapsed="false">
      <c r="A236" s="17"/>
      <c r="B236" s="18"/>
      <c r="C236" s="13" t="str">
        <f aca="false">IF(B236="","",IFERROR(INDEX(Personal!$C$5:$C$104,MATCH(B236,Personal!$B$5:$B$104,0)),""))</f>
        <v/>
      </c>
      <c r="D236" s="18"/>
      <c r="E236" s="19"/>
      <c r="F236" s="19"/>
      <c r="G236" s="20"/>
      <c r="H236" s="16" t="str">
        <f aca="false">IF(OR(E236="",F236=""),"",ROUND(MOD(F236-E236,1)*24-N(G236),2))</f>
        <v/>
      </c>
      <c r="I236" s="18"/>
      <c r="J236" s="18"/>
      <c r="K236" s="18"/>
      <c r="L236" s="16" t="str">
        <f aca="false">IF(OR(A236="",B236=""),"",SUMIFS('Registro por hora'!$H$5:$H$2004,'Registro por hora'!$A$5:$A$2004,A236,'Registro por hora'!$B$5:$B$2004,B236))</f>
        <v/>
      </c>
      <c r="M236" s="13" t="str">
        <f aca="false">IF(B236="","",IF(D236="","⚠ Falta estado",IF(AND(OR(D236="Ausente",D236="Medio día"),I236=""),"⚠ Falta motivo",IF(AND(OR(D236="Ausente",D236="Medio día"),J236=""),"⚠ Falta explicación",IF(D236="Ausente","✔ Ausencia justificada",IF(OR(E236="",F236=""),"⚠ Falta hora de entrada/salida",IF(K236="","⚠ Falta resumen del día",IF(N(L236)&lt;N(H236)-0.01,"⚠ Faltan "&amp;TEXT(N(H236)-N(L236),"0.0")&amp;" h por reportar","✔ OK"))))))))</f>
        <v/>
      </c>
    </row>
    <row r="237" customFormat="false" ht="15" hidden="false" customHeight="false" outlineLevel="0" collapsed="false">
      <c r="A237" s="17"/>
      <c r="B237" s="18"/>
      <c r="C237" s="13" t="str">
        <f aca="false">IF(B237="","",IFERROR(INDEX(Personal!$C$5:$C$104,MATCH(B237,Personal!$B$5:$B$104,0)),""))</f>
        <v/>
      </c>
      <c r="D237" s="18"/>
      <c r="E237" s="19"/>
      <c r="F237" s="19"/>
      <c r="G237" s="20"/>
      <c r="H237" s="16" t="str">
        <f aca="false">IF(OR(E237="",F237=""),"",ROUND(MOD(F237-E237,1)*24-N(G237),2))</f>
        <v/>
      </c>
      <c r="I237" s="18"/>
      <c r="J237" s="18"/>
      <c r="K237" s="18"/>
      <c r="L237" s="16" t="str">
        <f aca="false">IF(OR(A237="",B237=""),"",SUMIFS('Registro por hora'!$H$5:$H$2004,'Registro por hora'!$A$5:$A$2004,A237,'Registro por hora'!$B$5:$B$2004,B237))</f>
        <v/>
      </c>
      <c r="M237" s="13" t="str">
        <f aca="false">IF(B237="","",IF(D237="","⚠ Falta estado",IF(AND(OR(D237="Ausente",D237="Medio día"),I237=""),"⚠ Falta motivo",IF(AND(OR(D237="Ausente",D237="Medio día"),J237=""),"⚠ Falta explicación",IF(D237="Ausente","✔ Ausencia justificada",IF(OR(E237="",F237=""),"⚠ Falta hora de entrada/salida",IF(K237="","⚠ Falta resumen del día",IF(N(L237)&lt;N(H237)-0.01,"⚠ Faltan "&amp;TEXT(N(H237)-N(L237),"0.0")&amp;" h por reportar","✔ OK"))))))))</f>
        <v/>
      </c>
    </row>
    <row r="238" customFormat="false" ht="15" hidden="false" customHeight="false" outlineLevel="0" collapsed="false">
      <c r="A238" s="17"/>
      <c r="B238" s="18"/>
      <c r="C238" s="13" t="str">
        <f aca="false">IF(B238="","",IFERROR(INDEX(Personal!$C$5:$C$104,MATCH(B238,Personal!$B$5:$B$104,0)),""))</f>
        <v/>
      </c>
      <c r="D238" s="18"/>
      <c r="E238" s="19"/>
      <c r="F238" s="19"/>
      <c r="G238" s="20"/>
      <c r="H238" s="16" t="str">
        <f aca="false">IF(OR(E238="",F238=""),"",ROUND(MOD(F238-E238,1)*24-N(G238),2))</f>
        <v/>
      </c>
      <c r="I238" s="18"/>
      <c r="J238" s="18"/>
      <c r="K238" s="18"/>
      <c r="L238" s="16" t="str">
        <f aca="false">IF(OR(A238="",B238=""),"",SUMIFS('Registro por hora'!$H$5:$H$2004,'Registro por hora'!$A$5:$A$2004,A238,'Registro por hora'!$B$5:$B$2004,B238))</f>
        <v/>
      </c>
      <c r="M238" s="13" t="str">
        <f aca="false">IF(B238="","",IF(D238="","⚠ Falta estado",IF(AND(OR(D238="Ausente",D238="Medio día"),I238=""),"⚠ Falta motivo",IF(AND(OR(D238="Ausente",D238="Medio día"),J238=""),"⚠ Falta explicación",IF(D238="Ausente","✔ Ausencia justificada",IF(OR(E238="",F238=""),"⚠ Falta hora de entrada/salida",IF(K238="","⚠ Falta resumen del día",IF(N(L238)&lt;N(H238)-0.01,"⚠ Faltan "&amp;TEXT(N(H238)-N(L238),"0.0")&amp;" h por reportar","✔ OK"))))))))</f>
        <v/>
      </c>
    </row>
    <row r="239" customFormat="false" ht="15" hidden="false" customHeight="false" outlineLevel="0" collapsed="false">
      <c r="A239" s="17"/>
      <c r="B239" s="18"/>
      <c r="C239" s="13" t="str">
        <f aca="false">IF(B239="","",IFERROR(INDEX(Personal!$C$5:$C$104,MATCH(B239,Personal!$B$5:$B$104,0)),""))</f>
        <v/>
      </c>
      <c r="D239" s="18"/>
      <c r="E239" s="19"/>
      <c r="F239" s="19"/>
      <c r="G239" s="20"/>
      <c r="H239" s="16" t="str">
        <f aca="false">IF(OR(E239="",F239=""),"",ROUND(MOD(F239-E239,1)*24-N(G239),2))</f>
        <v/>
      </c>
      <c r="I239" s="18"/>
      <c r="J239" s="18"/>
      <c r="K239" s="18"/>
      <c r="L239" s="16" t="str">
        <f aca="false">IF(OR(A239="",B239=""),"",SUMIFS('Registro por hora'!$H$5:$H$2004,'Registro por hora'!$A$5:$A$2004,A239,'Registro por hora'!$B$5:$B$2004,B239))</f>
        <v/>
      </c>
      <c r="M239" s="13" t="str">
        <f aca="false">IF(B239="","",IF(D239="","⚠ Falta estado",IF(AND(OR(D239="Ausente",D239="Medio día"),I239=""),"⚠ Falta motivo",IF(AND(OR(D239="Ausente",D239="Medio día"),J239=""),"⚠ Falta explicación",IF(D239="Ausente","✔ Ausencia justificada",IF(OR(E239="",F239=""),"⚠ Falta hora de entrada/salida",IF(K239="","⚠ Falta resumen del día",IF(N(L239)&lt;N(H239)-0.01,"⚠ Faltan "&amp;TEXT(N(H239)-N(L239),"0.0")&amp;" h por reportar","✔ OK"))))))))</f>
        <v/>
      </c>
    </row>
    <row r="240" customFormat="false" ht="15" hidden="false" customHeight="false" outlineLevel="0" collapsed="false">
      <c r="A240" s="17"/>
      <c r="B240" s="18"/>
      <c r="C240" s="13" t="str">
        <f aca="false">IF(B240="","",IFERROR(INDEX(Personal!$C$5:$C$104,MATCH(B240,Personal!$B$5:$B$104,0)),""))</f>
        <v/>
      </c>
      <c r="D240" s="18"/>
      <c r="E240" s="19"/>
      <c r="F240" s="19"/>
      <c r="G240" s="20"/>
      <c r="H240" s="16" t="str">
        <f aca="false">IF(OR(E240="",F240=""),"",ROUND(MOD(F240-E240,1)*24-N(G240),2))</f>
        <v/>
      </c>
      <c r="I240" s="18"/>
      <c r="J240" s="18"/>
      <c r="K240" s="18"/>
      <c r="L240" s="16" t="str">
        <f aca="false">IF(OR(A240="",B240=""),"",SUMIFS('Registro por hora'!$H$5:$H$2004,'Registro por hora'!$A$5:$A$2004,A240,'Registro por hora'!$B$5:$B$2004,B240))</f>
        <v/>
      </c>
      <c r="M240" s="13" t="str">
        <f aca="false">IF(B240="","",IF(D240="","⚠ Falta estado",IF(AND(OR(D240="Ausente",D240="Medio día"),I240=""),"⚠ Falta motivo",IF(AND(OR(D240="Ausente",D240="Medio día"),J240=""),"⚠ Falta explicación",IF(D240="Ausente","✔ Ausencia justificada",IF(OR(E240="",F240=""),"⚠ Falta hora de entrada/salida",IF(K240="","⚠ Falta resumen del día",IF(N(L240)&lt;N(H240)-0.01,"⚠ Faltan "&amp;TEXT(N(H240)-N(L240),"0.0")&amp;" h por reportar","✔ OK"))))))))</f>
        <v/>
      </c>
    </row>
    <row r="241" customFormat="false" ht="15" hidden="false" customHeight="false" outlineLevel="0" collapsed="false">
      <c r="A241" s="17"/>
      <c r="B241" s="18"/>
      <c r="C241" s="13" t="str">
        <f aca="false">IF(B241="","",IFERROR(INDEX(Personal!$C$5:$C$104,MATCH(B241,Personal!$B$5:$B$104,0)),""))</f>
        <v/>
      </c>
      <c r="D241" s="18"/>
      <c r="E241" s="19"/>
      <c r="F241" s="19"/>
      <c r="G241" s="20"/>
      <c r="H241" s="16" t="str">
        <f aca="false">IF(OR(E241="",F241=""),"",ROUND(MOD(F241-E241,1)*24-N(G241),2))</f>
        <v/>
      </c>
      <c r="I241" s="18"/>
      <c r="J241" s="18"/>
      <c r="K241" s="18"/>
      <c r="L241" s="16" t="str">
        <f aca="false">IF(OR(A241="",B241=""),"",SUMIFS('Registro por hora'!$H$5:$H$2004,'Registro por hora'!$A$5:$A$2004,A241,'Registro por hora'!$B$5:$B$2004,B241))</f>
        <v/>
      </c>
      <c r="M241" s="13" t="str">
        <f aca="false">IF(B241="","",IF(D241="","⚠ Falta estado",IF(AND(OR(D241="Ausente",D241="Medio día"),I241=""),"⚠ Falta motivo",IF(AND(OR(D241="Ausente",D241="Medio día"),J241=""),"⚠ Falta explicación",IF(D241="Ausente","✔ Ausencia justificada",IF(OR(E241="",F241=""),"⚠ Falta hora de entrada/salida",IF(K241="","⚠ Falta resumen del día",IF(N(L241)&lt;N(H241)-0.01,"⚠ Faltan "&amp;TEXT(N(H241)-N(L241),"0.0")&amp;" h por reportar","✔ OK"))))))))</f>
        <v/>
      </c>
    </row>
    <row r="242" customFormat="false" ht="15" hidden="false" customHeight="false" outlineLevel="0" collapsed="false">
      <c r="A242" s="17"/>
      <c r="B242" s="18"/>
      <c r="C242" s="13" t="str">
        <f aca="false">IF(B242="","",IFERROR(INDEX(Personal!$C$5:$C$104,MATCH(B242,Personal!$B$5:$B$104,0)),""))</f>
        <v/>
      </c>
      <c r="D242" s="18"/>
      <c r="E242" s="19"/>
      <c r="F242" s="19"/>
      <c r="G242" s="20"/>
      <c r="H242" s="16" t="str">
        <f aca="false">IF(OR(E242="",F242=""),"",ROUND(MOD(F242-E242,1)*24-N(G242),2))</f>
        <v/>
      </c>
      <c r="I242" s="18"/>
      <c r="J242" s="18"/>
      <c r="K242" s="18"/>
      <c r="L242" s="16" t="str">
        <f aca="false">IF(OR(A242="",B242=""),"",SUMIFS('Registro por hora'!$H$5:$H$2004,'Registro por hora'!$A$5:$A$2004,A242,'Registro por hora'!$B$5:$B$2004,B242))</f>
        <v/>
      </c>
      <c r="M242" s="13" t="str">
        <f aca="false">IF(B242="","",IF(D242="","⚠ Falta estado",IF(AND(OR(D242="Ausente",D242="Medio día"),I242=""),"⚠ Falta motivo",IF(AND(OR(D242="Ausente",D242="Medio día"),J242=""),"⚠ Falta explicación",IF(D242="Ausente","✔ Ausencia justificada",IF(OR(E242="",F242=""),"⚠ Falta hora de entrada/salida",IF(K242="","⚠ Falta resumen del día",IF(N(L242)&lt;N(H242)-0.01,"⚠ Faltan "&amp;TEXT(N(H242)-N(L242),"0.0")&amp;" h por reportar","✔ OK"))))))))</f>
        <v/>
      </c>
    </row>
    <row r="243" customFormat="false" ht="15" hidden="false" customHeight="false" outlineLevel="0" collapsed="false">
      <c r="A243" s="17"/>
      <c r="B243" s="18"/>
      <c r="C243" s="13" t="str">
        <f aca="false">IF(B243="","",IFERROR(INDEX(Personal!$C$5:$C$104,MATCH(B243,Personal!$B$5:$B$104,0)),""))</f>
        <v/>
      </c>
      <c r="D243" s="18"/>
      <c r="E243" s="19"/>
      <c r="F243" s="19"/>
      <c r="G243" s="20"/>
      <c r="H243" s="16" t="str">
        <f aca="false">IF(OR(E243="",F243=""),"",ROUND(MOD(F243-E243,1)*24-N(G243),2))</f>
        <v/>
      </c>
      <c r="I243" s="18"/>
      <c r="J243" s="18"/>
      <c r="K243" s="18"/>
      <c r="L243" s="16" t="str">
        <f aca="false">IF(OR(A243="",B243=""),"",SUMIFS('Registro por hora'!$H$5:$H$2004,'Registro por hora'!$A$5:$A$2004,A243,'Registro por hora'!$B$5:$B$2004,B243))</f>
        <v/>
      </c>
      <c r="M243" s="13" t="str">
        <f aca="false">IF(B243="","",IF(D243="","⚠ Falta estado",IF(AND(OR(D243="Ausente",D243="Medio día"),I243=""),"⚠ Falta motivo",IF(AND(OR(D243="Ausente",D243="Medio día"),J243=""),"⚠ Falta explicación",IF(D243="Ausente","✔ Ausencia justificada",IF(OR(E243="",F243=""),"⚠ Falta hora de entrada/salida",IF(K243="","⚠ Falta resumen del día",IF(N(L243)&lt;N(H243)-0.01,"⚠ Faltan "&amp;TEXT(N(H243)-N(L243),"0.0")&amp;" h por reportar","✔ OK"))))))))</f>
        <v/>
      </c>
    </row>
    <row r="244" customFormat="false" ht="15" hidden="false" customHeight="false" outlineLevel="0" collapsed="false">
      <c r="A244" s="17"/>
      <c r="B244" s="18"/>
      <c r="C244" s="13" t="str">
        <f aca="false">IF(B244="","",IFERROR(INDEX(Personal!$C$5:$C$104,MATCH(B244,Personal!$B$5:$B$104,0)),""))</f>
        <v/>
      </c>
      <c r="D244" s="18"/>
      <c r="E244" s="19"/>
      <c r="F244" s="19"/>
      <c r="G244" s="20"/>
      <c r="H244" s="16" t="str">
        <f aca="false">IF(OR(E244="",F244=""),"",ROUND(MOD(F244-E244,1)*24-N(G244),2))</f>
        <v/>
      </c>
      <c r="I244" s="18"/>
      <c r="J244" s="18"/>
      <c r="K244" s="18"/>
      <c r="L244" s="16" t="str">
        <f aca="false">IF(OR(A244="",B244=""),"",SUMIFS('Registro por hora'!$H$5:$H$2004,'Registro por hora'!$A$5:$A$2004,A244,'Registro por hora'!$B$5:$B$2004,B244))</f>
        <v/>
      </c>
      <c r="M244" s="13" t="str">
        <f aca="false">IF(B244="","",IF(D244="","⚠ Falta estado",IF(AND(OR(D244="Ausente",D244="Medio día"),I244=""),"⚠ Falta motivo",IF(AND(OR(D244="Ausente",D244="Medio día"),J244=""),"⚠ Falta explicación",IF(D244="Ausente","✔ Ausencia justificada",IF(OR(E244="",F244=""),"⚠ Falta hora de entrada/salida",IF(K244="","⚠ Falta resumen del día",IF(N(L244)&lt;N(H244)-0.01,"⚠ Faltan "&amp;TEXT(N(H244)-N(L244),"0.0")&amp;" h por reportar","✔ OK"))))))))</f>
        <v/>
      </c>
    </row>
    <row r="245" customFormat="false" ht="15" hidden="false" customHeight="false" outlineLevel="0" collapsed="false">
      <c r="A245" s="17"/>
      <c r="B245" s="18"/>
      <c r="C245" s="13" t="str">
        <f aca="false">IF(B245="","",IFERROR(INDEX(Personal!$C$5:$C$104,MATCH(B245,Personal!$B$5:$B$104,0)),""))</f>
        <v/>
      </c>
      <c r="D245" s="18"/>
      <c r="E245" s="19"/>
      <c r="F245" s="19"/>
      <c r="G245" s="20"/>
      <c r="H245" s="16" t="str">
        <f aca="false">IF(OR(E245="",F245=""),"",ROUND(MOD(F245-E245,1)*24-N(G245),2))</f>
        <v/>
      </c>
      <c r="I245" s="18"/>
      <c r="J245" s="18"/>
      <c r="K245" s="18"/>
      <c r="L245" s="16" t="str">
        <f aca="false">IF(OR(A245="",B245=""),"",SUMIFS('Registro por hora'!$H$5:$H$2004,'Registro por hora'!$A$5:$A$2004,A245,'Registro por hora'!$B$5:$B$2004,B245))</f>
        <v/>
      </c>
      <c r="M245" s="13" t="str">
        <f aca="false">IF(B245="","",IF(D245="","⚠ Falta estado",IF(AND(OR(D245="Ausente",D245="Medio día"),I245=""),"⚠ Falta motivo",IF(AND(OR(D245="Ausente",D245="Medio día"),J245=""),"⚠ Falta explicación",IF(D245="Ausente","✔ Ausencia justificada",IF(OR(E245="",F245=""),"⚠ Falta hora de entrada/salida",IF(K245="","⚠ Falta resumen del día",IF(N(L245)&lt;N(H245)-0.01,"⚠ Faltan "&amp;TEXT(N(H245)-N(L245),"0.0")&amp;" h por reportar","✔ OK"))))))))</f>
        <v/>
      </c>
    </row>
    <row r="246" customFormat="false" ht="15" hidden="false" customHeight="false" outlineLevel="0" collapsed="false">
      <c r="A246" s="17"/>
      <c r="B246" s="18"/>
      <c r="C246" s="13" t="str">
        <f aca="false">IF(B246="","",IFERROR(INDEX(Personal!$C$5:$C$104,MATCH(B246,Personal!$B$5:$B$104,0)),""))</f>
        <v/>
      </c>
      <c r="D246" s="18"/>
      <c r="E246" s="19"/>
      <c r="F246" s="19"/>
      <c r="G246" s="20"/>
      <c r="H246" s="16" t="str">
        <f aca="false">IF(OR(E246="",F246=""),"",ROUND(MOD(F246-E246,1)*24-N(G246),2))</f>
        <v/>
      </c>
      <c r="I246" s="18"/>
      <c r="J246" s="18"/>
      <c r="K246" s="18"/>
      <c r="L246" s="16" t="str">
        <f aca="false">IF(OR(A246="",B246=""),"",SUMIFS('Registro por hora'!$H$5:$H$2004,'Registro por hora'!$A$5:$A$2004,A246,'Registro por hora'!$B$5:$B$2004,B246))</f>
        <v/>
      </c>
      <c r="M246" s="13" t="str">
        <f aca="false">IF(B246="","",IF(D246="","⚠ Falta estado",IF(AND(OR(D246="Ausente",D246="Medio día"),I246=""),"⚠ Falta motivo",IF(AND(OR(D246="Ausente",D246="Medio día"),J246=""),"⚠ Falta explicación",IF(D246="Ausente","✔ Ausencia justificada",IF(OR(E246="",F246=""),"⚠ Falta hora de entrada/salida",IF(K246="","⚠ Falta resumen del día",IF(N(L246)&lt;N(H246)-0.01,"⚠ Faltan "&amp;TEXT(N(H246)-N(L246),"0.0")&amp;" h por reportar","✔ OK"))))))))</f>
        <v/>
      </c>
    </row>
    <row r="247" customFormat="false" ht="15" hidden="false" customHeight="false" outlineLevel="0" collapsed="false">
      <c r="A247" s="17"/>
      <c r="B247" s="18"/>
      <c r="C247" s="13" t="str">
        <f aca="false">IF(B247="","",IFERROR(INDEX(Personal!$C$5:$C$104,MATCH(B247,Personal!$B$5:$B$104,0)),""))</f>
        <v/>
      </c>
      <c r="D247" s="18"/>
      <c r="E247" s="19"/>
      <c r="F247" s="19"/>
      <c r="G247" s="20"/>
      <c r="H247" s="16" t="str">
        <f aca="false">IF(OR(E247="",F247=""),"",ROUND(MOD(F247-E247,1)*24-N(G247),2))</f>
        <v/>
      </c>
      <c r="I247" s="18"/>
      <c r="J247" s="18"/>
      <c r="K247" s="18"/>
      <c r="L247" s="16" t="str">
        <f aca="false">IF(OR(A247="",B247=""),"",SUMIFS('Registro por hora'!$H$5:$H$2004,'Registro por hora'!$A$5:$A$2004,A247,'Registro por hora'!$B$5:$B$2004,B247))</f>
        <v/>
      </c>
      <c r="M247" s="13" t="str">
        <f aca="false">IF(B247="","",IF(D247="","⚠ Falta estado",IF(AND(OR(D247="Ausente",D247="Medio día"),I247=""),"⚠ Falta motivo",IF(AND(OR(D247="Ausente",D247="Medio día"),J247=""),"⚠ Falta explicación",IF(D247="Ausente","✔ Ausencia justificada",IF(OR(E247="",F247=""),"⚠ Falta hora de entrada/salida",IF(K247="","⚠ Falta resumen del día",IF(N(L247)&lt;N(H247)-0.01,"⚠ Faltan "&amp;TEXT(N(H247)-N(L247),"0.0")&amp;" h por reportar","✔ OK"))))))))</f>
        <v/>
      </c>
    </row>
    <row r="248" customFormat="false" ht="15" hidden="false" customHeight="false" outlineLevel="0" collapsed="false">
      <c r="A248" s="17"/>
      <c r="B248" s="18"/>
      <c r="C248" s="13" t="str">
        <f aca="false">IF(B248="","",IFERROR(INDEX(Personal!$C$5:$C$104,MATCH(B248,Personal!$B$5:$B$104,0)),""))</f>
        <v/>
      </c>
      <c r="D248" s="18"/>
      <c r="E248" s="19"/>
      <c r="F248" s="19"/>
      <c r="G248" s="20"/>
      <c r="H248" s="16" t="str">
        <f aca="false">IF(OR(E248="",F248=""),"",ROUND(MOD(F248-E248,1)*24-N(G248),2))</f>
        <v/>
      </c>
      <c r="I248" s="18"/>
      <c r="J248" s="18"/>
      <c r="K248" s="18"/>
      <c r="L248" s="16" t="str">
        <f aca="false">IF(OR(A248="",B248=""),"",SUMIFS('Registro por hora'!$H$5:$H$2004,'Registro por hora'!$A$5:$A$2004,A248,'Registro por hora'!$B$5:$B$2004,B248))</f>
        <v/>
      </c>
      <c r="M248" s="13" t="str">
        <f aca="false">IF(B248="","",IF(D248="","⚠ Falta estado",IF(AND(OR(D248="Ausente",D248="Medio día"),I248=""),"⚠ Falta motivo",IF(AND(OR(D248="Ausente",D248="Medio día"),J248=""),"⚠ Falta explicación",IF(D248="Ausente","✔ Ausencia justificada",IF(OR(E248="",F248=""),"⚠ Falta hora de entrada/salida",IF(K248="","⚠ Falta resumen del día",IF(N(L248)&lt;N(H248)-0.01,"⚠ Faltan "&amp;TEXT(N(H248)-N(L248),"0.0")&amp;" h por reportar","✔ OK"))))))))</f>
        <v/>
      </c>
    </row>
    <row r="249" customFormat="false" ht="15" hidden="false" customHeight="false" outlineLevel="0" collapsed="false">
      <c r="A249" s="17"/>
      <c r="B249" s="18"/>
      <c r="C249" s="13" t="str">
        <f aca="false">IF(B249="","",IFERROR(INDEX(Personal!$C$5:$C$104,MATCH(B249,Personal!$B$5:$B$104,0)),""))</f>
        <v/>
      </c>
      <c r="D249" s="18"/>
      <c r="E249" s="19"/>
      <c r="F249" s="19"/>
      <c r="G249" s="20"/>
      <c r="H249" s="16" t="str">
        <f aca="false">IF(OR(E249="",F249=""),"",ROUND(MOD(F249-E249,1)*24-N(G249),2))</f>
        <v/>
      </c>
      <c r="I249" s="18"/>
      <c r="J249" s="18"/>
      <c r="K249" s="18"/>
      <c r="L249" s="16" t="str">
        <f aca="false">IF(OR(A249="",B249=""),"",SUMIFS('Registro por hora'!$H$5:$H$2004,'Registro por hora'!$A$5:$A$2004,A249,'Registro por hora'!$B$5:$B$2004,B249))</f>
        <v/>
      </c>
      <c r="M249" s="13" t="str">
        <f aca="false">IF(B249="","",IF(D249="","⚠ Falta estado",IF(AND(OR(D249="Ausente",D249="Medio día"),I249=""),"⚠ Falta motivo",IF(AND(OR(D249="Ausente",D249="Medio día"),J249=""),"⚠ Falta explicación",IF(D249="Ausente","✔ Ausencia justificada",IF(OR(E249="",F249=""),"⚠ Falta hora de entrada/salida",IF(K249="","⚠ Falta resumen del día",IF(N(L249)&lt;N(H249)-0.01,"⚠ Faltan "&amp;TEXT(N(H249)-N(L249),"0.0")&amp;" h por reportar","✔ OK"))))))))</f>
        <v/>
      </c>
    </row>
    <row r="250" customFormat="false" ht="15" hidden="false" customHeight="false" outlineLevel="0" collapsed="false">
      <c r="A250" s="17"/>
      <c r="B250" s="18"/>
      <c r="C250" s="13" t="str">
        <f aca="false">IF(B250="","",IFERROR(INDEX(Personal!$C$5:$C$104,MATCH(B250,Personal!$B$5:$B$104,0)),""))</f>
        <v/>
      </c>
      <c r="D250" s="18"/>
      <c r="E250" s="19"/>
      <c r="F250" s="19"/>
      <c r="G250" s="20"/>
      <c r="H250" s="16" t="str">
        <f aca="false">IF(OR(E250="",F250=""),"",ROUND(MOD(F250-E250,1)*24-N(G250),2))</f>
        <v/>
      </c>
      <c r="I250" s="18"/>
      <c r="J250" s="18"/>
      <c r="K250" s="18"/>
      <c r="L250" s="16" t="str">
        <f aca="false">IF(OR(A250="",B250=""),"",SUMIFS('Registro por hora'!$H$5:$H$2004,'Registro por hora'!$A$5:$A$2004,A250,'Registro por hora'!$B$5:$B$2004,B250))</f>
        <v/>
      </c>
      <c r="M250" s="13" t="str">
        <f aca="false">IF(B250="","",IF(D250="","⚠ Falta estado",IF(AND(OR(D250="Ausente",D250="Medio día"),I250=""),"⚠ Falta motivo",IF(AND(OR(D250="Ausente",D250="Medio día"),J250=""),"⚠ Falta explicación",IF(D250="Ausente","✔ Ausencia justificada",IF(OR(E250="",F250=""),"⚠ Falta hora de entrada/salida",IF(K250="","⚠ Falta resumen del día",IF(N(L250)&lt;N(H250)-0.01,"⚠ Faltan "&amp;TEXT(N(H250)-N(L250),"0.0")&amp;" h por reportar","✔ OK"))))))))</f>
        <v/>
      </c>
    </row>
    <row r="251" customFormat="false" ht="15" hidden="false" customHeight="false" outlineLevel="0" collapsed="false">
      <c r="A251" s="17"/>
      <c r="B251" s="18"/>
      <c r="C251" s="13" t="str">
        <f aca="false">IF(B251="","",IFERROR(INDEX(Personal!$C$5:$C$104,MATCH(B251,Personal!$B$5:$B$104,0)),""))</f>
        <v/>
      </c>
      <c r="D251" s="18"/>
      <c r="E251" s="19"/>
      <c r="F251" s="19"/>
      <c r="G251" s="20"/>
      <c r="H251" s="16" t="str">
        <f aca="false">IF(OR(E251="",F251=""),"",ROUND(MOD(F251-E251,1)*24-N(G251),2))</f>
        <v/>
      </c>
      <c r="I251" s="18"/>
      <c r="J251" s="18"/>
      <c r="K251" s="18"/>
      <c r="L251" s="16" t="str">
        <f aca="false">IF(OR(A251="",B251=""),"",SUMIFS('Registro por hora'!$H$5:$H$2004,'Registro por hora'!$A$5:$A$2004,A251,'Registro por hora'!$B$5:$B$2004,B251))</f>
        <v/>
      </c>
      <c r="M251" s="13" t="str">
        <f aca="false">IF(B251="","",IF(D251="","⚠ Falta estado",IF(AND(OR(D251="Ausente",D251="Medio día"),I251=""),"⚠ Falta motivo",IF(AND(OR(D251="Ausente",D251="Medio día"),J251=""),"⚠ Falta explicación",IF(D251="Ausente","✔ Ausencia justificada",IF(OR(E251="",F251=""),"⚠ Falta hora de entrada/salida",IF(K251="","⚠ Falta resumen del día",IF(N(L251)&lt;N(H251)-0.01,"⚠ Faltan "&amp;TEXT(N(H251)-N(L251),"0.0")&amp;" h por reportar","✔ OK"))))))))</f>
        <v/>
      </c>
    </row>
    <row r="252" customFormat="false" ht="15" hidden="false" customHeight="false" outlineLevel="0" collapsed="false">
      <c r="A252" s="17"/>
      <c r="B252" s="18"/>
      <c r="C252" s="13" t="str">
        <f aca="false">IF(B252="","",IFERROR(INDEX(Personal!$C$5:$C$104,MATCH(B252,Personal!$B$5:$B$104,0)),""))</f>
        <v/>
      </c>
      <c r="D252" s="18"/>
      <c r="E252" s="19"/>
      <c r="F252" s="19"/>
      <c r="G252" s="20"/>
      <c r="H252" s="16" t="str">
        <f aca="false">IF(OR(E252="",F252=""),"",ROUND(MOD(F252-E252,1)*24-N(G252),2))</f>
        <v/>
      </c>
      <c r="I252" s="18"/>
      <c r="J252" s="18"/>
      <c r="K252" s="18"/>
      <c r="L252" s="16" t="str">
        <f aca="false">IF(OR(A252="",B252=""),"",SUMIFS('Registro por hora'!$H$5:$H$2004,'Registro por hora'!$A$5:$A$2004,A252,'Registro por hora'!$B$5:$B$2004,B252))</f>
        <v/>
      </c>
      <c r="M252" s="13" t="str">
        <f aca="false">IF(B252="","",IF(D252="","⚠ Falta estado",IF(AND(OR(D252="Ausente",D252="Medio día"),I252=""),"⚠ Falta motivo",IF(AND(OR(D252="Ausente",D252="Medio día"),J252=""),"⚠ Falta explicación",IF(D252="Ausente","✔ Ausencia justificada",IF(OR(E252="",F252=""),"⚠ Falta hora de entrada/salida",IF(K252="","⚠ Falta resumen del día",IF(N(L252)&lt;N(H252)-0.01,"⚠ Faltan "&amp;TEXT(N(H252)-N(L252),"0.0")&amp;" h por reportar","✔ OK"))))))))</f>
        <v/>
      </c>
    </row>
    <row r="253" customFormat="false" ht="15" hidden="false" customHeight="false" outlineLevel="0" collapsed="false">
      <c r="A253" s="17"/>
      <c r="B253" s="18"/>
      <c r="C253" s="13" t="str">
        <f aca="false">IF(B253="","",IFERROR(INDEX(Personal!$C$5:$C$104,MATCH(B253,Personal!$B$5:$B$104,0)),""))</f>
        <v/>
      </c>
      <c r="D253" s="18"/>
      <c r="E253" s="19"/>
      <c r="F253" s="19"/>
      <c r="G253" s="20"/>
      <c r="H253" s="16" t="str">
        <f aca="false">IF(OR(E253="",F253=""),"",ROUND(MOD(F253-E253,1)*24-N(G253),2))</f>
        <v/>
      </c>
      <c r="I253" s="18"/>
      <c r="J253" s="18"/>
      <c r="K253" s="18"/>
      <c r="L253" s="16" t="str">
        <f aca="false">IF(OR(A253="",B253=""),"",SUMIFS('Registro por hora'!$H$5:$H$2004,'Registro por hora'!$A$5:$A$2004,A253,'Registro por hora'!$B$5:$B$2004,B253))</f>
        <v/>
      </c>
      <c r="M253" s="13" t="str">
        <f aca="false">IF(B253="","",IF(D253="","⚠ Falta estado",IF(AND(OR(D253="Ausente",D253="Medio día"),I253=""),"⚠ Falta motivo",IF(AND(OR(D253="Ausente",D253="Medio día"),J253=""),"⚠ Falta explicación",IF(D253="Ausente","✔ Ausencia justificada",IF(OR(E253="",F253=""),"⚠ Falta hora de entrada/salida",IF(K253="","⚠ Falta resumen del día",IF(N(L253)&lt;N(H253)-0.01,"⚠ Faltan "&amp;TEXT(N(H253)-N(L253),"0.0")&amp;" h por reportar","✔ OK"))))))))</f>
        <v/>
      </c>
    </row>
    <row r="254" customFormat="false" ht="15" hidden="false" customHeight="false" outlineLevel="0" collapsed="false">
      <c r="A254" s="17"/>
      <c r="B254" s="18"/>
      <c r="C254" s="13" t="str">
        <f aca="false">IF(B254="","",IFERROR(INDEX(Personal!$C$5:$C$104,MATCH(B254,Personal!$B$5:$B$104,0)),""))</f>
        <v/>
      </c>
      <c r="D254" s="18"/>
      <c r="E254" s="19"/>
      <c r="F254" s="19"/>
      <c r="G254" s="20"/>
      <c r="H254" s="16" t="str">
        <f aca="false">IF(OR(E254="",F254=""),"",ROUND(MOD(F254-E254,1)*24-N(G254),2))</f>
        <v/>
      </c>
      <c r="I254" s="18"/>
      <c r="J254" s="18"/>
      <c r="K254" s="18"/>
      <c r="L254" s="16" t="str">
        <f aca="false">IF(OR(A254="",B254=""),"",SUMIFS('Registro por hora'!$H$5:$H$2004,'Registro por hora'!$A$5:$A$2004,A254,'Registro por hora'!$B$5:$B$2004,B254))</f>
        <v/>
      </c>
      <c r="M254" s="13" t="str">
        <f aca="false">IF(B254="","",IF(D254="","⚠ Falta estado",IF(AND(OR(D254="Ausente",D254="Medio día"),I254=""),"⚠ Falta motivo",IF(AND(OR(D254="Ausente",D254="Medio día"),J254=""),"⚠ Falta explicación",IF(D254="Ausente","✔ Ausencia justificada",IF(OR(E254="",F254=""),"⚠ Falta hora de entrada/salida",IF(K254="","⚠ Falta resumen del día",IF(N(L254)&lt;N(H254)-0.01,"⚠ Faltan "&amp;TEXT(N(H254)-N(L254),"0.0")&amp;" h por reportar","✔ OK"))))))))</f>
        <v/>
      </c>
    </row>
    <row r="255" customFormat="false" ht="15" hidden="false" customHeight="false" outlineLevel="0" collapsed="false">
      <c r="A255" s="17"/>
      <c r="B255" s="18"/>
      <c r="C255" s="13" t="str">
        <f aca="false">IF(B255="","",IFERROR(INDEX(Personal!$C$5:$C$104,MATCH(B255,Personal!$B$5:$B$104,0)),""))</f>
        <v/>
      </c>
      <c r="D255" s="18"/>
      <c r="E255" s="19"/>
      <c r="F255" s="19"/>
      <c r="G255" s="20"/>
      <c r="H255" s="16" t="str">
        <f aca="false">IF(OR(E255="",F255=""),"",ROUND(MOD(F255-E255,1)*24-N(G255),2))</f>
        <v/>
      </c>
      <c r="I255" s="18"/>
      <c r="J255" s="18"/>
      <c r="K255" s="18"/>
      <c r="L255" s="16" t="str">
        <f aca="false">IF(OR(A255="",B255=""),"",SUMIFS('Registro por hora'!$H$5:$H$2004,'Registro por hora'!$A$5:$A$2004,A255,'Registro por hora'!$B$5:$B$2004,B255))</f>
        <v/>
      </c>
      <c r="M255" s="13" t="str">
        <f aca="false">IF(B255="","",IF(D255="","⚠ Falta estado",IF(AND(OR(D255="Ausente",D255="Medio día"),I255=""),"⚠ Falta motivo",IF(AND(OR(D255="Ausente",D255="Medio día"),J255=""),"⚠ Falta explicación",IF(D255="Ausente","✔ Ausencia justificada",IF(OR(E255="",F255=""),"⚠ Falta hora de entrada/salida",IF(K255="","⚠ Falta resumen del día",IF(N(L255)&lt;N(H255)-0.01,"⚠ Faltan "&amp;TEXT(N(H255)-N(L255),"0.0")&amp;" h por reportar","✔ OK"))))))))</f>
        <v/>
      </c>
    </row>
    <row r="256" customFormat="false" ht="15" hidden="false" customHeight="false" outlineLevel="0" collapsed="false">
      <c r="A256" s="17"/>
      <c r="B256" s="18"/>
      <c r="C256" s="13" t="str">
        <f aca="false">IF(B256="","",IFERROR(INDEX(Personal!$C$5:$C$104,MATCH(B256,Personal!$B$5:$B$104,0)),""))</f>
        <v/>
      </c>
      <c r="D256" s="18"/>
      <c r="E256" s="19"/>
      <c r="F256" s="19"/>
      <c r="G256" s="20"/>
      <c r="H256" s="16" t="str">
        <f aca="false">IF(OR(E256="",F256=""),"",ROUND(MOD(F256-E256,1)*24-N(G256),2))</f>
        <v/>
      </c>
      <c r="I256" s="18"/>
      <c r="J256" s="18"/>
      <c r="K256" s="18"/>
      <c r="L256" s="16" t="str">
        <f aca="false">IF(OR(A256="",B256=""),"",SUMIFS('Registro por hora'!$H$5:$H$2004,'Registro por hora'!$A$5:$A$2004,A256,'Registro por hora'!$B$5:$B$2004,B256))</f>
        <v/>
      </c>
      <c r="M256" s="13" t="str">
        <f aca="false">IF(B256="","",IF(D256="","⚠ Falta estado",IF(AND(OR(D256="Ausente",D256="Medio día"),I256=""),"⚠ Falta motivo",IF(AND(OR(D256="Ausente",D256="Medio día"),J256=""),"⚠ Falta explicación",IF(D256="Ausente","✔ Ausencia justificada",IF(OR(E256="",F256=""),"⚠ Falta hora de entrada/salida",IF(K256="","⚠ Falta resumen del día",IF(N(L256)&lt;N(H256)-0.01,"⚠ Faltan "&amp;TEXT(N(H256)-N(L256),"0.0")&amp;" h por reportar","✔ OK"))))))))</f>
        <v/>
      </c>
    </row>
    <row r="257" customFormat="false" ht="15" hidden="false" customHeight="false" outlineLevel="0" collapsed="false">
      <c r="A257" s="17"/>
      <c r="B257" s="18"/>
      <c r="C257" s="13" t="str">
        <f aca="false">IF(B257="","",IFERROR(INDEX(Personal!$C$5:$C$104,MATCH(B257,Personal!$B$5:$B$104,0)),""))</f>
        <v/>
      </c>
      <c r="D257" s="18"/>
      <c r="E257" s="19"/>
      <c r="F257" s="19"/>
      <c r="G257" s="20"/>
      <c r="H257" s="16" t="str">
        <f aca="false">IF(OR(E257="",F257=""),"",ROUND(MOD(F257-E257,1)*24-N(G257),2))</f>
        <v/>
      </c>
      <c r="I257" s="18"/>
      <c r="J257" s="18"/>
      <c r="K257" s="18"/>
      <c r="L257" s="16" t="str">
        <f aca="false">IF(OR(A257="",B257=""),"",SUMIFS('Registro por hora'!$H$5:$H$2004,'Registro por hora'!$A$5:$A$2004,A257,'Registro por hora'!$B$5:$B$2004,B257))</f>
        <v/>
      </c>
      <c r="M257" s="13" t="str">
        <f aca="false">IF(B257="","",IF(D257="","⚠ Falta estado",IF(AND(OR(D257="Ausente",D257="Medio día"),I257=""),"⚠ Falta motivo",IF(AND(OR(D257="Ausente",D257="Medio día"),J257=""),"⚠ Falta explicación",IF(D257="Ausente","✔ Ausencia justificada",IF(OR(E257="",F257=""),"⚠ Falta hora de entrada/salida",IF(K257="","⚠ Falta resumen del día",IF(N(L257)&lt;N(H257)-0.01,"⚠ Faltan "&amp;TEXT(N(H257)-N(L257),"0.0")&amp;" h por reportar","✔ OK"))))))))</f>
        <v/>
      </c>
    </row>
    <row r="258" customFormat="false" ht="15" hidden="false" customHeight="false" outlineLevel="0" collapsed="false">
      <c r="A258" s="17"/>
      <c r="B258" s="18"/>
      <c r="C258" s="13" t="str">
        <f aca="false">IF(B258="","",IFERROR(INDEX(Personal!$C$5:$C$104,MATCH(B258,Personal!$B$5:$B$104,0)),""))</f>
        <v/>
      </c>
      <c r="D258" s="18"/>
      <c r="E258" s="19"/>
      <c r="F258" s="19"/>
      <c r="G258" s="20"/>
      <c r="H258" s="16" t="str">
        <f aca="false">IF(OR(E258="",F258=""),"",ROUND(MOD(F258-E258,1)*24-N(G258),2))</f>
        <v/>
      </c>
      <c r="I258" s="18"/>
      <c r="J258" s="18"/>
      <c r="K258" s="18"/>
      <c r="L258" s="16" t="str">
        <f aca="false">IF(OR(A258="",B258=""),"",SUMIFS('Registro por hora'!$H$5:$H$2004,'Registro por hora'!$A$5:$A$2004,A258,'Registro por hora'!$B$5:$B$2004,B258))</f>
        <v/>
      </c>
      <c r="M258" s="13" t="str">
        <f aca="false">IF(B258="","",IF(D258="","⚠ Falta estado",IF(AND(OR(D258="Ausente",D258="Medio día"),I258=""),"⚠ Falta motivo",IF(AND(OR(D258="Ausente",D258="Medio día"),J258=""),"⚠ Falta explicación",IF(D258="Ausente","✔ Ausencia justificada",IF(OR(E258="",F258=""),"⚠ Falta hora de entrada/salida",IF(K258="","⚠ Falta resumen del día",IF(N(L258)&lt;N(H258)-0.01,"⚠ Faltan "&amp;TEXT(N(H258)-N(L258),"0.0")&amp;" h por reportar","✔ OK"))))))))</f>
        <v/>
      </c>
    </row>
    <row r="259" customFormat="false" ht="15" hidden="false" customHeight="false" outlineLevel="0" collapsed="false">
      <c r="A259" s="17"/>
      <c r="B259" s="18"/>
      <c r="C259" s="13" t="str">
        <f aca="false">IF(B259="","",IFERROR(INDEX(Personal!$C$5:$C$104,MATCH(B259,Personal!$B$5:$B$104,0)),""))</f>
        <v/>
      </c>
      <c r="D259" s="18"/>
      <c r="E259" s="19"/>
      <c r="F259" s="19"/>
      <c r="G259" s="20"/>
      <c r="H259" s="16" t="str">
        <f aca="false">IF(OR(E259="",F259=""),"",ROUND(MOD(F259-E259,1)*24-N(G259),2))</f>
        <v/>
      </c>
      <c r="I259" s="18"/>
      <c r="J259" s="18"/>
      <c r="K259" s="18"/>
      <c r="L259" s="16" t="str">
        <f aca="false">IF(OR(A259="",B259=""),"",SUMIFS('Registro por hora'!$H$5:$H$2004,'Registro por hora'!$A$5:$A$2004,A259,'Registro por hora'!$B$5:$B$2004,B259))</f>
        <v/>
      </c>
      <c r="M259" s="13" t="str">
        <f aca="false">IF(B259="","",IF(D259="","⚠ Falta estado",IF(AND(OR(D259="Ausente",D259="Medio día"),I259=""),"⚠ Falta motivo",IF(AND(OR(D259="Ausente",D259="Medio día"),J259=""),"⚠ Falta explicación",IF(D259="Ausente","✔ Ausencia justificada",IF(OR(E259="",F259=""),"⚠ Falta hora de entrada/salida",IF(K259="","⚠ Falta resumen del día",IF(N(L259)&lt;N(H259)-0.01,"⚠ Faltan "&amp;TEXT(N(H259)-N(L259),"0.0")&amp;" h por reportar","✔ OK"))))))))</f>
        <v/>
      </c>
    </row>
    <row r="260" customFormat="false" ht="15" hidden="false" customHeight="false" outlineLevel="0" collapsed="false">
      <c r="A260" s="17"/>
      <c r="B260" s="18"/>
      <c r="C260" s="13" t="str">
        <f aca="false">IF(B260="","",IFERROR(INDEX(Personal!$C$5:$C$104,MATCH(B260,Personal!$B$5:$B$104,0)),""))</f>
        <v/>
      </c>
      <c r="D260" s="18"/>
      <c r="E260" s="19"/>
      <c r="F260" s="19"/>
      <c r="G260" s="20"/>
      <c r="H260" s="16" t="str">
        <f aca="false">IF(OR(E260="",F260=""),"",ROUND(MOD(F260-E260,1)*24-N(G260),2))</f>
        <v/>
      </c>
      <c r="I260" s="18"/>
      <c r="J260" s="18"/>
      <c r="K260" s="18"/>
      <c r="L260" s="16" t="str">
        <f aca="false">IF(OR(A260="",B260=""),"",SUMIFS('Registro por hora'!$H$5:$H$2004,'Registro por hora'!$A$5:$A$2004,A260,'Registro por hora'!$B$5:$B$2004,B260))</f>
        <v/>
      </c>
      <c r="M260" s="13" t="str">
        <f aca="false">IF(B260="","",IF(D260="","⚠ Falta estado",IF(AND(OR(D260="Ausente",D260="Medio día"),I260=""),"⚠ Falta motivo",IF(AND(OR(D260="Ausente",D260="Medio día"),J260=""),"⚠ Falta explicación",IF(D260="Ausente","✔ Ausencia justificada",IF(OR(E260="",F260=""),"⚠ Falta hora de entrada/salida",IF(K260="","⚠ Falta resumen del día",IF(N(L260)&lt;N(H260)-0.01,"⚠ Faltan "&amp;TEXT(N(H260)-N(L260),"0.0")&amp;" h por reportar","✔ OK"))))))))</f>
        <v/>
      </c>
    </row>
    <row r="261" customFormat="false" ht="15" hidden="false" customHeight="false" outlineLevel="0" collapsed="false">
      <c r="A261" s="17"/>
      <c r="B261" s="18"/>
      <c r="C261" s="13" t="str">
        <f aca="false">IF(B261="","",IFERROR(INDEX(Personal!$C$5:$C$104,MATCH(B261,Personal!$B$5:$B$104,0)),""))</f>
        <v/>
      </c>
      <c r="D261" s="18"/>
      <c r="E261" s="19"/>
      <c r="F261" s="19"/>
      <c r="G261" s="20"/>
      <c r="H261" s="16" t="str">
        <f aca="false">IF(OR(E261="",F261=""),"",ROUND(MOD(F261-E261,1)*24-N(G261),2))</f>
        <v/>
      </c>
      <c r="I261" s="18"/>
      <c r="J261" s="18"/>
      <c r="K261" s="18"/>
      <c r="L261" s="16" t="str">
        <f aca="false">IF(OR(A261="",B261=""),"",SUMIFS('Registro por hora'!$H$5:$H$2004,'Registro por hora'!$A$5:$A$2004,A261,'Registro por hora'!$B$5:$B$2004,B261))</f>
        <v/>
      </c>
      <c r="M261" s="13" t="str">
        <f aca="false">IF(B261="","",IF(D261="","⚠ Falta estado",IF(AND(OR(D261="Ausente",D261="Medio día"),I261=""),"⚠ Falta motivo",IF(AND(OR(D261="Ausente",D261="Medio día"),J261=""),"⚠ Falta explicación",IF(D261="Ausente","✔ Ausencia justificada",IF(OR(E261="",F261=""),"⚠ Falta hora de entrada/salida",IF(K261="","⚠ Falta resumen del día",IF(N(L261)&lt;N(H261)-0.01,"⚠ Faltan "&amp;TEXT(N(H261)-N(L261),"0.0")&amp;" h por reportar","✔ OK"))))))))</f>
        <v/>
      </c>
    </row>
    <row r="262" customFormat="false" ht="15" hidden="false" customHeight="false" outlineLevel="0" collapsed="false">
      <c r="A262" s="17"/>
      <c r="B262" s="18"/>
      <c r="C262" s="13" t="str">
        <f aca="false">IF(B262="","",IFERROR(INDEX(Personal!$C$5:$C$104,MATCH(B262,Personal!$B$5:$B$104,0)),""))</f>
        <v/>
      </c>
      <c r="D262" s="18"/>
      <c r="E262" s="19"/>
      <c r="F262" s="19"/>
      <c r="G262" s="20"/>
      <c r="H262" s="16" t="str">
        <f aca="false">IF(OR(E262="",F262=""),"",ROUND(MOD(F262-E262,1)*24-N(G262),2))</f>
        <v/>
      </c>
      <c r="I262" s="18"/>
      <c r="J262" s="18"/>
      <c r="K262" s="18"/>
      <c r="L262" s="16" t="str">
        <f aca="false">IF(OR(A262="",B262=""),"",SUMIFS('Registro por hora'!$H$5:$H$2004,'Registro por hora'!$A$5:$A$2004,A262,'Registro por hora'!$B$5:$B$2004,B262))</f>
        <v/>
      </c>
      <c r="M262" s="13" t="str">
        <f aca="false">IF(B262="","",IF(D262="","⚠ Falta estado",IF(AND(OR(D262="Ausente",D262="Medio día"),I262=""),"⚠ Falta motivo",IF(AND(OR(D262="Ausente",D262="Medio día"),J262=""),"⚠ Falta explicación",IF(D262="Ausente","✔ Ausencia justificada",IF(OR(E262="",F262=""),"⚠ Falta hora de entrada/salida",IF(K262="","⚠ Falta resumen del día",IF(N(L262)&lt;N(H262)-0.01,"⚠ Faltan "&amp;TEXT(N(H262)-N(L262),"0.0")&amp;" h por reportar","✔ OK"))))))))</f>
        <v/>
      </c>
    </row>
    <row r="263" customFormat="false" ht="15" hidden="false" customHeight="false" outlineLevel="0" collapsed="false">
      <c r="A263" s="17"/>
      <c r="B263" s="18"/>
      <c r="C263" s="13" t="str">
        <f aca="false">IF(B263="","",IFERROR(INDEX(Personal!$C$5:$C$104,MATCH(B263,Personal!$B$5:$B$104,0)),""))</f>
        <v/>
      </c>
      <c r="D263" s="18"/>
      <c r="E263" s="19"/>
      <c r="F263" s="19"/>
      <c r="G263" s="20"/>
      <c r="H263" s="16" t="str">
        <f aca="false">IF(OR(E263="",F263=""),"",ROUND(MOD(F263-E263,1)*24-N(G263),2))</f>
        <v/>
      </c>
      <c r="I263" s="18"/>
      <c r="J263" s="18"/>
      <c r="K263" s="18"/>
      <c r="L263" s="16" t="str">
        <f aca="false">IF(OR(A263="",B263=""),"",SUMIFS('Registro por hora'!$H$5:$H$2004,'Registro por hora'!$A$5:$A$2004,A263,'Registro por hora'!$B$5:$B$2004,B263))</f>
        <v/>
      </c>
      <c r="M263" s="13" t="str">
        <f aca="false">IF(B263="","",IF(D263="","⚠ Falta estado",IF(AND(OR(D263="Ausente",D263="Medio día"),I263=""),"⚠ Falta motivo",IF(AND(OR(D263="Ausente",D263="Medio día"),J263=""),"⚠ Falta explicación",IF(D263="Ausente","✔ Ausencia justificada",IF(OR(E263="",F263=""),"⚠ Falta hora de entrada/salida",IF(K263="","⚠ Falta resumen del día",IF(N(L263)&lt;N(H263)-0.01,"⚠ Faltan "&amp;TEXT(N(H263)-N(L263),"0.0")&amp;" h por reportar","✔ OK"))))))))</f>
        <v/>
      </c>
    </row>
    <row r="264" customFormat="false" ht="15" hidden="false" customHeight="false" outlineLevel="0" collapsed="false">
      <c r="A264" s="17"/>
      <c r="B264" s="18"/>
      <c r="C264" s="13" t="str">
        <f aca="false">IF(B264="","",IFERROR(INDEX(Personal!$C$5:$C$104,MATCH(B264,Personal!$B$5:$B$104,0)),""))</f>
        <v/>
      </c>
      <c r="D264" s="18"/>
      <c r="E264" s="19"/>
      <c r="F264" s="19"/>
      <c r="G264" s="20"/>
      <c r="H264" s="16" t="str">
        <f aca="false">IF(OR(E264="",F264=""),"",ROUND(MOD(F264-E264,1)*24-N(G264),2))</f>
        <v/>
      </c>
      <c r="I264" s="18"/>
      <c r="J264" s="18"/>
      <c r="K264" s="18"/>
      <c r="L264" s="16" t="str">
        <f aca="false">IF(OR(A264="",B264=""),"",SUMIFS('Registro por hora'!$H$5:$H$2004,'Registro por hora'!$A$5:$A$2004,A264,'Registro por hora'!$B$5:$B$2004,B264))</f>
        <v/>
      </c>
      <c r="M264" s="13" t="str">
        <f aca="false">IF(B264="","",IF(D264="","⚠ Falta estado",IF(AND(OR(D264="Ausente",D264="Medio día"),I264=""),"⚠ Falta motivo",IF(AND(OR(D264="Ausente",D264="Medio día"),J264=""),"⚠ Falta explicación",IF(D264="Ausente","✔ Ausencia justificada",IF(OR(E264="",F264=""),"⚠ Falta hora de entrada/salida",IF(K264="","⚠ Falta resumen del día",IF(N(L264)&lt;N(H264)-0.01,"⚠ Faltan "&amp;TEXT(N(H264)-N(L264),"0.0")&amp;" h por reportar","✔ OK"))))))))</f>
        <v/>
      </c>
    </row>
    <row r="265" customFormat="false" ht="15" hidden="false" customHeight="false" outlineLevel="0" collapsed="false">
      <c r="A265" s="17"/>
      <c r="B265" s="18"/>
      <c r="C265" s="13" t="str">
        <f aca="false">IF(B265="","",IFERROR(INDEX(Personal!$C$5:$C$104,MATCH(B265,Personal!$B$5:$B$104,0)),""))</f>
        <v/>
      </c>
      <c r="D265" s="18"/>
      <c r="E265" s="19"/>
      <c r="F265" s="19"/>
      <c r="G265" s="20"/>
      <c r="H265" s="16" t="str">
        <f aca="false">IF(OR(E265="",F265=""),"",ROUND(MOD(F265-E265,1)*24-N(G265),2))</f>
        <v/>
      </c>
      <c r="I265" s="18"/>
      <c r="J265" s="18"/>
      <c r="K265" s="18"/>
      <c r="L265" s="16" t="str">
        <f aca="false">IF(OR(A265="",B265=""),"",SUMIFS('Registro por hora'!$H$5:$H$2004,'Registro por hora'!$A$5:$A$2004,A265,'Registro por hora'!$B$5:$B$2004,B265))</f>
        <v/>
      </c>
      <c r="M265" s="13" t="str">
        <f aca="false">IF(B265="","",IF(D265="","⚠ Falta estado",IF(AND(OR(D265="Ausente",D265="Medio día"),I265=""),"⚠ Falta motivo",IF(AND(OR(D265="Ausente",D265="Medio día"),J265=""),"⚠ Falta explicación",IF(D265="Ausente","✔ Ausencia justificada",IF(OR(E265="",F265=""),"⚠ Falta hora de entrada/salida",IF(K265="","⚠ Falta resumen del día",IF(N(L265)&lt;N(H265)-0.01,"⚠ Faltan "&amp;TEXT(N(H265)-N(L265),"0.0")&amp;" h por reportar","✔ OK"))))))))</f>
        <v/>
      </c>
    </row>
    <row r="266" customFormat="false" ht="15" hidden="false" customHeight="false" outlineLevel="0" collapsed="false">
      <c r="A266" s="17"/>
      <c r="B266" s="18"/>
      <c r="C266" s="13" t="str">
        <f aca="false">IF(B266="","",IFERROR(INDEX(Personal!$C$5:$C$104,MATCH(B266,Personal!$B$5:$B$104,0)),""))</f>
        <v/>
      </c>
      <c r="D266" s="18"/>
      <c r="E266" s="19"/>
      <c r="F266" s="19"/>
      <c r="G266" s="20"/>
      <c r="H266" s="16" t="str">
        <f aca="false">IF(OR(E266="",F266=""),"",ROUND(MOD(F266-E266,1)*24-N(G266),2))</f>
        <v/>
      </c>
      <c r="I266" s="18"/>
      <c r="J266" s="18"/>
      <c r="K266" s="18"/>
      <c r="L266" s="16" t="str">
        <f aca="false">IF(OR(A266="",B266=""),"",SUMIFS('Registro por hora'!$H$5:$H$2004,'Registro por hora'!$A$5:$A$2004,A266,'Registro por hora'!$B$5:$B$2004,B266))</f>
        <v/>
      </c>
      <c r="M266" s="13" t="str">
        <f aca="false">IF(B266="","",IF(D266="","⚠ Falta estado",IF(AND(OR(D266="Ausente",D266="Medio día"),I266=""),"⚠ Falta motivo",IF(AND(OR(D266="Ausente",D266="Medio día"),J266=""),"⚠ Falta explicación",IF(D266="Ausente","✔ Ausencia justificada",IF(OR(E266="",F266=""),"⚠ Falta hora de entrada/salida",IF(K266="","⚠ Falta resumen del día",IF(N(L266)&lt;N(H266)-0.01,"⚠ Faltan "&amp;TEXT(N(H266)-N(L266),"0.0")&amp;" h por reportar","✔ OK"))))))))</f>
        <v/>
      </c>
    </row>
    <row r="267" customFormat="false" ht="15" hidden="false" customHeight="false" outlineLevel="0" collapsed="false">
      <c r="A267" s="17"/>
      <c r="B267" s="18"/>
      <c r="C267" s="13" t="str">
        <f aca="false">IF(B267="","",IFERROR(INDEX(Personal!$C$5:$C$104,MATCH(B267,Personal!$B$5:$B$104,0)),""))</f>
        <v/>
      </c>
      <c r="D267" s="18"/>
      <c r="E267" s="19"/>
      <c r="F267" s="19"/>
      <c r="G267" s="20"/>
      <c r="H267" s="16" t="str">
        <f aca="false">IF(OR(E267="",F267=""),"",ROUND(MOD(F267-E267,1)*24-N(G267),2))</f>
        <v/>
      </c>
      <c r="I267" s="18"/>
      <c r="J267" s="18"/>
      <c r="K267" s="18"/>
      <c r="L267" s="16" t="str">
        <f aca="false">IF(OR(A267="",B267=""),"",SUMIFS('Registro por hora'!$H$5:$H$2004,'Registro por hora'!$A$5:$A$2004,A267,'Registro por hora'!$B$5:$B$2004,B267))</f>
        <v/>
      </c>
      <c r="M267" s="13" t="str">
        <f aca="false">IF(B267="","",IF(D267="","⚠ Falta estado",IF(AND(OR(D267="Ausente",D267="Medio día"),I267=""),"⚠ Falta motivo",IF(AND(OR(D267="Ausente",D267="Medio día"),J267=""),"⚠ Falta explicación",IF(D267="Ausente","✔ Ausencia justificada",IF(OR(E267="",F267=""),"⚠ Falta hora de entrada/salida",IF(K267="","⚠ Falta resumen del día",IF(N(L267)&lt;N(H267)-0.01,"⚠ Faltan "&amp;TEXT(N(H267)-N(L267),"0.0")&amp;" h por reportar","✔ OK"))))))))</f>
        <v/>
      </c>
    </row>
    <row r="268" customFormat="false" ht="15" hidden="false" customHeight="false" outlineLevel="0" collapsed="false">
      <c r="A268" s="17"/>
      <c r="B268" s="18"/>
      <c r="C268" s="13" t="str">
        <f aca="false">IF(B268="","",IFERROR(INDEX(Personal!$C$5:$C$104,MATCH(B268,Personal!$B$5:$B$104,0)),""))</f>
        <v/>
      </c>
      <c r="D268" s="18"/>
      <c r="E268" s="19"/>
      <c r="F268" s="19"/>
      <c r="G268" s="20"/>
      <c r="H268" s="16" t="str">
        <f aca="false">IF(OR(E268="",F268=""),"",ROUND(MOD(F268-E268,1)*24-N(G268),2))</f>
        <v/>
      </c>
      <c r="I268" s="18"/>
      <c r="J268" s="18"/>
      <c r="K268" s="18"/>
      <c r="L268" s="16" t="str">
        <f aca="false">IF(OR(A268="",B268=""),"",SUMIFS('Registro por hora'!$H$5:$H$2004,'Registro por hora'!$A$5:$A$2004,A268,'Registro por hora'!$B$5:$B$2004,B268))</f>
        <v/>
      </c>
      <c r="M268" s="13" t="str">
        <f aca="false">IF(B268="","",IF(D268="","⚠ Falta estado",IF(AND(OR(D268="Ausente",D268="Medio día"),I268=""),"⚠ Falta motivo",IF(AND(OR(D268="Ausente",D268="Medio día"),J268=""),"⚠ Falta explicación",IF(D268="Ausente","✔ Ausencia justificada",IF(OR(E268="",F268=""),"⚠ Falta hora de entrada/salida",IF(K268="","⚠ Falta resumen del día",IF(N(L268)&lt;N(H268)-0.01,"⚠ Faltan "&amp;TEXT(N(H268)-N(L268),"0.0")&amp;" h por reportar","✔ OK"))))))))</f>
        <v/>
      </c>
    </row>
    <row r="269" customFormat="false" ht="15" hidden="false" customHeight="false" outlineLevel="0" collapsed="false">
      <c r="A269" s="17"/>
      <c r="B269" s="18"/>
      <c r="C269" s="13" t="str">
        <f aca="false">IF(B269="","",IFERROR(INDEX(Personal!$C$5:$C$104,MATCH(B269,Personal!$B$5:$B$104,0)),""))</f>
        <v/>
      </c>
      <c r="D269" s="18"/>
      <c r="E269" s="19"/>
      <c r="F269" s="19"/>
      <c r="G269" s="20"/>
      <c r="H269" s="16" t="str">
        <f aca="false">IF(OR(E269="",F269=""),"",ROUND(MOD(F269-E269,1)*24-N(G269),2))</f>
        <v/>
      </c>
      <c r="I269" s="18"/>
      <c r="J269" s="18"/>
      <c r="K269" s="18"/>
      <c r="L269" s="16" t="str">
        <f aca="false">IF(OR(A269="",B269=""),"",SUMIFS('Registro por hora'!$H$5:$H$2004,'Registro por hora'!$A$5:$A$2004,A269,'Registro por hora'!$B$5:$B$2004,B269))</f>
        <v/>
      </c>
      <c r="M269" s="13" t="str">
        <f aca="false">IF(B269="","",IF(D269="","⚠ Falta estado",IF(AND(OR(D269="Ausente",D269="Medio día"),I269=""),"⚠ Falta motivo",IF(AND(OR(D269="Ausente",D269="Medio día"),J269=""),"⚠ Falta explicación",IF(D269="Ausente","✔ Ausencia justificada",IF(OR(E269="",F269=""),"⚠ Falta hora de entrada/salida",IF(K269="","⚠ Falta resumen del día",IF(N(L269)&lt;N(H269)-0.01,"⚠ Faltan "&amp;TEXT(N(H269)-N(L269),"0.0")&amp;" h por reportar","✔ OK"))))))))</f>
        <v/>
      </c>
    </row>
    <row r="270" customFormat="false" ht="15" hidden="false" customHeight="false" outlineLevel="0" collapsed="false">
      <c r="A270" s="17"/>
      <c r="B270" s="18"/>
      <c r="C270" s="13" t="str">
        <f aca="false">IF(B270="","",IFERROR(INDEX(Personal!$C$5:$C$104,MATCH(B270,Personal!$B$5:$B$104,0)),""))</f>
        <v/>
      </c>
      <c r="D270" s="18"/>
      <c r="E270" s="19"/>
      <c r="F270" s="19"/>
      <c r="G270" s="20"/>
      <c r="H270" s="16" t="str">
        <f aca="false">IF(OR(E270="",F270=""),"",ROUND(MOD(F270-E270,1)*24-N(G270),2))</f>
        <v/>
      </c>
      <c r="I270" s="18"/>
      <c r="J270" s="18"/>
      <c r="K270" s="18"/>
      <c r="L270" s="16" t="str">
        <f aca="false">IF(OR(A270="",B270=""),"",SUMIFS('Registro por hora'!$H$5:$H$2004,'Registro por hora'!$A$5:$A$2004,A270,'Registro por hora'!$B$5:$B$2004,B270))</f>
        <v/>
      </c>
      <c r="M270" s="13" t="str">
        <f aca="false">IF(B270="","",IF(D270="","⚠ Falta estado",IF(AND(OR(D270="Ausente",D270="Medio día"),I270=""),"⚠ Falta motivo",IF(AND(OR(D270="Ausente",D270="Medio día"),J270=""),"⚠ Falta explicación",IF(D270="Ausente","✔ Ausencia justificada",IF(OR(E270="",F270=""),"⚠ Falta hora de entrada/salida",IF(K270="","⚠ Falta resumen del día",IF(N(L270)&lt;N(H270)-0.01,"⚠ Faltan "&amp;TEXT(N(H270)-N(L270),"0.0")&amp;" h por reportar","✔ OK"))))))))</f>
        <v/>
      </c>
    </row>
    <row r="271" customFormat="false" ht="15" hidden="false" customHeight="false" outlineLevel="0" collapsed="false">
      <c r="A271" s="17"/>
      <c r="B271" s="18"/>
      <c r="C271" s="13" t="str">
        <f aca="false">IF(B271="","",IFERROR(INDEX(Personal!$C$5:$C$104,MATCH(B271,Personal!$B$5:$B$104,0)),""))</f>
        <v/>
      </c>
      <c r="D271" s="18"/>
      <c r="E271" s="19"/>
      <c r="F271" s="19"/>
      <c r="G271" s="20"/>
      <c r="H271" s="16" t="str">
        <f aca="false">IF(OR(E271="",F271=""),"",ROUND(MOD(F271-E271,1)*24-N(G271),2))</f>
        <v/>
      </c>
      <c r="I271" s="18"/>
      <c r="J271" s="18"/>
      <c r="K271" s="18"/>
      <c r="L271" s="16" t="str">
        <f aca="false">IF(OR(A271="",B271=""),"",SUMIFS('Registro por hora'!$H$5:$H$2004,'Registro por hora'!$A$5:$A$2004,A271,'Registro por hora'!$B$5:$B$2004,B271))</f>
        <v/>
      </c>
      <c r="M271" s="13" t="str">
        <f aca="false">IF(B271="","",IF(D271="","⚠ Falta estado",IF(AND(OR(D271="Ausente",D271="Medio día"),I271=""),"⚠ Falta motivo",IF(AND(OR(D271="Ausente",D271="Medio día"),J271=""),"⚠ Falta explicación",IF(D271="Ausente","✔ Ausencia justificada",IF(OR(E271="",F271=""),"⚠ Falta hora de entrada/salida",IF(K271="","⚠ Falta resumen del día",IF(N(L271)&lt;N(H271)-0.01,"⚠ Faltan "&amp;TEXT(N(H271)-N(L271),"0.0")&amp;" h por reportar","✔ OK"))))))))</f>
        <v/>
      </c>
    </row>
    <row r="272" customFormat="false" ht="15" hidden="false" customHeight="false" outlineLevel="0" collapsed="false">
      <c r="A272" s="17"/>
      <c r="B272" s="18"/>
      <c r="C272" s="13" t="str">
        <f aca="false">IF(B272="","",IFERROR(INDEX(Personal!$C$5:$C$104,MATCH(B272,Personal!$B$5:$B$104,0)),""))</f>
        <v/>
      </c>
      <c r="D272" s="18"/>
      <c r="E272" s="19"/>
      <c r="F272" s="19"/>
      <c r="G272" s="20"/>
      <c r="H272" s="16" t="str">
        <f aca="false">IF(OR(E272="",F272=""),"",ROUND(MOD(F272-E272,1)*24-N(G272),2))</f>
        <v/>
      </c>
      <c r="I272" s="18"/>
      <c r="J272" s="18"/>
      <c r="K272" s="18"/>
      <c r="L272" s="16" t="str">
        <f aca="false">IF(OR(A272="",B272=""),"",SUMIFS('Registro por hora'!$H$5:$H$2004,'Registro por hora'!$A$5:$A$2004,A272,'Registro por hora'!$B$5:$B$2004,B272))</f>
        <v/>
      </c>
      <c r="M272" s="13" t="str">
        <f aca="false">IF(B272="","",IF(D272="","⚠ Falta estado",IF(AND(OR(D272="Ausente",D272="Medio día"),I272=""),"⚠ Falta motivo",IF(AND(OR(D272="Ausente",D272="Medio día"),J272=""),"⚠ Falta explicación",IF(D272="Ausente","✔ Ausencia justificada",IF(OR(E272="",F272=""),"⚠ Falta hora de entrada/salida",IF(K272="","⚠ Falta resumen del día",IF(N(L272)&lt;N(H272)-0.01,"⚠ Faltan "&amp;TEXT(N(H272)-N(L272),"0.0")&amp;" h por reportar","✔ OK"))))))))</f>
        <v/>
      </c>
    </row>
    <row r="273" customFormat="false" ht="15" hidden="false" customHeight="false" outlineLevel="0" collapsed="false">
      <c r="A273" s="17"/>
      <c r="B273" s="18"/>
      <c r="C273" s="13" t="str">
        <f aca="false">IF(B273="","",IFERROR(INDEX(Personal!$C$5:$C$104,MATCH(B273,Personal!$B$5:$B$104,0)),""))</f>
        <v/>
      </c>
      <c r="D273" s="18"/>
      <c r="E273" s="19"/>
      <c r="F273" s="19"/>
      <c r="G273" s="20"/>
      <c r="H273" s="16" t="str">
        <f aca="false">IF(OR(E273="",F273=""),"",ROUND(MOD(F273-E273,1)*24-N(G273),2))</f>
        <v/>
      </c>
      <c r="I273" s="18"/>
      <c r="J273" s="18"/>
      <c r="K273" s="18"/>
      <c r="L273" s="16" t="str">
        <f aca="false">IF(OR(A273="",B273=""),"",SUMIFS('Registro por hora'!$H$5:$H$2004,'Registro por hora'!$A$5:$A$2004,A273,'Registro por hora'!$B$5:$B$2004,B273))</f>
        <v/>
      </c>
      <c r="M273" s="13" t="str">
        <f aca="false">IF(B273="","",IF(D273="","⚠ Falta estado",IF(AND(OR(D273="Ausente",D273="Medio día"),I273=""),"⚠ Falta motivo",IF(AND(OR(D273="Ausente",D273="Medio día"),J273=""),"⚠ Falta explicación",IF(D273="Ausente","✔ Ausencia justificada",IF(OR(E273="",F273=""),"⚠ Falta hora de entrada/salida",IF(K273="","⚠ Falta resumen del día",IF(N(L273)&lt;N(H273)-0.01,"⚠ Faltan "&amp;TEXT(N(H273)-N(L273),"0.0")&amp;" h por reportar","✔ OK"))))))))</f>
        <v/>
      </c>
    </row>
    <row r="274" customFormat="false" ht="15" hidden="false" customHeight="false" outlineLevel="0" collapsed="false">
      <c r="A274" s="17"/>
      <c r="B274" s="18"/>
      <c r="C274" s="13" t="str">
        <f aca="false">IF(B274="","",IFERROR(INDEX(Personal!$C$5:$C$104,MATCH(B274,Personal!$B$5:$B$104,0)),""))</f>
        <v/>
      </c>
      <c r="D274" s="18"/>
      <c r="E274" s="19"/>
      <c r="F274" s="19"/>
      <c r="G274" s="20"/>
      <c r="H274" s="16" t="str">
        <f aca="false">IF(OR(E274="",F274=""),"",ROUND(MOD(F274-E274,1)*24-N(G274),2))</f>
        <v/>
      </c>
      <c r="I274" s="18"/>
      <c r="J274" s="18"/>
      <c r="K274" s="18"/>
      <c r="L274" s="16" t="str">
        <f aca="false">IF(OR(A274="",B274=""),"",SUMIFS('Registro por hora'!$H$5:$H$2004,'Registro por hora'!$A$5:$A$2004,A274,'Registro por hora'!$B$5:$B$2004,B274))</f>
        <v/>
      </c>
      <c r="M274" s="13" t="str">
        <f aca="false">IF(B274="","",IF(D274="","⚠ Falta estado",IF(AND(OR(D274="Ausente",D274="Medio día"),I274=""),"⚠ Falta motivo",IF(AND(OR(D274="Ausente",D274="Medio día"),J274=""),"⚠ Falta explicación",IF(D274="Ausente","✔ Ausencia justificada",IF(OR(E274="",F274=""),"⚠ Falta hora de entrada/salida",IF(K274="","⚠ Falta resumen del día",IF(N(L274)&lt;N(H274)-0.01,"⚠ Faltan "&amp;TEXT(N(H274)-N(L274),"0.0")&amp;" h por reportar","✔ OK"))))))))</f>
        <v/>
      </c>
    </row>
    <row r="275" customFormat="false" ht="15" hidden="false" customHeight="false" outlineLevel="0" collapsed="false">
      <c r="A275" s="17"/>
      <c r="B275" s="18"/>
      <c r="C275" s="13" t="str">
        <f aca="false">IF(B275="","",IFERROR(INDEX(Personal!$C$5:$C$104,MATCH(B275,Personal!$B$5:$B$104,0)),""))</f>
        <v/>
      </c>
      <c r="D275" s="18"/>
      <c r="E275" s="19"/>
      <c r="F275" s="19"/>
      <c r="G275" s="20"/>
      <c r="H275" s="16" t="str">
        <f aca="false">IF(OR(E275="",F275=""),"",ROUND(MOD(F275-E275,1)*24-N(G275),2))</f>
        <v/>
      </c>
      <c r="I275" s="18"/>
      <c r="J275" s="18"/>
      <c r="K275" s="18"/>
      <c r="L275" s="16" t="str">
        <f aca="false">IF(OR(A275="",B275=""),"",SUMIFS('Registro por hora'!$H$5:$H$2004,'Registro por hora'!$A$5:$A$2004,A275,'Registro por hora'!$B$5:$B$2004,B275))</f>
        <v/>
      </c>
      <c r="M275" s="13" t="str">
        <f aca="false">IF(B275="","",IF(D275="","⚠ Falta estado",IF(AND(OR(D275="Ausente",D275="Medio día"),I275=""),"⚠ Falta motivo",IF(AND(OR(D275="Ausente",D275="Medio día"),J275=""),"⚠ Falta explicación",IF(D275="Ausente","✔ Ausencia justificada",IF(OR(E275="",F275=""),"⚠ Falta hora de entrada/salida",IF(K275="","⚠ Falta resumen del día",IF(N(L275)&lt;N(H275)-0.01,"⚠ Faltan "&amp;TEXT(N(H275)-N(L275),"0.0")&amp;" h por reportar","✔ OK"))))))))</f>
        <v/>
      </c>
    </row>
    <row r="276" customFormat="false" ht="15" hidden="false" customHeight="false" outlineLevel="0" collapsed="false">
      <c r="A276" s="17"/>
      <c r="B276" s="18"/>
      <c r="C276" s="13" t="str">
        <f aca="false">IF(B276="","",IFERROR(INDEX(Personal!$C$5:$C$104,MATCH(B276,Personal!$B$5:$B$104,0)),""))</f>
        <v/>
      </c>
      <c r="D276" s="18"/>
      <c r="E276" s="19"/>
      <c r="F276" s="19"/>
      <c r="G276" s="20"/>
      <c r="H276" s="16" t="str">
        <f aca="false">IF(OR(E276="",F276=""),"",ROUND(MOD(F276-E276,1)*24-N(G276),2))</f>
        <v/>
      </c>
      <c r="I276" s="18"/>
      <c r="J276" s="18"/>
      <c r="K276" s="18"/>
      <c r="L276" s="16" t="str">
        <f aca="false">IF(OR(A276="",B276=""),"",SUMIFS('Registro por hora'!$H$5:$H$2004,'Registro por hora'!$A$5:$A$2004,A276,'Registro por hora'!$B$5:$B$2004,B276))</f>
        <v/>
      </c>
      <c r="M276" s="13" t="str">
        <f aca="false">IF(B276="","",IF(D276="","⚠ Falta estado",IF(AND(OR(D276="Ausente",D276="Medio día"),I276=""),"⚠ Falta motivo",IF(AND(OR(D276="Ausente",D276="Medio día"),J276=""),"⚠ Falta explicación",IF(D276="Ausente","✔ Ausencia justificada",IF(OR(E276="",F276=""),"⚠ Falta hora de entrada/salida",IF(K276="","⚠ Falta resumen del día",IF(N(L276)&lt;N(H276)-0.01,"⚠ Faltan "&amp;TEXT(N(H276)-N(L276),"0.0")&amp;" h por reportar","✔ OK"))))))))</f>
        <v/>
      </c>
    </row>
    <row r="277" customFormat="false" ht="15" hidden="false" customHeight="false" outlineLevel="0" collapsed="false">
      <c r="A277" s="17"/>
      <c r="B277" s="18"/>
      <c r="C277" s="13" t="str">
        <f aca="false">IF(B277="","",IFERROR(INDEX(Personal!$C$5:$C$104,MATCH(B277,Personal!$B$5:$B$104,0)),""))</f>
        <v/>
      </c>
      <c r="D277" s="18"/>
      <c r="E277" s="19"/>
      <c r="F277" s="19"/>
      <c r="G277" s="20"/>
      <c r="H277" s="16" t="str">
        <f aca="false">IF(OR(E277="",F277=""),"",ROUND(MOD(F277-E277,1)*24-N(G277),2))</f>
        <v/>
      </c>
      <c r="I277" s="18"/>
      <c r="J277" s="18"/>
      <c r="K277" s="18"/>
      <c r="L277" s="16" t="str">
        <f aca="false">IF(OR(A277="",B277=""),"",SUMIFS('Registro por hora'!$H$5:$H$2004,'Registro por hora'!$A$5:$A$2004,A277,'Registro por hora'!$B$5:$B$2004,B277))</f>
        <v/>
      </c>
      <c r="M277" s="13" t="str">
        <f aca="false">IF(B277="","",IF(D277="","⚠ Falta estado",IF(AND(OR(D277="Ausente",D277="Medio día"),I277=""),"⚠ Falta motivo",IF(AND(OR(D277="Ausente",D277="Medio día"),J277=""),"⚠ Falta explicación",IF(D277="Ausente","✔ Ausencia justificada",IF(OR(E277="",F277=""),"⚠ Falta hora de entrada/salida",IF(K277="","⚠ Falta resumen del día",IF(N(L277)&lt;N(H277)-0.01,"⚠ Faltan "&amp;TEXT(N(H277)-N(L277),"0.0")&amp;" h por reportar","✔ OK"))))))))</f>
        <v/>
      </c>
    </row>
    <row r="278" customFormat="false" ht="15" hidden="false" customHeight="false" outlineLevel="0" collapsed="false">
      <c r="A278" s="17"/>
      <c r="B278" s="18"/>
      <c r="C278" s="13" t="str">
        <f aca="false">IF(B278="","",IFERROR(INDEX(Personal!$C$5:$C$104,MATCH(B278,Personal!$B$5:$B$104,0)),""))</f>
        <v/>
      </c>
      <c r="D278" s="18"/>
      <c r="E278" s="19"/>
      <c r="F278" s="19"/>
      <c r="G278" s="20"/>
      <c r="H278" s="16" t="str">
        <f aca="false">IF(OR(E278="",F278=""),"",ROUND(MOD(F278-E278,1)*24-N(G278),2))</f>
        <v/>
      </c>
      <c r="I278" s="18"/>
      <c r="J278" s="18"/>
      <c r="K278" s="18"/>
      <c r="L278" s="16" t="str">
        <f aca="false">IF(OR(A278="",B278=""),"",SUMIFS('Registro por hora'!$H$5:$H$2004,'Registro por hora'!$A$5:$A$2004,A278,'Registro por hora'!$B$5:$B$2004,B278))</f>
        <v/>
      </c>
      <c r="M278" s="13" t="str">
        <f aca="false">IF(B278="","",IF(D278="","⚠ Falta estado",IF(AND(OR(D278="Ausente",D278="Medio día"),I278=""),"⚠ Falta motivo",IF(AND(OR(D278="Ausente",D278="Medio día"),J278=""),"⚠ Falta explicación",IF(D278="Ausente","✔ Ausencia justificada",IF(OR(E278="",F278=""),"⚠ Falta hora de entrada/salida",IF(K278="","⚠ Falta resumen del día",IF(N(L278)&lt;N(H278)-0.01,"⚠ Faltan "&amp;TEXT(N(H278)-N(L278),"0.0")&amp;" h por reportar","✔ OK"))))))))</f>
        <v/>
      </c>
    </row>
    <row r="279" customFormat="false" ht="15" hidden="false" customHeight="false" outlineLevel="0" collapsed="false">
      <c r="A279" s="17"/>
      <c r="B279" s="18"/>
      <c r="C279" s="13" t="str">
        <f aca="false">IF(B279="","",IFERROR(INDEX(Personal!$C$5:$C$104,MATCH(B279,Personal!$B$5:$B$104,0)),""))</f>
        <v/>
      </c>
      <c r="D279" s="18"/>
      <c r="E279" s="19"/>
      <c r="F279" s="19"/>
      <c r="G279" s="20"/>
      <c r="H279" s="16" t="str">
        <f aca="false">IF(OR(E279="",F279=""),"",ROUND(MOD(F279-E279,1)*24-N(G279),2))</f>
        <v/>
      </c>
      <c r="I279" s="18"/>
      <c r="J279" s="18"/>
      <c r="K279" s="18"/>
      <c r="L279" s="16" t="str">
        <f aca="false">IF(OR(A279="",B279=""),"",SUMIFS('Registro por hora'!$H$5:$H$2004,'Registro por hora'!$A$5:$A$2004,A279,'Registro por hora'!$B$5:$B$2004,B279))</f>
        <v/>
      </c>
      <c r="M279" s="13" t="str">
        <f aca="false">IF(B279="","",IF(D279="","⚠ Falta estado",IF(AND(OR(D279="Ausente",D279="Medio día"),I279=""),"⚠ Falta motivo",IF(AND(OR(D279="Ausente",D279="Medio día"),J279=""),"⚠ Falta explicación",IF(D279="Ausente","✔ Ausencia justificada",IF(OR(E279="",F279=""),"⚠ Falta hora de entrada/salida",IF(K279="","⚠ Falta resumen del día",IF(N(L279)&lt;N(H279)-0.01,"⚠ Faltan "&amp;TEXT(N(H279)-N(L279),"0.0")&amp;" h por reportar","✔ OK"))))))))</f>
        <v/>
      </c>
    </row>
    <row r="280" customFormat="false" ht="15" hidden="false" customHeight="false" outlineLevel="0" collapsed="false">
      <c r="A280" s="17"/>
      <c r="B280" s="18"/>
      <c r="C280" s="13" t="str">
        <f aca="false">IF(B280="","",IFERROR(INDEX(Personal!$C$5:$C$104,MATCH(B280,Personal!$B$5:$B$104,0)),""))</f>
        <v/>
      </c>
      <c r="D280" s="18"/>
      <c r="E280" s="19"/>
      <c r="F280" s="19"/>
      <c r="G280" s="20"/>
      <c r="H280" s="16" t="str">
        <f aca="false">IF(OR(E280="",F280=""),"",ROUND(MOD(F280-E280,1)*24-N(G280),2))</f>
        <v/>
      </c>
      <c r="I280" s="18"/>
      <c r="J280" s="18"/>
      <c r="K280" s="18"/>
      <c r="L280" s="16" t="str">
        <f aca="false">IF(OR(A280="",B280=""),"",SUMIFS('Registro por hora'!$H$5:$H$2004,'Registro por hora'!$A$5:$A$2004,A280,'Registro por hora'!$B$5:$B$2004,B280))</f>
        <v/>
      </c>
      <c r="M280" s="13" t="str">
        <f aca="false">IF(B280="","",IF(D280="","⚠ Falta estado",IF(AND(OR(D280="Ausente",D280="Medio día"),I280=""),"⚠ Falta motivo",IF(AND(OR(D280="Ausente",D280="Medio día"),J280=""),"⚠ Falta explicación",IF(D280="Ausente","✔ Ausencia justificada",IF(OR(E280="",F280=""),"⚠ Falta hora de entrada/salida",IF(K280="","⚠ Falta resumen del día",IF(N(L280)&lt;N(H280)-0.01,"⚠ Faltan "&amp;TEXT(N(H280)-N(L280),"0.0")&amp;" h por reportar","✔ OK"))))))))</f>
        <v/>
      </c>
    </row>
    <row r="281" customFormat="false" ht="15" hidden="false" customHeight="false" outlineLevel="0" collapsed="false">
      <c r="A281" s="17"/>
      <c r="B281" s="18"/>
      <c r="C281" s="13" t="str">
        <f aca="false">IF(B281="","",IFERROR(INDEX(Personal!$C$5:$C$104,MATCH(B281,Personal!$B$5:$B$104,0)),""))</f>
        <v/>
      </c>
      <c r="D281" s="18"/>
      <c r="E281" s="19"/>
      <c r="F281" s="19"/>
      <c r="G281" s="20"/>
      <c r="H281" s="16" t="str">
        <f aca="false">IF(OR(E281="",F281=""),"",ROUND(MOD(F281-E281,1)*24-N(G281),2))</f>
        <v/>
      </c>
      <c r="I281" s="18"/>
      <c r="J281" s="18"/>
      <c r="K281" s="18"/>
      <c r="L281" s="16" t="str">
        <f aca="false">IF(OR(A281="",B281=""),"",SUMIFS('Registro por hora'!$H$5:$H$2004,'Registro por hora'!$A$5:$A$2004,A281,'Registro por hora'!$B$5:$B$2004,B281))</f>
        <v/>
      </c>
      <c r="M281" s="13" t="str">
        <f aca="false">IF(B281="","",IF(D281="","⚠ Falta estado",IF(AND(OR(D281="Ausente",D281="Medio día"),I281=""),"⚠ Falta motivo",IF(AND(OR(D281="Ausente",D281="Medio día"),J281=""),"⚠ Falta explicación",IF(D281="Ausente","✔ Ausencia justificada",IF(OR(E281="",F281=""),"⚠ Falta hora de entrada/salida",IF(K281="","⚠ Falta resumen del día",IF(N(L281)&lt;N(H281)-0.01,"⚠ Faltan "&amp;TEXT(N(H281)-N(L281),"0.0")&amp;" h por reportar","✔ OK"))))))))</f>
        <v/>
      </c>
    </row>
    <row r="282" customFormat="false" ht="15" hidden="false" customHeight="false" outlineLevel="0" collapsed="false">
      <c r="A282" s="17"/>
      <c r="B282" s="18"/>
      <c r="C282" s="13" t="str">
        <f aca="false">IF(B282="","",IFERROR(INDEX(Personal!$C$5:$C$104,MATCH(B282,Personal!$B$5:$B$104,0)),""))</f>
        <v/>
      </c>
      <c r="D282" s="18"/>
      <c r="E282" s="19"/>
      <c r="F282" s="19"/>
      <c r="G282" s="20"/>
      <c r="H282" s="16" t="str">
        <f aca="false">IF(OR(E282="",F282=""),"",ROUND(MOD(F282-E282,1)*24-N(G282),2))</f>
        <v/>
      </c>
      <c r="I282" s="18"/>
      <c r="J282" s="18"/>
      <c r="K282" s="18"/>
      <c r="L282" s="16" t="str">
        <f aca="false">IF(OR(A282="",B282=""),"",SUMIFS('Registro por hora'!$H$5:$H$2004,'Registro por hora'!$A$5:$A$2004,A282,'Registro por hora'!$B$5:$B$2004,B282))</f>
        <v/>
      </c>
      <c r="M282" s="13" t="str">
        <f aca="false">IF(B282="","",IF(D282="","⚠ Falta estado",IF(AND(OR(D282="Ausente",D282="Medio día"),I282=""),"⚠ Falta motivo",IF(AND(OR(D282="Ausente",D282="Medio día"),J282=""),"⚠ Falta explicación",IF(D282="Ausente","✔ Ausencia justificada",IF(OR(E282="",F282=""),"⚠ Falta hora de entrada/salida",IF(K282="","⚠ Falta resumen del día",IF(N(L282)&lt;N(H282)-0.01,"⚠ Faltan "&amp;TEXT(N(H282)-N(L282),"0.0")&amp;" h por reportar","✔ OK"))))))))</f>
        <v/>
      </c>
    </row>
    <row r="283" customFormat="false" ht="15" hidden="false" customHeight="false" outlineLevel="0" collapsed="false">
      <c r="A283" s="17"/>
      <c r="B283" s="18"/>
      <c r="C283" s="13" t="str">
        <f aca="false">IF(B283="","",IFERROR(INDEX(Personal!$C$5:$C$104,MATCH(B283,Personal!$B$5:$B$104,0)),""))</f>
        <v/>
      </c>
      <c r="D283" s="18"/>
      <c r="E283" s="19"/>
      <c r="F283" s="19"/>
      <c r="G283" s="20"/>
      <c r="H283" s="16" t="str">
        <f aca="false">IF(OR(E283="",F283=""),"",ROUND(MOD(F283-E283,1)*24-N(G283),2))</f>
        <v/>
      </c>
      <c r="I283" s="18"/>
      <c r="J283" s="18"/>
      <c r="K283" s="18"/>
      <c r="L283" s="16" t="str">
        <f aca="false">IF(OR(A283="",B283=""),"",SUMIFS('Registro por hora'!$H$5:$H$2004,'Registro por hora'!$A$5:$A$2004,A283,'Registro por hora'!$B$5:$B$2004,B283))</f>
        <v/>
      </c>
      <c r="M283" s="13" t="str">
        <f aca="false">IF(B283="","",IF(D283="","⚠ Falta estado",IF(AND(OR(D283="Ausente",D283="Medio día"),I283=""),"⚠ Falta motivo",IF(AND(OR(D283="Ausente",D283="Medio día"),J283=""),"⚠ Falta explicación",IF(D283="Ausente","✔ Ausencia justificada",IF(OR(E283="",F283=""),"⚠ Falta hora de entrada/salida",IF(K283="","⚠ Falta resumen del día",IF(N(L283)&lt;N(H283)-0.01,"⚠ Faltan "&amp;TEXT(N(H283)-N(L283),"0.0")&amp;" h por reportar","✔ OK"))))))))</f>
        <v/>
      </c>
    </row>
    <row r="284" customFormat="false" ht="15" hidden="false" customHeight="false" outlineLevel="0" collapsed="false">
      <c r="A284" s="17"/>
      <c r="B284" s="18"/>
      <c r="C284" s="13" t="str">
        <f aca="false">IF(B284="","",IFERROR(INDEX(Personal!$C$5:$C$104,MATCH(B284,Personal!$B$5:$B$104,0)),""))</f>
        <v/>
      </c>
      <c r="D284" s="18"/>
      <c r="E284" s="19"/>
      <c r="F284" s="19"/>
      <c r="G284" s="20"/>
      <c r="H284" s="16" t="str">
        <f aca="false">IF(OR(E284="",F284=""),"",ROUND(MOD(F284-E284,1)*24-N(G284),2))</f>
        <v/>
      </c>
      <c r="I284" s="18"/>
      <c r="J284" s="18"/>
      <c r="K284" s="18"/>
      <c r="L284" s="16" t="str">
        <f aca="false">IF(OR(A284="",B284=""),"",SUMIFS('Registro por hora'!$H$5:$H$2004,'Registro por hora'!$A$5:$A$2004,A284,'Registro por hora'!$B$5:$B$2004,B284))</f>
        <v/>
      </c>
      <c r="M284" s="13" t="str">
        <f aca="false">IF(B284="","",IF(D284="","⚠ Falta estado",IF(AND(OR(D284="Ausente",D284="Medio día"),I284=""),"⚠ Falta motivo",IF(AND(OR(D284="Ausente",D284="Medio día"),J284=""),"⚠ Falta explicación",IF(D284="Ausente","✔ Ausencia justificada",IF(OR(E284="",F284=""),"⚠ Falta hora de entrada/salida",IF(K284="","⚠ Falta resumen del día",IF(N(L284)&lt;N(H284)-0.01,"⚠ Faltan "&amp;TEXT(N(H284)-N(L284),"0.0")&amp;" h por reportar","✔ OK"))))))))</f>
        <v/>
      </c>
    </row>
    <row r="285" customFormat="false" ht="15" hidden="false" customHeight="false" outlineLevel="0" collapsed="false">
      <c r="A285" s="17"/>
      <c r="B285" s="18"/>
      <c r="C285" s="13" t="str">
        <f aca="false">IF(B285="","",IFERROR(INDEX(Personal!$C$5:$C$104,MATCH(B285,Personal!$B$5:$B$104,0)),""))</f>
        <v/>
      </c>
      <c r="D285" s="18"/>
      <c r="E285" s="19"/>
      <c r="F285" s="19"/>
      <c r="G285" s="20"/>
      <c r="H285" s="16" t="str">
        <f aca="false">IF(OR(E285="",F285=""),"",ROUND(MOD(F285-E285,1)*24-N(G285),2))</f>
        <v/>
      </c>
      <c r="I285" s="18"/>
      <c r="J285" s="18"/>
      <c r="K285" s="18"/>
      <c r="L285" s="16" t="str">
        <f aca="false">IF(OR(A285="",B285=""),"",SUMIFS('Registro por hora'!$H$5:$H$2004,'Registro por hora'!$A$5:$A$2004,A285,'Registro por hora'!$B$5:$B$2004,B285))</f>
        <v/>
      </c>
      <c r="M285" s="13" t="str">
        <f aca="false">IF(B285="","",IF(D285="","⚠ Falta estado",IF(AND(OR(D285="Ausente",D285="Medio día"),I285=""),"⚠ Falta motivo",IF(AND(OR(D285="Ausente",D285="Medio día"),J285=""),"⚠ Falta explicación",IF(D285="Ausente","✔ Ausencia justificada",IF(OR(E285="",F285=""),"⚠ Falta hora de entrada/salida",IF(K285="","⚠ Falta resumen del día",IF(N(L285)&lt;N(H285)-0.01,"⚠ Faltan "&amp;TEXT(N(H285)-N(L285),"0.0")&amp;" h por reportar","✔ OK"))))))))</f>
        <v/>
      </c>
    </row>
    <row r="286" customFormat="false" ht="15" hidden="false" customHeight="false" outlineLevel="0" collapsed="false">
      <c r="A286" s="17"/>
      <c r="B286" s="18"/>
      <c r="C286" s="13" t="str">
        <f aca="false">IF(B286="","",IFERROR(INDEX(Personal!$C$5:$C$104,MATCH(B286,Personal!$B$5:$B$104,0)),""))</f>
        <v/>
      </c>
      <c r="D286" s="18"/>
      <c r="E286" s="19"/>
      <c r="F286" s="19"/>
      <c r="G286" s="20"/>
      <c r="H286" s="16" t="str">
        <f aca="false">IF(OR(E286="",F286=""),"",ROUND(MOD(F286-E286,1)*24-N(G286),2))</f>
        <v/>
      </c>
      <c r="I286" s="18"/>
      <c r="J286" s="18"/>
      <c r="K286" s="18"/>
      <c r="L286" s="16" t="str">
        <f aca="false">IF(OR(A286="",B286=""),"",SUMIFS('Registro por hora'!$H$5:$H$2004,'Registro por hora'!$A$5:$A$2004,A286,'Registro por hora'!$B$5:$B$2004,B286))</f>
        <v/>
      </c>
      <c r="M286" s="13" t="str">
        <f aca="false">IF(B286="","",IF(D286="","⚠ Falta estado",IF(AND(OR(D286="Ausente",D286="Medio día"),I286=""),"⚠ Falta motivo",IF(AND(OR(D286="Ausente",D286="Medio día"),J286=""),"⚠ Falta explicación",IF(D286="Ausente","✔ Ausencia justificada",IF(OR(E286="",F286=""),"⚠ Falta hora de entrada/salida",IF(K286="","⚠ Falta resumen del día",IF(N(L286)&lt;N(H286)-0.01,"⚠ Faltan "&amp;TEXT(N(H286)-N(L286),"0.0")&amp;" h por reportar","✔ OK"))))))))</f>
        <v/>
      </c>
    </row>
    <row r="287" customFormat="false" ht="15" hidden="false" customHeight="false" outlineLevel="0" collapsed="false">
      <c r="A287" s="17"/>
      <c r="B287" s="18"/>
      <c r="C287" s="13" t="str">
        <f aca="false">IF(B287="","",IFERROR(INDEX(Personal!$C$5:$C$104,MATCH(B287,Personal!$B$5:$B$104,0)),""))</f>
        <v/>
      </c>
      <c r="D287" s="18"/>
      <c r="E287" s="19"/>
      <c r="F287" s="19"/>
      <c r="G287" s="20"/>
      <c r="H287" s="16" t="str">
        <f aca="false">IF(OR(E287="",F287=""),"",ROUND(MOD(F287-E287,1)*24-N(G287),2))</f>
        <v/>
      </c>
      <c r="I287" s="18"/>
      <c r="J287" s="18"/>
      <c r="K287" s="18"/>
      <c r="L287" s="16" t="str">
        <f aca="false">IF(OR(A287="",B287=""),"",SUMIFS('Registro por hora'!$H$5:$H$2004,'Registro por hora'!$A$5:$A$2004,A287,'Registro por hora'!$B$5:$B$2004,B287))</f>
        <v/>
      </c>
      <c r="M287" s="13" t="str">
        <f aca="false">IF(B287="","",IF(D287="","⚠ Falta estado",IF(AND(OR(D287="Ausente",D287="Medio día"),I287=""),"⚠ Falta motivo",IF(AND(OR(D287="Ausente",D287="Medio día"),J287=""),"⚠ Falta explicación",IF(D287="Ausente","✔ Ausencia justificada",IF(OR(E287="",F287=""),"⚠ Falta hora de entrada/salida",IF(K287="","⚠ Falta resumen del día",IF(N(L287)&lt;N(H287)-0.01,"⚠ Faltan "&amp;TEXT(N(H287)-N(L287),"0.0")&amp;" h por reportar","✔ OK"))))))))</f>
        <v/>
      </c>
    </row>
    <row r="288" customFormat="false" ht="15" hidden="false" customHeight="false" outlineLevel="0" collapsed="false">
      <c r="A288" s="17"/>
      <c r="B288" s="18"/>
      <c r="C288" s="13" t="str">
        <f aca="false">IF(B288="","",IFERROR(INDEX(Personal!$C$5:$C$104,MATCH(B288,Personal!$B$5:$B$104,0)),""))</f>
        <v/>
      </c>
      <c r="D288" s="18"/>
      <c r="E288" s="19"/>
      <c r="F288" s="19"/>
      <c r="G288" s="20"/>
      <c r="H288" s="16" t="str">
        <f aca="false">IF(OR(E288="",F288=""),"",ROUND(MOD(F288-E288,1)*24-N(G288),2))</f>
        <v/>
      </c>
      <c r="I288" s="18"/>
      <c r="J288" s="18"/>
      <c r="K288" s="18"/>
      <c r="L288" s="16" t="str">
        <f aca="false">IF(OR(A288="",B288=""),"",SUMIFS('Registro por hora'!$H$5:$H$2004,'Registro por hora'!$A$5:$A$2004,A288,'Registro por hora'!$B$5:$B$2004,B288))</f>
        <v/>
      </c>
      <c r="M288" s="13" t="str">
        <f aca="false">IF(B288="","",IF(D288="","⚠ Falta estado",IF(AND(OR(D288="Ausente",D288="Medio día"),I288=""),"⚠ Falta motivo",IF(AND(OR(D288="Ausente",D288="Medio día"),J288=""),"⚠ Falta explicación",IF(D288="Ausente","✔ Ausencia justificada",IF(OR(E288="",F288=""),"⚠ Falta hora de entrada/salida",IF(K288="","⚠ Falta resumen del día",IF(N(L288)&lt;N(H288)-0.01,"⚠ Faltan "&amp;TEXT(N(H288)-N(L288),"0.0")&amp;" h por reportar","✔ OK"))))))))</f>
        <v/>
      </c>
    </row>
    <row r="289" customFormat="false" ht="15" hidden="false" customHeight="false" outlineLevel="0" collapsed="false">
      <c r="A289" s="17"/>
      <c r="B289" s="18"/>
      <c r="C289" s="13" t="str">
        <f aca="false">IF(B289="","",IFERROR(INDEX(Personal!$C$5:$C$104,MATCH(B289,Personal!$B$5:$B$104,0)),""))</f>
        <v/>
      </c>
      <c r="D289" s="18"/>
      <c r="E289" s="19"/>
      <c r="F289" s="19"/>
      <c r="G289" s="20"/>
      <c r="H289" s="16" t="str">
        <f aca="false">IF(OR(E289="",F289=""),"",ROUND(MOD(F289-E289,1)*24-N(G289),2))</f>
        <v/>
      </c>
      <c r="I289" s="18"/>
      <c r="J289" s="18"/>
      <c r="K289" s="18"/>
      <c r="L289" s="16" t="str">
        <f aca="false">IF(OR(A289="",B289=""),"",SUMIFS('Registro por hora'!$H$5:$H$2004,'Registro por hora'!$A$5:$A$2004,A289,'Registro por hora'!$B$5:$B$2004,B289))</f>
        <v/>
      </c>
      <c r="M289" s="13" t="str">
        <f aca="false">IF(B289="","",IF(D289="","⚠ Falta estado",IF(AND(OR(D289="Ausente",D289="Medio día"),I289=""),"⚠ Falta motivo",IF(AND(OR(D289="Ausente",D289="Medio día"),J289=""),"⚠ Falta explicación",IF(D289="Ausente","✔ Ausencia justificada",IF(OR(E289="",F289=""),"⚠ Falta hora de entrada/salida",IF(K289="","⚠ Falta resumen del día",IF(N(L289)&lt;N(H289)-0.01,"⚠ Faltan "&amp;TEXT(N(H289)-N(L289),"0.0")&amp;" h por reportar","✔ OK"))))))))</f>
        <v/>
      </c>
    </row>
    <row r="290" customFormat="false" ht="15" hidden="false" customHeight="false" outlineLevel="0" collapsed="false">
      <c r="A290" s="17"/>
      <c r="B290" s="18"/>
      <c r="C290" s="13" t="str">
        <f aca="false">IF(B290="","",IFERROR(INDEX(Personal!$C$5:$C$104,MATCH(B290,Personal!$B$5:$B$104,0)),""))</f>
        <v/>
      </c>
      <c r="D290" s="18"/>
      <c r="E290" s="19"/>
      <c r="F290" s="19"/>
      <c r="G290" s="20"/>
      <c r="H290" s="16" t="str">
        <f aca="false">IF(OR(E290="",F290=""),"",ROUND(MOD(F290-E290,1)*24-N(G290),2))</f>
        <v/>
      </c>
      <c r="I290" s="18"/>
      <c r="J290" s="18"/>
      <c r="K290" s="18"/>
      <c r="L290" s="16" t="str">
        <f aca="false">IF(OR(A290="",B290=""),"",SUMIFS('Registro por hora'!$H$5:$H$2004,'Registro por hora'!$A$5:$A$2004,A290,'Registro por hora'!$B$5:$B$2004,B290))</f>
        <v/>
      </c>
      <c r="M290" s="13" t="str">
        <f aca="false">IF(B290="","",IF(D290="","⚠ Falta estado",IF(AND(OR(D290="Ausente",D290="Medio día"),I290=""),"⚠ Falta motivo",IF(AND(OR(D290="Ausente",D290="Medio día"),J290=""),"⚠ Falta explicación",IF(D290="Ausente","✔ Ausencia justificada",IF(OR(E290="",F290=""),"⚠ Falta hora de entrada/salida",IF(K290="","⚠ Falta resumen del día",IF(N(L290)&lt;N(H290)-0.01,"⚠ Faltan "&amp;TEXT(N(H290)-N(L290),"0.0")&amp;" h por reportar","✔ OK"))))))))</f>
        <v/>
      </c>
    </row>
    <row r="291" customFormat="false" ht="15" hidden="false" customHeight="false" outlineLevel="0" collapsed="false">
      <c r="A291" s="17"/>
      <c r="B291" s="18"/>
      <c r="C291" s="13" t="str">
        <f aca="false">IF(B291="","",IFERROR(INDEX(Personal!$C$5:$C$104,MATCH(B291,Personal!$B$5:$B$104,0)),""))</f>
        <v/>
      </c>
      <c r="D291" s="18"/>
      <c r="E291" s="19"/>
      <c r="F291" s="19"/>
      <c r="G291" s="20"/>
      <c r="H291" s="16" t="str">
        <f aca="false">IF(OR(E291="",F291=""),"",ROUND(MOD(F291-E291,1)*24-N(G291),2))</f>
        <v/>
      </c>
      <c r="I291" s="18"/>
      <c r="J291" s="18"/>
      <c r="K291" s="18"/>
      <c r="L291" s="16" t="str">
        <f aca="false">IF(OR(A291="",B291=""),"",SUMIFS('Registro por hora'!$H$5:$H$2004,'Registro por hora'!$A$5:$A$2004,A291,'Registro por hora'!$B$5:$B$2004,B291))</f>
        <v/>
      </c>
      <c r="M291" s="13" t="str">
        <f aca="false">IF(B291="","",IF(D291="","⚠ Falta estado",IF(AND(OR(D291="Ausente",D291="Medio día"),I291=""),"⚠ Falta motivo",IF(AND(OR(D291="Ausente",D291="Medio día"),J291=""),"⚠ Falta explicación",IF(D291="Ausente","✔ Ausencia justificada",IF(OR(E291="",F291=""),"⚠ Falta hora de entrada/salida",IF(K291="","⚠ Falta resumen del día",IF(N(L291)&lt;N(H291)-0.01,"⚠ Faltan "&amp;TEXT(N(H291)-N(L291),"0.0")&amp;" h por reportar","✔ OK"))))))))</f>
        <v/>
      </c>
    </row>
    <row r="292" customFormat="false" ht="15" hidden="false" customHeight="false" outlineLevel="0" collapsed="false">
      <c r="A292" s="17"/>
      <c r="B292" s="18"/>
      <c r="C292" s="13" t="str">
        <f aca="false">IF(B292="","",IFERROR(INDEX(Personal!$C$5:$C$104,MATCH(B292,Personal!$B$5:$B$104,0)),""))</f>
        <v/>
      </c>
      <c r="D292" s="18"/>
      <c r="E292" s="19"/>
      <c r="F292" s="19"/>
      <c r="G292" s="20"/>
      <c r="H292" s="16" t="str">
        <f aca="false">IF(OR(E292="",F292=""),"",ROUND(MOD(F292-E292,1)*24-N(G292),2))</f>
        <v/>
      </c>
      <c r="I292" s="18"/>
      <c r="J292" s="18"/>
      <c r="K292" s="18"/>
      <c r="L292" s="16" t="str">
        <f aca="false">IF(OR(A292="",B292=""),"",SUMIFS('Registro por hora'!$H$5:$H$2004,'Registro por hora'!$A$5:$A$2004,A292,'Registro por hora'!$B$5:$B$2004,B292))</f>
        <v/>
      </c>
      <c r="M292" s="13" t="str">
        <f aca="false">IF(B292="","",IF(D292="","⚠ Falta estado",IF(AND(OR(D292="Ausente",D292="Medio día"),I292=""),"⚠ Falta motivo",IF(AND(OR(D292="Ausente",D292="Medio día"),J292=""),"⚠ Falta explicación",IF(D292="Ausente","✔ Ausencia justificada",IF(OR(E292="",F292=""),"⚠ Falta hora de entrada/salida",IF(K292="","⚠ Falta resumen del día",IF(N(L292)&lt;N(H292)-0.01,"⚠ Faltan "&amp;TEXT(N(H292)-N(L292),"0.0")&amp;" h por reportar","✔ OK"))))))))</f>
        <v/>
      </c>
    </row>
    <row r="293" customFormat="false" ht="15" hidden="false" customHeight="false" outlineLevel="0" collapsed="false">
      <c r="A293" s="17"/>
      <c r="B293" s="18"/>
      <c r="C293" s="13" t="str">
        <f aca="false">IF(B293="","",IFERROR(INDEX(Personal!$C$5:$C$104,MATCH(B293,Personal!$B$5:$B$104,0)),""))</f>
        <v/>
      </c>
      <c r="D293" s="18"/>
      <c r="E293" s="19"/>
      <c r="F293" s="19"/>
      <c r="G293" s="20"/>
      <c r="H293" s="16" t="str">
        <f aca="false">IF(OR(E293="",F293=""),"",ROUND(MOD(F293-E293,1)*24-N(G293),2))</f>
        <v/>
      </c>
      <c r="I293" s="18"/>
      <c r="J293" s="18"/>
      <c r="K293" s="18"/>
      <c r="L293" s="16" t="str">
        <f aca="false">IF(OR(A293="",B293=""),"",SUMIFS('Registro por hora'!$H$5:$H$2004,'Registro por hora'!$A$5:$A$2004,A293,'Registro por hora'!$B$5:$B$2004,B293))</f>
        <v/>
      </c>
      <c r="M293" s="13" t="str">
        <f aca="false">IF(B293="","",IF(D293="","⚠ Falta estado",IF(AND(OR(D293="Ausente",D293="Medio día"),I293=""),"⚠ Falta motivo",IF(AND(OR(D293="Ausente",D293="Medio día"),J293=""),"⚠ Falta explicación",IF(D293="Ausente","✔ Ausencia justificada",IF(OR(E293="",F293=""),"⚠ Falta hora de entrada/salida",IF(K293="","⚠ Falta resumen del día",IF(N(L293)&lt;N(H293)-0.01,"⚠ Faltan "&amp;TEXT(N(H293)-N(L293),"0.0")&amp;" h por reportar","✔ OK"))))))))</f>
        <v/>
      </c>
    </row>
    <row r="294" customFormat="false" ht="15" hidden="false" customHeight="false" outlineLevel="0" collapsed="false">
      <c r="A294" s="17"/>
      <c r="B294" s="18"/>
      <c r="C294" s="13" t="str">
        <f aca="false">IF(B294="","",IFERROR(INDEX(Personal!$C$5:$C$104,MATCH(B294,Personal!$B$5:$B$104,0)),""))</f>
        <v/>
      </c>
      <c r="D294" s="18"/>
      <c r="E294" s="19"/>
      <c r="F294" s="19"/>
      <c r="G294" s="20"/>
      <c r="H294" s="16" t="str">
        <f aca="false">IF(OR(E294="",F294=""),"",ROUND(MOD(F294-E294,1)*24-N(G294),2))</f>
        <v/>
      </c>
      <c r="I294" s="18"/>
      <c r="J294" s="18"/>
      <c r="K294" s="18"/>
      <c r="L294" s="16" t="str">
        <f aca="false">IF(OR(A294="",B294=""),"",SUMIFS('Registro por hora'!$H$5:$H$2004,'Registro por hora'!$A$5:$A$2004,A294,'Registro por hora'!$B$5:$B$2004,B294))</f>
        <v/>
      </c>
      <c r="M294" s="13" t="str">
        <f aca="false">IF(B294="","",IF(D294="","⚠ Falta estado",IF(AND(OR(D294="Ausente",D294="Medio día"),I294=""),"⚠ Falta motivo",IF(AND(OR(D294="Ausente",D294="Medio día"),J294=""),"⚠ Falta explicación",IF(D294="Ausente","✔ Ausencia justificada",IF(OR(E294="",F294=""),"⚠ Falta hora de entrada/salida",IF(K294="","⚠ Falta resumen del día",IF(N(L294)&lt;N(H294)-0.01,"⚠ Faltan "&amp;TEXT(N(H294)-N(L294),"0.0")&amp;" h por reportar","✔ OK"))))))))</f>
        <v/>
      </c>
    </row>
    <row r="295" customFormat="false" ht="15" hidden="false" customHeight="false" outlineLevel="0" collapsed="false">
      <c r="A295" s="17"/>
      <c r="B295" s="18"/>
      <c r="C295" s="13" t="str">
        <f aca="false">IF(B295="","",IFERROR(INDEX(Personal!$C$5:$C$104,MATCH(B295,Personal!$B$5:$B$104,0)),""))</f>
        <v/>
      </c>
      <c r="D295" s="18"/>
      <c r="E295" s="19"/>
      <c r="F295" s="19"/>
      <c r="G295" s="20"/>
      <c r="H295" s="16" t="str">
        <f aca="false">IF(OR(E295="",F295=""),"",ROUND(MOD(F295-E295,1)*24-N(G295),2))</f>
        <v/>
      </c>
      <c r="I295" s="18"/>
      <c r="J295" s="18"/>
      <c r="K295" s="18"/>
      <c r="L295" s="16" t="str">
        <f aca="false">IF(OR(A295="",B295=""),"",SUMIFS('Registro por hora'!$H$5:$H$2004,'Registro por hora'!$A$5:$A$2004,A295,'Registro por hora'!$B$5:$B$2004,B295))</f>
        <v/>
      </c>
      <c r="M295" s="13" t="str">
        <f aca="false">IF(B295="","",IF(D295="","⚠ Falta estado",IF(AND(OR(D295="Ausente",D295="Medio día"),I295=""),"⚠ Falta motivo",IF(AND(OR(D295="Ausente",D295="Medio día"),J295=""),"⚠ Falta explicación",IF(D295="Ausente","✔ Ausencia justificada",IF(OR(E295="",F295=""),"⚠ Falta hora de entrada/salida",IF(K295="","⚠ Falta resumen del día",IF(N(L295)&lt;N(H295)-0.01,"⚠ Faltan "&amp;TEXT(N(H295)-N(L295),"0.0")&amp;" h por reportar","✔ OK"))))))))</f>
        <v/>
      </c>
    </row>
    <row r="296" customFormat="false" ht="15" hidden="false" customHeight="false" outlineLevel="0" collapsed="false">
      <c r="A296" s="17"/>
      <c r="B296" s="18"/>
      <c r="C296" s="13" t="str">
        <f aca="false">IF(B296="","",IFERROR(INDEX(Personal!$C$5:$C$104,MATCH(B296,Personal!$B$5:$B$104,0)),""))</f>
        <v/>
      </c>
      <c r="D296" s="18"/>
      <c r="E296" s="19"/>
      <c r="F296" s="19"/>
      <c r="G296" s="20"/>
      <c r="H296" s="16" t="str">
        <f aca="false">IF(OR(E296="",F296=""),"",ROUND(MOD(F296-E296,1)*24-N(G296),2))</f>
        <v/>
      </c>
      <c r="I296" s="18"/>
      <c r="J296" s="18"/>
      <c r="K296" s="18"/>
      <c r="L296" s="16" t="str">
        <f aca="false">IF(OR(A296="",B296=""),"",SUMIFS('Registro por hora'!$H$5:$H$2004,'Registro por hora'!$A$5:$A$2004,A296,'Registro por hora'!$B$5:$B$2004,B296))</f>
        <v/>
      </c>
      <c r="M296" s="13" t="str">
        <f aca="false">IF(B296="","",IF(D296="","⚠ Falta estado",IF(AND(OR(D296="Ausente",D296="Medio día"),I296=""),"⚠ Falta motivo",IF(AND(OR(D296="Ausente",D296="Medio día"),J296=""),"⚠ Falta explicación",IF(D296="Ausente","✔ Ausencia justificada",IF(OR(E296="",F296=""),"⚠ Falta hora de entrada/salida",IF(K296="","⚠ Falta resumen del día",IF(N(L296)&lt;N(H296)-0.01,"⚠ Faltan "&amp;TEXT(N(H296)-N(L296),"0.0")&amp;" h por reportar","✔ OK"))))))))</f>
        <v/>
      </c>
    </row>
    <row r="297" customFormat="false" ht="15" hidden="false" customHeight="false" outlineLevel="0" collapsed="false">
      <c r="A297" s="17"/>
      <c r="B297" s="18"/>
      <c r="C297" s="13" t="str">
        <f aca="false">IF(B297="","",IFERROR(INDEX(Personal!$C$5:$C$104,MATCH(B297,Personal!$B$5:$B$104,0)),""))</f>
        <v/>
      </c>
      <c r="D297" s="18"/>
      <c r="E297" s="19"/>
      <c r="F297" s="19"/>
      <c r="G297" s="20"/>
      <c r="H297" s="16" t="str">
        <f aca="false">IF(OR(E297="",F297=""),"",ROUND(MOD(F297-E297,1)*24-N(G297),2))</f>
        <v/>
      </c>
      <c r="I297" s="18"/>
      <c r="J297" s="18"/>
      <c r="K297" s="18"/>
      <c r="L297" s="16" t="str">
        <f aca="false">IF(OR(A297="",B297=""),"",SUMIFS('Registro por hora'!$H$5:$H$2004,'Registro por hora'!$A$5:$A$2004,A297,'Registro por hora'!$B$5:$B$2004,B297))</f>
        <v/>
      </c>
      <c r="M297" s="13" t="str">
        <f aca="false">IF(B297="","",IF(D297="","⚠ Falta estado",IF(AND(OR(D297="Ausente",D297="Medio día"),I297=""),"⚠ Falta motivo",IF(AND(OR(D297="Ausente",D297="Medio día"),J297=""),"⚠ Falta explicación",IF(D297="Ausente","✔ Ausencia justificada",IF(OR(E297="",F297=""),"⚠ Falta hora de entrada/salida",IF(K297="","⚠ Falta resumen del día",IF(N(L297)&lt;N(H297)-0.01,"⚠ Faltan "&amp;TEXT(N(H297)-N(L297),"0.0")&amp;" h por reportar","✔ OK"))))))))</f>
        <v/>
      </c>
    </row>
    <row r="298" customFormat="false" ht="15" hidden="false" customHeight="false" outlineLevel="0" collapsed="false">
      <c r="A298" s="17"/>
      <c r="B298" s="18"/>
      <c r="C298" s="13" t="str">
        <f aca="false">IF(B298="","",IFERROR(INDEX(Personal!$C$5:$C$104,MATCH(B298,Personal!$B$5:$B$104,0)),""))</f>
        <v/>
      </c>
      <c r="D298" s="18"/>
      <c r="E298" s="19"/>
      <c r="F298" s="19"/>
      <c r="G298" s="20"/>
      <c r="H298" s="16" t="str">
        <f aca="false">IF(OR(E298="",F298=""),"",ROUND(MOD(F298-E298,1)*24-N(G298),2))</f>
        <v/>
      </c>
      <c r="I298" s="18"/>
      <c r="J298" s="18"/>
      <c r="K298" s="18"/>
      <c r="L298" s="16" t="str">
        <f aca="false">IF(OR(A298="",B298=""),"",SUMIFS('Registro por hora'!$H$5:$H$2004,'Registro por hora'!$A$5:$A$2004,A298,'Registro por hora'!$B$5:$B$2004,B298))</f>
        <v/>
      </c>
      <c r="M298" s="13" t="str">
        <f aca="false">IF(B298="","",IF(D298="","⚠ Falta estado",IF(AND(OR(D298="Ausente",D298="Medio día"),I298=""),"⚠ Falta motivo",IF(AND(OR(D298="Ausente",D298="Medio día"),J298=""),"⚠ Falta explicación",IF(D298="Ausente","✔ Ausencia justificada",IF(OR(E298="",F298=""),"⚠ Falta hora de entrada/salida",IF(K298="","⚠ Falta resumen del día",IF(N(L298)&lt;N(H298)-0.01,"⚠ Faltan "&amp;TEXT(N(H298)-N(L298),"0.0")&amp;" h por reportar","✔ OK"))))))))</f>
        <v/>
      </c>
    </row>
    <row r="299" customFormat="false" ht="15" hidden="false" customHeight="false" outlineLevel="0" collapsed="false">
      <c r="A299" s="17"/>
      <c r="B299" s="18"/>
      <c r="C299" s="13" t="str">
        <f aca="false">IF(B299="","",IFERROR(INDEX(Personal!$C$5:$C$104,MATCH(B299,Personal!$B$5:$B$104,0)),""))</f>
        <v/>
      </c>
      <c r="D299" s="18"/>
      <c r="E299" s="19"/>
      <c r="F299" s="19"/>
      <c r="G299" s="20"/>
      <c r="H299" s="16" t="str">
        <f aca="false">IF(OR(E299="",F299=""),"",ROUND(MOD(F299-E299,1)*24-N(G299),2))</f>
        <v/>
      </c>
      <c r="I299" s="18"/>
      <c r="J299" s="18"/>
      <c r="K299" s="18"/>
      <c r="L299" s="16" t="str">
        <f aca="false">IF(OR(A299="",B299=""),"",SUMIFS('Registro por hora'!$H$5:$H$2004,'Registro por hora'!$A$5:$A$2004,A299,'Registro por hora'!$B$5:$B$2004,B299))</f>
        <v/>
      </c>
      <c r="M299" s="13" t="str">
        <f aca="false">IF(B299="","",IF(D299="","⚠ Falta estado",IF(AND(OR(D299="Ausente",D299="Medio día"),I299=""),"⚠ Falta motivo",IF(AND(OR(D299="Ausente",D299="Medio día"),J299=""),"⚠ Falta explicación",IF(D299="Ausente","✔ Ausencia justificada",IF(OR(E299="",F299=""),"⚠ Falta hora de entrada/salida",IF(K299="","⚠ Falta resumen del día",IF(N(L299)&lt;N(H299)-0.01,"⚠ Faltan "&amp;TEXT(N(H299)-N(L299),"0.0")&amp;" h por reportar","✔ OK"))))))))</f>
        <v/>
      </c>
    </row>
    <row r="300" customFormat="false" ht="15" hidden="false" customHeight="false" outlineLevel="0" collapsed="false">
      <c r="A300" s="17"/>
      <c r="B300" s="18"/>
      <c r="C300" s="13" t="str">
        <f aca="false">IF(B300="","",IFERROR(INDEX(Personal!$C$5:$C$104,MATCH(B300,Personal!$B$5:$B$104,0)),""))</f>
        <v/>
      </c>
      <c r="D300" s="18"/>
      <c r="E300" s="19"/>
      <c r="F300" s="19"/>
      <c r="G300" s="20"/>
      <c r="H300" s="16" t="str">
        <f aca="false">IF(OR(E300="",F300=""),"",ROUND(MOD(F300-E300,1)*24-N(G300),2))</f>
        <v/>
      </c>
      <c r="I300" s="18"/>
      <c r="J300" s="18"/>
      <c r="K300" s="18"/>
      <c r="L300" s="16" t="str">
        <f aca="false">IF(OR(A300="",B300=""),"",SUMIFS('Registro por hora'!$H$5:$H$2004,'Registro por hora'!$A$5:$A$2004,A300,'Registro por hora'!$B$5:$B$2004,B300))</f>
        <v/>
      </c>
      <c r="M300" s="13" t="str">
        <f aca="false">IF(B300="","",IF(D300="","⚠ Falta estado",IF(AND(OR(D300="Ausente",D300="Medio día"),I300=""),"⚠ Falta motivo",IF(AND(OR(D300="Ausente",D300="Medio día"),J300=""),"⚠ Falta explicación",IF(D300="Ausente","✔ Ausencia justificada",IF(OR(E300="",F300=""),"⚠ Falta hora de entrada/salida",IF(K300="","⚠ Falta resumen del día",IF(N(L300)&lt;N(H300)-0.01,"⚠ Faltan "&amp;TEXT(N(H300)-N(L300),"0.0")&amp;" h por reportar","✔ OK"))))))))</f>
        <v/>
      </c>
    </row>
    <row r="301" customFormat="false" ht="15" hidden="false" customHeight="false" outlineLevel="0" collapsed="false">
      <c r="A301" s="17"/>
      <c r="B301" s="18"/>
      <c r="C301" s="13" t="str">
        <f aca="false">IF(B301="","",IFERROR(INDEX(Personal!$C$5:$C$104,MATCH(B301,Personal!$B$5:$B$104,0)),""))</f>
        <v/>
      </c>
      <c r="D301" s="18"/>
      <c r="E301" s="19"/>
      <c r="F301" s="19"/>
      <c r="G301" s="20"/>
      <c r="H301" s="16" t="str">
        <f aca="false">IF(OR(E301="",F301=""),"",ROUND(MOD(F301-E301,1)*24-N(G301),2))</f>
        <v/>
      </c>
      <c r="I301" s="18"/>
      <c r="J301" s="18"/>
      <c r="K301" s="18"/>
      <c r="L301" s="16" t="str">
        <f aca="false">IF(OR(A301="",B301=""),"",SUMIFS('Registro por hora'!$H$5:$H$2004,'Registro por hora'!$A$5:$A$2004,A301,'Registro por hora'!$B$5:$B$2004,B301))</f>
        <v/>
      </c>
      <c r="M301" s="13" t="str">
        <f aca="false">IF(B301="","",IF(D301="","⚠ Falta estado",IF(AND(OR(D301="Ausente",D301="Medio día"),I301=""),"⚠ Falta motivo",IF(AND(OR(D301="Ausente",D301="Medio día"),J301=""),"⚠ Falta explicación",IF(D301="Ausente","✔ Ausencia justificada",IF(OR(E301="",F301=""),"⚠ Falta hora de entrada/salida",IF(K301="","⚠ Falta resumen del día",IF(N(L301)&lt;N(H301)-0.01,"⚠ Faltan "&amp;TEXT(N(H301)-N(L301),"0.0")&amp;" h por reportar","✔ OK"))))))))</f>
        <v/>
      </c>
    </row>
    <row r="302" customFormat="false" ht="15" hidden="false" customHeight="false" outlineLevel="0" collapsed="false">
      <c r="A302" s="17"/>
      <c r="B302" s="18"/>
      <c r="C302" s="13" t="str">
        <f aca="false">IF(B302="","",IFERROR(INDEX(Personal!$C$5:$C$104,MATCH(B302,Personal!$B$5:$B$104,0)),""))</f>
        <v/>
      </c>
      <c r="D302" s="18"/>
      <c r="E302" s="19"/>
      <c r="F302" s="19"/>
      <c r="G302" s="20"/>
      <c r="H302" s="16" t="str">
        <f aca="false">IF(OR(E302="",F302=""),"",ROUND(MOD(F302-E302,1)*24-N(G302),2))</f>
        <v/>
      </c>
      <c r="I302" s="18"/>
      <c r="J302" s="18"/>
      <c r="K302" s="18"/>
      <c r="L302" s="16" t="str">
        <f aca="false">IF(OR(A302="",B302=""),"",SUMIFS('Registro por hora'!$H$5:$H$2004,'Registro por hora'!$A$5:$A$2004,A302,'Registro por hora'!$B$5:$B$2004,B302))</f>
        <v/>
      </c>
      <c r="M302" s="13" t="str">
        <f aca="false">IF(B302="","",IF(D302="","⚠ Falta estado",IF(AND(OR(D302="Ausente",D302="Medio día"),I302=""),"⚠ Falta motivo",IF(AND(OR(D302="Ausente",D302="Medio día"),J302=""),"⚠ Falta explicación",IF(D302="Ausente","✔ Ausencia justificada",IF(OR(E302="",F302=""),"⚠ Falta hora de entrada/salida",IF(K302="","⚠ Falta resumen del día",IF(N(L302)&lt;N(H302)-0.01,"⚠ Faltan "&amp;TEXT(N(H302)-N(L302),"0.0")&amp;" h por reportar","✔ OK"))))))))</f>
        <v/>
      </c>
    </row>
    <row r="303" customFormat="false" ht="15" hidden="false" customHeight="false" outlineLevel="0" collapsed="false">
      <c r="A303" s="17"/>
      <c r="B303" s="18"/>
      <c r="C303" s="13" t="str">
        <f aca="false">IF(B303="","",IFERROR(INDEX(Personal!$C$5:$C$104,MATCH(B303,Personal!$B$5:$B$104,0)),""))</f>
        <v/>
      </c>
      <c r="D303" s="18"/>
      <c r="E303" s="19"/>
      <c r="F303" s="19"/>
      <c r="G303" s="20"/>
      <c r="H303" s="16" t="str">
        <f aca="false">IF(OR(E303="",F303=""),"",ROUND(MOD(F303-E303,1)*24-N(G303),2))</f>
        <v/>
      </c>
      <c r="I303" s="18"/>
      <c r="J303" s="18"/>
      <c r="K303" s="18"/>
      <c r="L303" s="16" t="str">
        <f aca="false">IF(OR(A303="",B303=""),"",SUMIFS('Registro por hora'!$H$5:$H$2004,'Registro por hora'!$A$5:$A$2004,A303,'Registro por hora'!$B$5:$B$2004,B303))</f>
        <v/>
      </c>
      <c r="M303" s="13" t="str">
        <f aca="false">IF(B303="","",IF(D303="","⚠ Falta estado",IF(AND(OR(D303="Ausente",D303="Medio día"),I303=""),"⚠ Falta motivo",IF(AND(OR(D303="Ausente",D303="Medio día"),J303=""),"⚠ Falta explicación",IF(D303="Ausente","✔ Ausencia justificada",IF(OR(E303="",F303=""),"⚠ Falta hora de entrada/salida",IF(K303="","⚠ Falta resumen del día",IF(N(L303)&lt;N(H303)-0.01,"⚠ Faltan "&amp;TEXT(N(H303)-N(L303),"0.0")&amp;" h por reportar","✔ OK"))))))))</f>
        <v/>
      </c>
    </row>
    <row r="304" customFormat="false" ht="15" hidden="false" customHeight="false" outlineLevel="0" collapsed="false">
      <c r="A304" s="17"/>
      <c r="B304" s="18"/>
      <c r="C304" s="13" t="str">
        <f aca="false">IF(B304="","",IFERROR(INDEX(Personal!$C$5:$C$104,MATCH(B304,Personal!$B$5:$B$104,0)),""))</f>
        <v/>
      </c>
      <c r="D304" s="18"/>
      <c r="E304" s="19"/>
      <c r="F304" s="19"/>
      <c r="G304" s="20"/>
      <c r="H304" s="16" t="str">
        <f aca="false">IF(OR(E304="",F304=""),"",ROUND(MOD(F304-E304,1)*24-N(G304),2))</f>
        <v/>
      </c>
      <c r="I304" s="18"/>
      <c r="J304" s="18"/>
      <c r="K304" s="18"/>
      <c r="L304" s="16" t="str">
        <f aca="false">IF(OR(A304="",B304=""),"",SUMIFS('Registro por hora'!$H$5:$H$2004,'Registro por hora'!$A$5:$A$2004,A304,'Registro por hora'!$B$5:$B$2004,B304))</f>
        <v/>
      </c>
      <c r="M304" s="13" t="str">
        <f aca="false">IF(B304="","",IF(D304="","⚠ Falta estado",IF(AND(OR(D304="Ausente",D304="Medio día"),I304=""),"⚠ Falta motivo",IF(AND(OR(D304="Ausente",D304="Medio día"),J304=""),"⚠ Falta explicación",IF(D304="Ausente","✔ Ausencia justificada",IF(OR(E304="",F304=""),"⚠ Falta hora de entrada/salida",IF(K304="","⚠ Falta resumen del día",IF(N(L304)&lt;N(H304)-0.01,"⚠ Faltan "&amp;TEXT(N(H304)-N(L304),"0.0")&amp;" h por reportar","✔ OK"))))))))</f>
        <v/>
      </c>
    </row>
    <row r="305" customFormat="false" ht="15" hidden="false" customHeight="false" outlineLevel="0" collapsed="false">
      <c r="A305" s="17"/>
      <c r="B305" s="18"/>
      <c r="C305" s="13" t="str">
        <f aca="false">IF(B305="","",IFERROR(INDEX(Personal!$C$5:$C$104,MATCH(B305,Personal!$B$5:$B$104,0)),""))</f>
        <v/>
      </c>
      <c r="D305" s="18"/>
      <c r="E305" s="19"/>
      <c r="F305" s="19"/>
      <c r="G305" s="20"/>
      <c r="H305" s="16" t="str">
        <f aca="false">IF(OR(E305="",F305=""),"",ROUND(MOD(F305-E305,1)*24-N(G305),2))</f>
        <v/>
      </c>
      <c r="I305" s="18"/>
      <c r="J305" s="18"/>
      <c r="K305" s="18"/>
      <c r="L305" s="16" t="str">
        <f aca="false">IF(OR(A305="",B305=""),"",SUMIFS('Registro por hora'!$H$5:$H$2004,'Registro por hora'!$A$5:$A$2004,A305,'Registro por hora'!$B$5:$B$2004,B305))</f>
        <v/>
      </c>
      <c r="M305" s="13" t="str">
        <f aca="false">IF(B305="","",IF(D305="","⚠ Falta estado",IF(AND(OR(D305="Ausente",D305="Medio día"),I305=""),"⚠ Falta motivo",IF(AND(OR(D305="Ausente",D305="Medio día"),J305=""),"⚠ Falta explicación",IF(D305="Ausente","✔ Ausencia justificada",IF(OR(E305="",F305=""),"⚠ Falta hora de entrada/salida",IF(K305="","⚠ Falta resumen del día",IF(N(L305)&lt;N(H305)-0.01,"⚠ Faltan "&amp;TEXT(N(H305)-N(L305),"0.0")&amp;" h por reportar","✔ OK"))))))))</f>
        <v/>
      </c>
    </row>
    <row r="306" customFormat="false" ht="15" hidden="false" customHeight="false" outlineLevel="0" collapsed="false">
      <c r="A306" s="17"/>
      <c r="B306" s="18"/>
      <c r="C306" s="13" t="str">
        <f aca="false">IF(B306="","",IFERROR(INDEX(Personal!$C$5:$C$104,MATCH(B306,Personal!$B$5:$B$104,0)),""))</f>
        <v/>
      </c>
      <c r="D306" s="18"/>
      <c r="E306" s="19"/>
      <c r="F306" s="19"/>
      <c r="G306" s="20"/>
      <c r="H306" s="16" t="str">
        <f aca="false">IF(OR(E306="",F306=""),"",ROUND(MOD(F306-E306,1)*24-N(G306),2))</f>
        <v/>
      </c>
      <c r="I306" s="18"/>
      <c r="J306" s="18"/>
      <c r="K306" s="18"/>
      <c r="L306" s="16" t="str">
        <f aca="false">IF(OR(A306="",B306=""),"",SUMIFS('Registro por hora'!$H$5:$H$2004,'Registro por hora'!$A$5:$A$2004,A306,'Registro por hora'!$B$5:$B$2004,B306))</f>
        <v/>
      </c>
      <c r="M306" s="13" t="str">
        <f aca="false">IF(B306="","",IF(D306="","⚠ Falta estado",IF(AND(OR(D306="Ausente",D306="Medio día"),I306=""),"⚠ Falta motivo",IF(AND(OR(D306="Ausente",D306="Medio día"),J306=""),"⚠ Falta explicación",IF(D306="Ausente","✔ Ausencia justificada",IF(OR(E306="",F306=""),"⚠ Falta hora de entrada/salida",IF(K306="","⚠ Falta resumen del día",IF(N(L306)&lt;N(H306)-0.01,"⚠ Faltan "&amp;TEXT(N(H306)-N(L306),"0.0")&amp;" h por reportar","✔ OK"))))))))</f>
        <v/>
      </c>
    </row>
    <row r="307" customFormat="false" ht="15" hidden="false" customHeight="false" outlineLevel="0" collapsed="false">
      <c r="A307" s="17"/>
      <c r="B307" s="18"/>
      <c r="C307" s="13" t="str">
        <f aca="false">IF(B307="","",IFERROR(INDEX(Personal!$C$5:$C$104,MATCH(B307,Personal!$B$5:$B$104,0)),""))</f>
        <v/>
      </c>
      <c r="D307" s="18"/>
      <c r="E307" s="19"/>
      <c r="F307" s="19"/>
      <c r="G307" s="20"/>
      <c r="H307" s="16" t="str">
        <f aca="false">IF(OR(E307="",F307=""),"",ROUND(MOD(F307-E307,1)*24-N(G307),2))</f>
        <v/>
      </c>
      <c r="I307" s="18"/>
      <c r="J307" s="18"/>
      <c r="K307" s="18"/>
      <c r="L307" s="16" t="str">
        <f aca="false">IF(OR(A307="",B307=""),"",SUMIFS('Registro por hora'!$H$5:$H$2004,'Registro por hora'!$A$5:$A$2004,A307,'Registro por hora'!$B$5:$B$2004,B307))</f>
        <v/>
      </c>
      <c r="M307" s="13" t="str">
        <f aca="false">IF(B307="","",IF(D307="","⚠ Falta estado",IF(AND(OR(D307="Ausente",D307="Medio día"),I307=""),"⚠ Falta motivo",IF(AND(OR(D307="Ausente",D307="Medio día"),J307=""),"⚠ Falta explicación",IF(D307="Ausente","✔ Ausencia justificada",IF(OR(E307="",F307=""),"⚠ Falta hora de entrada/salida",IF(K307="","⚠ Falta resumen del día",IF(N(L307)&lt;N(H307)-0.01,"⚠ Faltan "&amp;TEXT(N(H307)-N(L307),"0.0")&amp;" h por reportar","✔ OK"))))))))</f>
        <v/>
      </c>
    </row>
    <row r="308" customFormat="false" ht="15" hidden="false" customHeight="false" outlineLevel="0" collapsed="false">
      <c r="A308" s="17"/>
      <c r="B308" s="18"/>
      <c r="C308" s="13" t="str">
        <f aca="false">IF(B308="","",IFERROR(INDEX(Personal!$C$5:$C$104,MATCH(B308,Personal!$B$5:$B$104,0)),""))</f>
        <v/>
      </c>
      <c r="D308" s="18"/>
      <c r="E308" s="19"/>
      <c r="F308" s="19"/>
      <c r="G308" s="20"/>
      <c r="H308" s="16" t="str">
        <f aca="false">IF(OR(E308="",F308=""),"",ROUND(MOD(F308-E308,1)*24-N(G308),2))</f>
        <v/>
      </c>
      <c r="I308" s="18"/>
      <c r="J308" s="18"/>
      <c r="K308" s="18"/>
      <c r="L308" s="16" t="str">
        <f aca="false">IF(OR(A308="",B308=""),"",SUMIFS('Registro por hora'!$H$5:$H$2004,'Registro por hora'!$A$5:$A$2004,A308,'Registro por hora'!$B$5:$B$2004,B308))</f>
        <v/>
      </c>
      <c r="M308" s="13" t="str">
        <f aca="false">IF(B308="","",IF(D308="","⚠ Falta estado",IF(AND(OR(D308="Ausente",D308="Medio día"),I308=""),"⚠ Falta motivo",IF(AND(OR(D308="Ausente",D308="Medio día"),J308=""),"⚠ Falta explicación",IF(D308="Ausente","✔ Ausencia justificada",IF(OR(E308="",F308=""),"⚠ Falta hora de entrada/salida",IF(K308="","⚠ Falta resumen del día",IF(N(L308)&lt;N(H308)-0.01,"⚠ Faltan "&amp;TEXT(N(H308)-N(L308),"0.0")&amp;" h por reportar","✔ OK"))))))))</f>
        <v/>
      </c>
    </row>
    <row r="309" customFormat="false" ht="15" hidden="false" customHeight="false" outlineLevel="0" collapsed="false">
      <c r="A309" s="17"/>
      <c r="B309" s="18"/>
      <c r="C309" s="13" t="str">
        <f aca="false">IF(B309="","",IFERROR(INDEX(Personal!$C$5:$C$104,MATCH(B309,Personal!$B$5:$B$104,0)),""))</f>
        <v/>
      </c>
      <c r="D309" s="18"/>
      <c r="E309" s="19"/>
      <c r="F309" s="19"/>
      <c r="G309" s="20"/>
      <c r="H309" s="16" t="str">
        <f aca="false">IF(OR(E309="",F309=""),"",ROUND(MOD(F309-E309,1)*24-N(G309),2))</f>
        <v/>
      </c>
      <c r="I309" s="18"/>
      <c r="J309" s="18"/>
      <c r="K309" s="18"/>
      <c r="L309" s="16" t="str">
        <f aca="false">IF(OR(A309="",B309=""),"",SUMIFS('Registro por hora'!$H$5:$H$2004,'Registro por hora'!$A$5:$A$2004,A309,'Registro por hora'!$B$5:$B$2004,B309))</f>
        <v/>
      </c>
      <c r="M309" s="13" t="str">
        <f aca="false">IF(B309="","",IF(D309="","⚠ Falta estado",IF(AND(OR(D309="Ausente",D309="Medio día"),I309=""),"⚠ Falta motivo",IF(AND(OR(D309="Ausente",D309="Medio día"),J309=""),"⚠ Falta explicación",IF(D309="Ausente","✔ Ausencia justificada",IF(OR(E309="",F309=""),"⚠ Falta hora de entrada/salida",IF(K309="","⚠ Falta resumen del día",IF(N(L309)&lt;N(H309)-0.01,"⚠ Faltan "&amp;TEXT(N(H309)-N(L309),"0.0")&amp;" h por reportar","✔ OK"))))))))</f>
        <v/>
      </c>
    </row>
    <row r="310" customFormat="false" ht="15" hidden="false" customHeight="false" outlineLevel="0" collapsed="false">
      <c r="A310" s="17"/>
      <c r="B310" s="18"/>
      <c r="C310" s="13" t="str">
        <f aca="false">IF(B310="","",IFERROR(INDEX(Personal!$C$5:$C$104,MATCH(B310,Personal!$B$5:$B$104,0)),""))</f>
        <v/>
      </c>
      <c r="D310" s="18"/>
      <c r="E310" s="19"/>
      <c r="F310" s="19"/>
      <c r="G310" s="20"/>
      <c r="H310" s="16" t="str">
        <f aca="false">IF(OR(E310="",F310=""),"",ROUND(MOD(F310-E310,1)*24-N(G310),2))</f>
        <v/>
      </c>
      <c r="I310" s="18"/>
      <c r="J310" s="18"/>
      <c r="K310" s="18"/>
      <c r="L310" s="16" t="str">
        <f aca="false">IF(OR(A310="",B310=""),"",SUMIFS('Registro por hora'!$H$5:$H$2004,'Registro por hora'!$A$5:$A$2004,A310,'Registro por hora'!$B$5:$B$2004,B310))</f>
        <v/>
      </c>
      <c r="M310" s="13" t="str">
        <f aca="false">IF(B310="","",IF(D310="","⚠ Falta estado",IF(AND(OR(D310="Ausente",D310="Medio día"),I310=""),"⚠ Falta motivo",IF(AND(OR(D310="Ausente",D310="Medio día"),J310=""),"⚠ Falta explicación",IF(D310="Ausente","✔ Ausencia justificada",IF(OR(E310="",F310=""),"⚠ Falta hora de entrada/salida",IF(K310="","⚠ Falta resumen del día",IF(N(L310)&lt;N(H310)-0.01,"⚠ Faltan "&amp;TEXT(N(H310)-N(L310),"0.0")&amp;" h por reportar","✔ OK"))))))))</f>
        <v/>
      </c>
    </row>
    <row r="311" customFormat="false" ht="15" hidden="false" customHeight="false" outlineLevel="0" collapsed="false">
      <c r="A311" s="17"/>
      <c r="B311" s="18"/>
      <c r="C311" s="13" t="str">
        <f aca="false">IF(B311="","",IFERROR(INDEX(Personal!$C$5:$C$104,MATCH(B311,Personal!$B$5:$B$104,0)),""))</f>
        <v/>
      </c>
      <c r="D311" s="18"/>
      <c r="E311" s="19"/>
      <c r="F311" s="19"/>
      <c r="G311" s="20"/>
      <c r="H311" s="16" t="str">
        <f aca="false">IF(OR(E311="",F311=""),"",ROUND(MOD(F311-E311,1)*24-N(G311),2))</f>
        <v/>
      </c>
      <c r="I311" s="18"/>
      <c r="J311" s="18"/>
      <c r="K311" s="18"/>
      <c r="L311" s="16" t="str">
        <f aca="false">IF(OR(A311="",B311=""),"",SUMIFS('Registro por hora'!$H$5:$H$2004,'Registro por hora'!$A$5:$A$2004,A311,'Registro por hora'!$B$5:$B$2004,B311))</f>
        <v/>
      </c>
      <c r="M311" s="13" t="str">
        <f aca="false">IF(B311="","",IF(D311="","⚠ Falta estado",IF(AND(OR(D311="Ausente",D311="Medio día"),I311=""),"⚠ Falta motivo",IF(AND(OR(D311="Ausente",D311="Medio día"),J311=""),"⚠ Falta explicación",IF(D311="Ausente","✔ Ausencia justificada",IF(OR(E311="",F311=""),"⚠ Falta hora de entrada/salida",IF(K311="","⚠ Falta resumen del día",IF(N(L311)&lt;N(H311)-0.01,"⚠ Faltan "&amp;TEXT(N(H311)-N(L311),"0.0")&amp;" h por reportar","✔ OK"))))))))</f>
        <v/>
      </c>
    </row>
    <row r="312" customFormat="false" ht="15" hidden="false" customHeight="false" outlineLevel="0" collapsed="false">
      <c r="A312" s="17"/>
      <c r="B312" s="18"/>
      <c r="C312" s="13" t="str">
        <f aca="false">IF(B312="","",IFERROR(INDEX(Personal!$C$5:$C$104,MATCH(B312,Personal!$B$5:$B$104,0)),""))</f>
        <v/>
      </c>
      <c r="D312" s="18"/>
      <c r="E312" s="19"/>
      <c r="F312" s="19"/>
      <c r="G312" s="20"/>
      <c r="H312" s="16" t="str">
        <f aca="false">IF(OR(E312="",F312=""),"",ROUND(MOD(F312-E312,1)*24-N(G312),2))</f>
        <v/>
      </c>
      <c r="I312" s="18"/>
      <c r="J312" s="18"/>
      <c r="K312" s="18"/>
      <c r="L312" s="16" t="str">
        <f aca="false">IF(OR(A312="",B312=""),"",SUMIFS('Registro por hora'!$H$5:$H$2004,'Registro por hora'!$A$5:$A$2004,A312,'Registro por hora'!$B$5:$B$2004,B312))</f>
        <v/>
      </c>
      <c r="M312" s="13" t="str">
        <f aca="false">IF(B312="","",IF(D312="","⚠ Falta estado",IF(AND(OR(D312="Ausente",D312="Medio día"),I312=""),"⚠ Falta motivo",IF(AND(OR(D312="Ausente",D312="Medio día"),J312=""),"⚠ Falta explicación",IF(D312="Ausente","✔ Ausencia justificada",IF(OR(E312="",F312=""),"⚠ Falta hora de entrada/salida",IF(K312="","⚠ Falta resumen del día",IF(N(L312)&lt;N(H312)-0.01,"⚠ Faltan "&amp;TEXT(N(H312)-N(L312),"0.0")&amp;" h por reportar","✔ OK"))))))))</f>
        <v/>
      </c>
    </row>
    <row r="313" customFormat="false" ht="15" hidden="false" customHeight="false" outlineLevel="0" collapsed="false">
      <c r="A313" s="17"/>
      <c r="B313" s="18"/>
      <c r="C313" s="13" t="str">
        <f aca="false">IF(B313="","",IFERROR(INDEX(Personal!$C$5:$C$104,MATCH(B313,Personal!$B$5:$B$104,0)),""))</f>
        <v/>
      </c>
      <c r="D313" s="18"/>
      <c r="E313" s="19"/>
      <c r="F313" s="19"/>
      <c r="G313" s="20"/>
      <c r="H313" s="16" t="str">
        <f aca="false">IF(OR(E313="",F313=""),"",ROUND(MOD(F313-E313,1)*24-N(G313),2))</f>
        <v/>
      </c>
      <c r="I313" s="18"/>
      <c r="J313" s="18"/>
      <c r="K313" s="18"/>
      <c r="L313" s="16" t="str">
        <f aca="false">IF(OR(A313="",B313=""),"",SUMIFS('Registro por hora'!$H$5:$H$2004,'Registro por hora'!$A$5:$A$2004,A313,'Registro por hora'!$B$5:$B$2004,B313))</f>
        <v/>
      </c>
      <c r="M313" s="13" t="str">
        <f aca="false">IF(B313="","",IF(D313="","⚠ Falta estado",IF(AND(OR(D313="Ausente",D313="Medio día"),I313=""),"⚠ Falta motivo",IF(AND(OR(D313="Ausente",D313="Medio día"),J313=""),"⚠ Falta explicación",IF(D313="Ausente","✔ Ausencia justificada",IF(OR(E313="",F313=""),"⚠ Falta hora de entrada/salida",IF(K313="","⚠ Falta resumen del día",IF(N(L313)&lt;N(H313)-0.01,"⚠ Faltan "&amp;TEXT(N(H313)-N(L313),"0.0")&amp;" h por reportar","✔ OK"))))))))</f>
        <v/>
      </c>
    </row>
    <row r="314" customFormat="false" ht="15" hidden="false" customHeight="false" outlineLevel="0" collapsed="false">
      <c r="A314" s="17"/>
      <c r="B314" s="18"/>
      <c r="C314" s="13" t="str">
        <f aca="false">IF(B314="","",IFERROR(INDEX(Personal!$C$5:$C$104,MATCH(B314,Personal!$B$5:$B$104,0)),""))</f>
        <v/>
      </c>
      <c r="D314" s="18"/>
      <c r="E314" s="19"/>
      <c r="F314" s="19"/>
      <c r="G314" s="20"/>
      <c r="H314" s="16" t="str">
        <f aca="false">IF(OR(E314="",F314=""),"",ROUND(MOD(F314-E314,1)*24-N(G314),2))</f>
        <v/>
      </c>
      <c r="I314" s="18"/>
      <c r="J314" s="18"/>
      <c r="K314" s="18"/>
      <c r="L314" s="16" t="str">
        <f aca="false">IF(OR(A314="",B314=""),"",SUMIFS('Registro por hora'!$H$5:$H$2004,'Registro por hora'!$A$5:$A$2004,A314,'Registro por hora'!$B$5:$B$2004,B314))</f>
        <v/>
      </c>
      <c r="M314" s="13" t="str">
        <f aca="false">IF(B314="","",IF(D314="","⚠ Falta estado",IF(AND(OR(D314="Ausente",D314="Medio día"),I314=""),"⚠ Falta motivo",IF(AND(OR(D314="Ausente",D314="Medio día"),J314=""),"⚠ Falta explicación",IF(D314="Ausente","✔ Ausencia justificada",IF(OR(E314="",F314=""),"⚠ Falta hora de entrada/salida",IF(K314="","⚠ Falta resumen del día",IF(N(L314)&lt;N(H314)-0.01,"⚠ Faltan "&amp;TEXT(N(H314)-N(L314),"0.0")&amp;" h por reportar","✔ OK"))))))))</f>
        <v/>
      </c>
    </row>
    <row r="315" customFormat="false" ht="15" hidden="false" customHeight="false" outlineLevel="0" collapsed="false">
      <c r="A315" s="17"/>
      <c r="B315" s="18"/>
      <c r="C315" s="13" t="str">
        <f aca="false">IF(B315="","",IFERROR(INDEX(Personal!$C$5:$C$104,MATCH(B315,Personal!$B$5:$B$104,0)),""))</f>
        <v/>
      </c>
      <c r="D315" s="18"/>
      <c r="E315" s="19"/>
      <c r="F315" s="19"/>
      <c r="G315" s="20"/>
      <c r="H315" s="16" t="str">
        <f aca="false">IF(OR(E315="",F315=""),"",ROUND(MOD(F315-E315,1)*24-N(G315),2))</f>
        <v/>
      </c>
      <c r="I315" s="18"/>
      <c r="J315" s="18"/>
      <c r="K315" s="18"/>
      <c r="L315" s="16" t="str">
        <f aca="false">IF(OR(A315="",B315=""),"",SUMIFS('Registro por hora'!$H$5:$H$2004,'Registro por hora'!$A$5:$A$2004,A315,'Registro por hora'!$B$5:$B$2004,B315))</f>
        <v/>
      </c>
      <c r="M315" s="13" t="str">
        <f aca="false">IF(B315="","",IF(D315="","⚠ Falta estado",IF(AND(OR(D315="Ausente",D315="Medio día"),I315=""),"⚠ Falta motivo",IF(AND(OR(D315="Ausente",D315="Medio día"),J315=""),"⚠ Falta explicación",IF(D315="Ausente","✔ Ausencia justificada",IF(OR(E315="",F315=""),"⚠ Falta hora de entrada/salida",IF(K315="","⚠ Falta resumen del día",IF(N(L315)&lt;N(H315)-0.01,"⚠ Faltan "&amp;TEXT(N(H315)-N(L315),"0.0")&amp;" h por reportar","✔ OK"))))))))</f>
        <v/>
      </c>
    </row>
    <row r="316" customFormat="false" ht="15" hidden="false" customHeight="false" outlineLevel="0" collapsed="false">
      <c r="A316" s="17"/>
      <c r="B316" s="18"/>
      <c r="C316" s="13" t="str">
        <f aca="false">IF(B316="","",IFERROR(INDEX(Personal!$C$5:$C$104,MATCH(B316,Personal!$B$5:$B$104,0)),""))</f>
        <v/>
      </c>
      <c r="D316" s="18"/>
      <c r="E316" s="19"/>
      <c r="F316" s="19"/>
      <c r="G316" s="20"/>
      <c r="H316" s="16" t="str">
        <f aca="false">IF(OR(E316="",F316=""),"",ROUND(MOD(F316-E316,1)*24-N(G316),2))</f>
        <v/>
      </c>
      <c r="I316" s="18"/>
      <c r="J316" s="18"/>
      <c r="K316" s="18"/>
      <c r="L316" s="16" t="str">
        <f aca="false">IF(OR(A316="",B316=""),"",SUMIFS('Registro por hora'!$H$5:$H$2004,'Registro por hora'!$A$5:$A$2004,A316,'Registro por hora'!$B$5:$B$2004,B316))</f>
        <v/>
      </c>
      <c r="M316" s="13" t="str">
        <f aca="false">IF(B316="","",IF(D316="","⚠ Falta estado",IF(AND(OR(D316="Ausente",D316="Medio día"),I316=""),"⚠ Falta motivo",IF(AND(OR(D316="Ausente",D316="Medio día"),J316=""),"⚠ Falta explicación",IF(D316="Ausente","✔ Ausencia justificada",IF(OR(E316="",F316=""),"⚠ Falta hora de entrada/salida",IF(K316="","⚠ Falta resumen del día",IF(N(L316)&lt;N(H316)-0.01,"⚠ Faltan "&amp;TEXT(N(H316)-N(L316),"0.0")&amp;" h por reportar","✔ OK"))))))))</f>
        <v/>
      </c>
    </row>
    <row r="317" customFormat="false" ht="15" hidden="false" customHeight="false" outlineLevel="0" collapsed="false">
      <c r="A317" s="17"/>
      <c r="B317" s="18"/>
      <c r="C317" s="13" t="str">
        <f aca="false">IF(B317="","",IFERROR(INDEX(Personal!$C$5:$C$104,MATCH(B317,Personal!$B$5:$B$104,0)),""))</f>
        <v/>
      </c>
      <c r="D317" s="18"/>
      <c r="E317" s="19"/>
      <c r="F317" s="19"/>
      <c r="G317" s="20"/>
      <c r="H317" s="16" t="str">
        <f aca="false">IF(OR(E317="",F317=""),"",ROUND(MOD(F317-E317,1)*24-N(G317),2))</f>
        <v/>
      </c>
      <c r="I317" s="18"/>
      <c r="J317" s="18"/>
      <c r="K317" s="18"/>
      <c r="L317" s="16" t="str">
        <f aca="false">IF(OR(A317="",B317=""),"",SUMIFS('Registro por hora'!$H$5:$H$2004,'Registro por hora'!$A$5:$A$2004,A317,'Registro por hora'!$B$5:$B$2004,B317))</f>
        <v/>
      </c>
      <c r="M317" s="13" t="str">
        <f aca="false">IF(B317="","",IF(D317="","⚠ Falta estado",IF(AND(OR(D317="Ausente",D317="Medio día"),I317=""),"⚠ Falta motivo",IF(AND(OR(D317="Ausente",D317="Medio día"),J317=""),"⚠ Falta explicación",IF(D317="Ausente","✔ Ausencia justificada",IF(OR(E317="",F317=""),"⚠ Falta hora de entrada/salida",IF(K317="","⚠ Falta resumen del día",IF(N(L317)&lt;N(H317)-0.01,"⚠ Faltan "&amp;TEXT(N(H317)-N(L317),"0.0")&amp;" h por reportar","✔ OK"))))))))</f>
        <v/>
      </c>
    </row>
    <row r="318" customFormat="false" ht="15" hidden="false" customHeight="false" outlineLevel="0" collapsed="false">
      <c r="A318" s="17"/>
      <c r="B318" s="18"/>
      <c r="C318" s="13" t="str">
        <f aca="false">IF(B318="","",IFERROR(INDEX(Personal!$C$5:$C$104,MATCH(B318,Personal!$B$5:$B$104,0)),""))</f>
        <v/>
      </c>
      <c r="D318" s="18"/>
      <c r="E318" s="19"/>
      <c r="F318" s="19"/>
      <c r="G318" s="20"/>
      <c r="H318" s="16" t="str">
        <f aca="false">IF(OR(E318="",F318=""),"",ROUND(MOD(F318-E318,1)*24-N(G318),2))</f>
        <v/>
      </c>
      <c r="I318" s="18"/>
      <c r="J318" s="18"/>
      <c r="K318" s="18"/>
      <c r="L318" s="16" t="str">
        <f aca="false">IF(OR(A318="",B318=""),"",SUMIFS('Registro por hora'!$H$5:$H$2004,'Registro por hora'!$A$5:$A$2004,A318,'Registro por hora'!$B$5:$B$2004,B318))</f>
        <v/>
      </c>
      <c r="M318" s="13" t="str">
        <f aca="false">IF(B318="","",IF(D318="","⚠ Falta estado",IF(AND(OR(D318="Ausente",D318="Medio día"),I318=""),"⚠ Falta motivo",IF(AND(OR(D318="Ausente",D318="Medio día"),J318=""),"⚠ Falta explicación",IF(D318="Ausente","✔ Ausencia justificada",IF(OR(E318="",F318=""),"⚠ Falta hora de entrada/salida",IF(K318="","⚠ Falta resumen del día",IF(N(L318)&lt;N(H318)-0.01,"⚠ Faltan "&amp;TEXT(N(H318)-N(L318),"0.0")&amp;" h por reportar","✔ OK"))))))))</f>
        <v/>
      </c>
    </row>
    <row r="319" customFormat="false" ht="15" hidden="false" customHeight="false" outlineLevel="0" collapsed="false">
      <c r="A319" s="17"/>
      <c r="B319" s="18"/>
      <c r="C319" s="13" t="str">
        <f aca="false">IF(B319="","",IFERROR(INDEX(Personal!$C$5:$C$104,MATCH(B319,Personal!$B$5:$B$104,0)),""))</f>
        <v/>
      </c>
      <c r="D319" s="18"/>
      <c r="E319" s="19"/>
      <c r="F319" s="19"/>
      <c r="G319" s="20"/>
      <c r="H319" s="16" t="str">
        <f aca="false">IF(OR(E319="",F319=""),"",ROUND(MOD(F319-E319,1)*24-N(G319),2))</f>
        <v/>
      </c>
      <c r="I319" s="18"/>
      <c r="J319" s="18"/>
      <c r="K319" s="18"/>
      <c r="L319" s="16" t="str">
        <f aca="false">IF(OR(A319="",B319=""),"",SUMIFS('Registro por hora'!$H$5:$H$2004,'Registro por hora'!$A$5:$A$2004,A319,'Registro por hora'!$B$5:$B$2004,B319))</f>
        <v/>
      </c>
      <c r="M319" s="13" t="str">
        <f aca="false">IF(B319="","",IF(D319="","⚠ Falta estado",IF(AND(OR(D319="Ausente",D319="Medio día"),I319=""),"⚠ Falta motivo",IF(AND(OR(D319="Ausente",D319="Medio día"),J319=""),"⚠ Falta explicación",IF(D319="Ausente","✔ Ausencia justificada",IF(OR(E319="",F319=""),"⚠ Falta hora de entrada/salida",IF(K319="","⚠ Falta resumen del día",IF(N(L319)&lt;N(H319)-0.01,"⚠ Faltan "&amp;TEXT(N(H319)-N(L319),"0.0")&amp;" h por reportar","✔ OK"))))))))</f>
        <v/>
      </c>
    </row>
    <row r="320" customFormat="false" ht="15" hidden="false" customHeight="false" outlineLevel="0" collapsed="false">
      <c r="A320" s="17"/>
      <c r="B320" s="18"/>
      <c r="C320" s="13" t="str">
        <f aca="false">IF(B320="","",IFERROR(INDEX(Personal!$C$5:$C$104,MATCH(B320,Personal!$B$5:$B$104,0)),""))</f>
        <v/>
      </c>
      <c r="D320" s="18"/>
      <c r="E320" s="19"/>
      <c r="F320" s="19"/>
      <c r="G320" s="20"/>
      <c r="H320" s="16" t="str">
        <f aca="false">IF(OR(E320="",F320=""),"",ROUND(MOD(F320-E320,1)*24-N(G320),2))</f>
        <v/>
      </c>
      <c r="I320" s="18"/>
      <c r="J320" s="18"/>
      <c r="K320" s="18"/>
      <c r="L320" s="16" t="str">
        <f aca="false">IF(OR(A320="",B320=""),"",SUMIFS('Registro por hora'!$H$5:$H$2004,'Registro por hora'!$A$5:$A$2004,A320,'Registro por hora'!$B$5:$B$2004,B320))</f>
        <v/>
      </c>
      <c r="M320" s="13" t="str">
        <f aca="false">IF(B320="","",IF(D320="","⚠ Falta estado",IF(AND(OR(D320="Ausente",D320="Medio día"),I320=""),"⚠ Falta motivo",IF(AND(OR(D320="Ausente",D320="Medio día"),J320=""),"⚠ Falta explicación",IF(D320="Ausente","✔ Ausencia justificada",IF(OR(E320="",F320=""),"⚠ Falta hora de entrada/salida",IF(K320="","⚠ Falta resumen del día",IF(N(L320)&lt;N(H320)-0.01,"⚠ Faltan "&amp;TEXT(N(H320)-N(L320),"0.0")&amp;" h por reportar","✔ OK"))))))))</f>
        <v/>
      </c>
    </row>
    <row r="321" customFormat="false" ht="15" hidden="false" customHeight="false" outlineLevel="0" collapsed="false">
      <c r="A321" s="17"/>
      <c r="B321" s="18"/>
      <c r="C321" s="13" t="str">
        <f aca="false">IF(B321="","",IFERROR(INDEX(Personal!$C$5:$C$104,MATCH(B321,Personal!$B$5:$B$104,0)),""))</f>
        <v/>
      </c>
      <c r="D321" s="18"/>
      <c r="E321" s="19"/>
      <c r="F321" s="19"/>
      <c r="G321" s="20"/>
      <c r="H321" s="16" t="str">
        <f aca="false">IF(OR(E321="",F321=""),"",ROUND(MOD(F321-E321,1)*24-N(G321),2))</f>
        <v/>
      </c>
      <c r="I321" s="18"/>
      <c r="J321" s="18"/>
      <c r="K321" s="18"/>
      <c r="L321" s="16" t="str">
        <f aca="false">IF(OR(A321="",B321=""),"",SUMIFS('Registro por hora'!$H$5:$H$2004,'Registro por hora'!$A$5:$A$2004,A321,'Registro por hora'!$B$5:$B$2004,B321))</f>
        <v/>
      </c>
      <c r="M321" s="13" t="str">
        <f aca="false">IF(B321="","",IF(D321="","⚠ Falta estado",IF(AND(OR(D321="Ausente",D321="Medio día"),I321=""),"⚠ Falta motivo",IF(AND(OR(D321="Ausente",D321="Medio día"),J321=""),"⚠ Falta explicación",IF(D321="Ausente","✔ Ausencia justificada",IF(OR(E321="",F321=""),"⚠ Falta hora de entrada/salida",IF(K321="","⚠ Falta resumen del día",IF(N(L321)&lt;N(H321)-0.01,"⚠ Faltan "&amp;TEXT(N(H321)-N(L321),"0.0")&amp;" h por reportar","✔ OK"))))))))</f>
        <v/>
      </c>
    </row>
    <row r="322" customFormat="false" ht="15" hidden="false" customHeight="false" outlineLevel="0" collapsed="false">
      <c r="A322" s="17"/>
      <c r="B322" s="18"/>
      <c r="C322" s="13" t="str">
        <f aca="false">IF(B322="","",IFERROR(INDEX(Personal!$C$5:$C$104,MATCH(B322,Personal!$B$5:$B$104,0)),""))</f>
        <v/>
      </c>
      <c r="D322" s="18"/>
      <c r="E322" s="19"/>
      <c r="F322" s="19"/>
      <c r="G322" s="20"/>
      <c r="H322" s="16" t="str">
        <f aca="false">IF(OR(E322="",F322=""),"",ROUND(MOD(F322-E322,1)*24-N(G322),2))</f>
        <v/>
      </c>
      <c r="I322" s="18"/>
      <c r="J322" s="18"/>
      <c r="K322" s="18"/>
      <c r="L322" s="16" t="str">
        <f aca="false">IF(OR(A322="",B322=""),"",SUMIFS('Registro por hora'!$H$5:$H$2004,'Registro por hora'!$A$5:$A$2004,A322,'Registro por hora'!$B$5:$B$2004,B322))</f>
        <v/>
      </c>
      <c r="M322" s="13" t="str">
        <f aca="false">IF(B322="","",IF(D322="","⚠ Falta estado",IF(AND(OR(D322="Ausente",D322="Medio día"),I322=""),"⚠ Falta motivo",IF(AND(OR(D322="Ausente",D322="Medio día"),J322=""),"⚠ Falta explicación",IF(D322="Ausente","✔ Ausencia justificada",IF(OR(E322="",F322=""),"⚠ Falta hora de entrada/salida",IF(K322="","⚠ Falta resumen del día",IF(N(L322)&lt;N(H322)-0.01,"⚠ Faltan "&amp;TEXT(N(H322)-N(L322),"0.0")&amp;" h por reportar","✔ OK"))))))))</f>
        <v/>
      </c>
    </row>
    <row r="323" customFormat="false" ht="15" hidden="false" customHeight="false" outlineLevel="0" collapsed="false">
      <c r="A323" s="17"/>
      <c r="B323" s="18"/>
      <c r="C323" s="13" t="str">
        <f aca="false">IF(B323="","",IFERROR(INDEX(Personal!$C$5:$C$104,MATCH(B323,Personal!$B$5:$B$104,0)),""))</f>
        <v/>
      </c>
      <c r="D323" s="18"/>
      <c r="E323" s="19"/>
      <c r="F323" s="19"/>
      <c r="G323" s="20"/>
      <c r="H323" s="16" t="str">
        <f aca="false">IF(OR(E323="",F323=""),"",ROUND(MOD(F323-E323,1)*24-N(G323),2))</f>
        <v/>
      </c>
      <c r="I323" s="18"/>
      <c r="J323" s="18"/>
      <c r="K323" s="18"/>
      <c r="L323" s="16" t="str">
        <f aca="false">IF(OR(A323="",B323=""),"",SUMIFS('Registro por hora'!$H$5:$H$2004,'Registro por hora'!$A$5:$A$2004,A323,'Registro por hora'!$B$5:$B$2004,B323))</f>
        <v/>
      </c>
      <c r="M323" s="13" t="str">
        <f aca="false">IF(B323="","",IF(D323="","⚠ Falta estado",IF(AND(OR(D323="Ausente",D323="Medio día"),I323=""),"⚠ Falta motivo",IF(AND(OR(D323="Ausente",D323="Medio día"),J323=""),"⚠ Falta explicación",IF(D323="Ausente","✔ Ausencia justificada",IF(OR(E323="",F323=""),"⚠ Falta hora de entrada/salida",IF(K323="","⚠ Falta resumen del día",IF(N(L323)&lt;N(H323)-0.01,"⚠ Faltan "&amp;TEXT(N(H323)-N(L323),"0.0")&amp;" h por reportar","✔ OK"))))))))</f>
        <v/>
      </c>
    </row>
    <row r="324" customFormat="false" ht="15" hidden="false" customHeight="false" outlineLevel="0" collapsed="false">
      <c r="A324" s="17"/>
      <c r="B324" s="18"/>
      <c r="C324" s="13" t="str">
        <f aca="false">IF(B324="","",IFERROR(INDEX(Personal!$C$5:$C$104,MATCH(B324,Personal!$B$5:$B$104,0)),""))</f>
        <v/>
      </c>
      <c r="D324" s="18"/>
      <c r="E324" s="19"/>
      <c r="F324" s="19"/>
      <c r="G324" s="20"/>
      <c r="H324" s="16" t="str">
        <f aca="false">IF(OR(E324="",F324=""),"",ROUND(MOD(F324-E324,1)*24-N(G324),2))</f>
        <v/>
      </c>
      <c r="I324" s="18"/>
      <c r="J324" s="18"/>
      <c r="K324" s="18"/>
      <c r="L324" s="16" t="str">
        <f aca="false">IF(OR(A324="",B324=""),"",SUMIFS('Registro por hora'!$H$5:$H$2004,'Registro por hora'!$A$5:$A$2004,A324,'Registro por hora'!$B$5:$B$2004,B324))</f>
        <v/>
      </c>
      <c r="M324" s="13" t="str">
        <f aca="false">IF(B324="","",IF(D324="","⚠ Falta estado",IF(AND(OR(D324="Ausente",D324="Medio día"),I324=""),"⚠ Falta motivo",IF(AND(OR(D324="Ausente",D324="Medio día"),J324=""),"⚠ Falta explicación",IF(D324="Ausente","✔ Ausencia justificada",IF(OR(E324="",F324=""),"⚠ Falta hora de entrada/salida",IF(K324="","⚠ Falta resumen del día",IF(N(L324)&lt;N(H324)-0.01,"⚠ Faltan "&amp;TEXT(N(H324)-N(L324),"0.0")&amp;" h por reportar","✔ OK"))))))))</f>
        <v/>
      </c>
    </row>
    <row r="325" customFormat="false" ht="15" hidden="false" customHeight="false" outlineLevel="0" collapsed="false">
      <c r="A325" s="17"/>
      <c r="B325" s="18"/>
      <c r="C325" s="13" t="str">
        <f aca="false">IF(B325="","",IFERROR(INDEX(Personal!$C$5:$C$104,MATCH(B325,Personal!$B$5:$B$104,0)),""))</f>
        <v/>
      </c>
      <c r="D325" s="18"/>
      <c r="E325" s="19"/>
      <c r="F325" s="19"/>
      <c r="G325" s="20"/>
      <c r="H325" s="16" t="str">
        <f aca="false">IF(OR(E325="",F325=""),"",ROUND(MOD(F325-E325,1)*24-N(G325),2))</f>
        <v/>
      </c>
      <c r="I325" s="18"/>
      <c r="J325" s="18"/>
      <c r="K325" s="18"/>
      <c r="L325" s="16" t="str">
        <f aca="false">IF(OR(A325="",B325=""),"",SUMIFS('Registro por hora'!$H$5:$H$2004,'Registro por hora'!$A$5:$A$2004,A325,'Registro por hora'!$B$5:$B$2004,B325))</f>
        <v/>
      </c>
      <c r="M325" s="13" t="str">
        <f aca="false">IF(B325="","",IF(D325="","⚠ Falta estado",IF(AND(OR(D325="Ausente",D325="Medio día"),I325=""),"⚠ Falta motivo",IF(AND(OR(D325="Ausente",D325="Medio día"),J325=""),"⚠ Falta explicación",IF(D325="Ausente","✔ Ausencia justificada",IF(OR(E325="",F325=""),"⚠ Falta hora de entrada/salida",IF(K325="","⚠ Falta resumen del día",IF(N(L325)&lt;N(H325)-0.01,"⚠ Faltan "&amp;TEXT(N(H325)-N(L325),"0.0")&amp;" h por reportar","✔ OK"))))))))</f>
        <v/>
      </c>
    </row>
    <row r="326" customFormat="false" ht="15" hidden="false" customHeight="false" outlineLevel="0" collapsed="false">
      <c r="A326" s="17"/>
      <c r="B326" s="18"/>
      <c r="C326" s="13" t="str">
        <f aca="false">IF(B326="","",IFERROR(INDEX(Personal!$C$5:$C$104,MATCH(B326,Personal!$B$5:$B$104,0)),""))</f>
        <v/>
      </c>
      <c r="D326" s="18"/>
      <c r="E326" s="19"/>
      <c r="F326" s="19"/>
      <c r="G326" s="20"/>
      <c r="H326" s="16" t="str">
        <f aca="false">IF(OR(E326="",F326=""),"",ROUND(MOD(F326-E326,1)*24-N(G326),2))</f>
        <v/>
      </c>
      <c r="I326" s="18"/>
      <c r="J326" s="18"/>
      <c r="K326" s="18"/>
      <c r="L326" s="16" t="str">
        <f aca="false">IF(OR(A326="",B326=""),"",SUMIFS('Registro por hora'!$H$5:$H$2004,'Registro por hora'!$A$5:$A$2004,A326,'Registro por hora'!$B$5:$B$2004,B326))</f>
        <v/>
      </c>
      <c r="M326" s="13" t="str">
        <f aca="false">IF(B326="","",IF(D326="","⚠ Falta estado",IF(AND(OR(D326="Ausente",D326="Medio día"),I326=""),"⚠ Falta motivo",IF(AND(OR(D326="Ausente",D326="Medio día"),J326=""),"⚠ Falta explicación",IF(D326="Ausente","✔ Ausencia justificada",IF(OR(E326="",F326=""),"⚠ Falta hora de entrada/salida",IF(K326="","⚠ Falta resumen del día",IF(N(L326)&lt;N(H326)-0.01,"⚠ Faltan "&amp;TEXT(N(H326)-N(L326),"0.0")&amp;" h por reportar","✔ OK"))))))))</f>
        <v/>
      </c>
    </row>
    <row r="327" customFormat="false" ht="15" hidden="false" customHeight="false" outlineLevel="0" collapsed="false">
      <c r="A327" s="17"/>
      <c r="B327" s="18"/>
      <c r="C327" s="13" t="str">
        <f aca="false">IF(B327="","",IFERROR(INDEX(Personal!$C$5:$C$104,MATCH(B327,Personal!$B$5:$B$104,0)),""))</f>
        <v/>
      </c>
      <c r="D327" s="18"/>
      <c r="E327" s="19"/>
      <c r="F327" s="19"/>
      <c r="G327" s="20"/>
      <c r="H327" s="16" t="str">
        <f aca="false">IF(OR(E327="",F327=""),"",ROUND(MOD(F327-E327,1)*24-N(G327),2))</f>
        <v/>
      </c>
      <c r="I327" s="18"/>
      <c r="J327" s="18"/>
      <c r="K327" s="18"/>
      <c r="L327" s="16" t="str">
        <f aca="false">IF(OR(A327="",B327=""),"",SUMIFS('Registro por hora'!$H$5:$H$2004,'Registro por hora'!$A$5:$A$2004,A327,'Registro por hora'!$B$5:$B$2004,B327))</f>
        <v/>
      </c>
      <c r="M327" s="13" t="str">
        <f aca="false">IF(B327="","",IF(D327="","⚠ Falta estado",IF(AND(OR(D327="Ausente",D327="Medio día"),I327=""),"⚠ Falta motivo",IF(AND(OR(D327="Ausente",D327="Medio día"),J327=""),"⚠ Falta explicación",IF(D327="Ausente","✔ Ausencia justificada",IF(OR(E327="",F327=""),"⚠ Falta hora de entrada/salida",IF(K327="","⚠ Falta resumen del día",IF(N(L327)&lt;N(H327)-0.01,"⚠ Faltan "&amp;TEXT(N(H327)-N(L327),"0.0")&amp;" h por reportar","✔ OK"))))))))</f>
        <v/>
      </c>
    </row>
    <row r="328" customFormat="false" ht="15" hidden="false" customHeight="false" outlineLevel="0" collapsed="false">
      <c r="A328" s="17"/>
      <c r="B328" s="18"/>
      <c r="C328" s="13" t="str">
        <f aca="false">IF(B328="","",IFERROR(INDEX(Personal!$C$5:$C$104,MATCH(B328,Personal!$B$5:$B$104,0)),""))</f>
        <v/>
      </c>
      <c r="D328" s="18"/>
      <c r="E328" s="19"/>
      <c r="F328" s="19"/>
      <c r="G328" s="20"/>
      <c r="H328" s="16" t="str">
        <f aca="false">IF(OR(E328="",F328=""),"",ROUND(MOD(F328-E328,1)*24-N(G328),2))</f>
        <v/>
      </c>
      <c r="I328" s="18"/>
      <c r="J328" s="18"/>
      <c r="K328" s="18"/>
      <c r="L328" s="16" t="str">
        <f aca="false">IF(OR(A328="",B328=""),"",SUMIFS('Registro por hora'!$H$5:$H$2004,'Registro por hora'!$A$5:$A$2004,A328,'Registro por hora'!$B$5:$B$2004,B328))</f>
        <v/>
      </c>
      <c r="M328" s="13" t="str">
        <f aca="false">IF(B328="","",IF(D328="","⚠ Falta estado",IF(AND(OR(D328="Ausente",D328="Medio día"),I328=""),"⚠ Falta motivo",IF(AND(OR(D328="Ausente",D328="Medio día"),J328=""),"⚠ Falta explicación",IF(D328="Ausente","✔ Ausencia justificada",IF(OR(E328="",F328=""),"⚠ Falta hora de entrada/salida",IF(K328="","⚠ Falta resumen del día",IF(N(L328)&lt;N(H328)-0.01,"⚠ Faltan "&amp;TEXT(N(H328)-N(L328),"0.0")&amp;" h por reportar","✔ OK"))))))))</f>
        <v/>
      </c>
    </row>
    <row r="329" customFormat="false" ht="15" hidden="false" customHeight="false" outlineLevel="0" collapsed="false">
      <c r="A329" s="17"/>
      <c r="B329" s="18"/>
      <c r="C329" s="13" t="str">
        <f aca="false">IF(B329="","",IFERROR(INDEX(Personal!$C$5:$C$104,MATCH(B329,Personal!$B$5:$B$104,0)),""))</f>
        <v/>
      </c>
      <c r="D329" s="18"/>
      <c r="E329" s="19"/>
      <c r="F329" s="19"/>
      <c r="G329" s="20"/>
      <c r="H329" s="16" t="str">
        <f aca="false">IF(OR(E329="",F329=""),"",ROUND(MOD(F329-E329,1)*24-N(G329),2))</f>
        <v/>
      </c>
      <c r="I329" s="18"/>
      <c r="J329" s="18"/>
      <c r="K329" s="18"/>
      <c r="L329" s="16" t="str">
        <f aca="false">IF(OR(A329="",B329=""),"",SUMIFS('Registro por hora'!$H$5:$H$2004,'Registro por hora'!$A$5:$A$2004,A329,'Registro por hora'!$B$5:$B$2004,B329))</f>
        <v/>
      </c>
      <c r="M329" s="13" t="str">
        <f aca="false">IF(B329="","",IF(D329="","⚠ Falta estado",IF(AND(OR(D329="Ausente",D329="Medio día"),I329=""),"⚠ Falta motivo",IF(AND(OR(D329="Ausente",D329="Medio día"),J329=""),"⚠ Falta explicación",IF(D329="Ausente","✔ Ausencia justificada",IF(OR(E329="",F329=""),"⚠ Falta hora de entrada/salida",IF(K329="","⚠ Falta resumen del día",IF(N(L329)&lt;N(H329)-0.01,"⚠ Faltan "&amp;TEXT(N(H329)-N(L329),"0.0")&amp;" h por reportar","✔ OK"))))))))</f>
        <v/>
      </c>
    </row>
    <row r="330" customFormat="false" ht="15" hidden="false" customHeight="false" outlineLevel="0" collapsed="false">
      <c r="A330" s="17"/>
      <c r="B330" s="18"/>
      <c r="C330" s="13" t="str">
        <f aca="false">IF(B330="","",IFERROR(INDEX(Personal!$C$5:$C$104,MATCH(B330,Personal!$B$5:$B$104,0)),""))</f>
        <v/>
      </c>
      <c r="D330" s="18"/>
      <c r="E330" s="19"/>
      <c r="F330" s="19"/>
      <c r="G330" s="20"/>
      <c r="H330" s="16" t="str">
        <f aca="false">IF(OR(E330="",F330=""),"",ROUND(MOD(F330-E330,1)*24-N(G330),2))</f>
        <v/>
      </c>
      <c r="I330" s="18"/>
      <c r="J330" s="18"/>
      <c r="K330" s="18"/>
      <c r="L330" s="16" t="str">
        <f aca="false">IF(OR(A330="",B330=""),"",SUMIFS('Registro por hora'!$H$5:$H$2004,'Registro por hora'!$A$5:$A$2004,A330,'Registro por hora'!$B$5:$B$2004,B330))</f>
        <v/>
      </c>
      <c r="M330" s="13" t="str">
        <f aca="false">IF(B330="","",IF(D330="","⚠ Falta estado",IF(AND(OR(D330="Ausente",D330="Medio día"),I330=""),"⚠ Falta motivo",IF(AND(OR(D330="Ausente",D330="Medio día"),J330=""),"⚠ Falta explicación",IF(D330="Ausente","✔ Ausencia justificada",IF(OR(E330="",F330=""),"⚠ Falta hora de entrada/salida",IF(K330="","⚠ Falta resumen del día",IF(N(L330)&lt;N(H330)-0.01,"⚠ Faltan "&amp;TEXT(N(H330)-N(L330),"0.0")&amp;" h por reportar","✔ OK"))))))))</f>
        <v/>
      </c>
    </row>
    <row r="331" customFormat="false" ht="15" hidden="false" customHeight="false" outlineLevel="0" collapsed="false">
      <c r="A331" s="17"/>
      <c r="B331" s="18"/>
      <c r="C331" s="13" t="str">
        <f aca="false">IF(B331="","",IFERROR(INDEX(Personal!$C$5:$C$104,MATCH(B331,Personal!$B$5:$B$104,0)),""))</f>
        <v/>
      </c>
      <c r="D331" s="18"/>
      <c r="E331" s="19"/>
      <c r="F331" s="19"/>
      <c r="G331" s="20"/>
      <c r="H331" s="16" t="str">
        <f aca="false">IF(OR(E331="",F331=""),"",ROUND(MOD(F331-E331,1)*24-N(G331),2))</f>
        <v/>
      </c>
      <c r="I331" s="18"/>
      <c r="J331" s="18"/>
      <c r="K331" s="18"/>
      <c r="L331" s="16" t="str">
        <f aca="false">IF(OR(A331="",B331=""),"",SUMIFS('Registro por hora'!$H$5:$H$2004,'Registro por hora'!$A$5:$A$2004,A331,'Registro por hora'!$B$5:$B$2004,B331))</f>
        <v/>
      </c>
      <c r="M331" s="13" t="str">
        <f aca="false">IF(B331="","",IF(D331="","⚠ Falta estado",IF(AND(OR(D331="Ausente",D331="Medio día"),I331=""),"⚠ Falta motivo",IF(AND(OR(D331="Ausente",D331="Medio día"),J331=""),"⚠ Falta explicación",IF(D331="Ausente","✔ Ausencia justificada",IF(OR(E331="",F331=""),"⚠ Falta hora de entrada/salida",IF(K331="","⚠ Falta resumen del día",IF(N(L331)&lt;N(H331)-0.01,"⚠ Faltan "&amp;TEXT(N(H331)-N(L331),"0.0")&amp;" h por reportar","✔ OK"))))))))</f>
        <v/>
      </c>
    </row>
    <row r="332" customFormat="false" ht="15" hidden="false" customHeight="false" outlineLevel="0" collapsed="false">
      <c r="A332" s="17"/>
      <c r="B332" s="18"/>
      <c r="C332" s="13" t="str">
        <f aca="false">IF(B332="","",IFERROR(INDEX(Personal!$C$5:$C$104,MATCH(B332,Personal!$B$5:$B$104,0)),""))</f>
        <v/>
      </c>
      <c r="D332" s="18"/>
      <c r="E332" s="19"/>
      <c r="F332" s="19"/>
      <c r="G332" s="20"/>
      <c r="H332" s="16" t="str">
        <f aca="false">IF(OR(E332="",F332=""),"",ROUND(MOD(F332-E332,1)*24-N(G332),2))</f>
        <v/>
      </c>
      <c r="I332" s="18"/>
      <c r="J332" s="18"/>
      <c r="K332" s="18"/>
      <c r="L332" s="16" t="str">
        <f aca="false">IF(OR(A332="",B332=""),"",SUMIFS('Registro por hora'!$H$5:$H$2004,'Registro por hora'!$A$5:$A$2004,A332,'Registro por hora'!$B$5:$B$2004,B332))</f>
        <v/>
      </c>
      <c r="M332" s="13" t="str">
        <f aca="false">IF(B332="","",IF(D332="","⚠ Falta estado",IF(AND(OR(D332="Ausente",D332="Medio día"),I332=""),"⚠ Falta motivo",IF(AND(OR(D332="Ausente",D332="Medio día"),J332=""),"⚠ Falta explicación",IF(D332="Ausente","✔ Ausencia justificada",IF(OR(E332="",F332=""),"⚠ Falta hora de entrada/salida",IF(K332="","⚠ Falta resumen del día",IF(N(L332)&lt;N(H332)-0.01,"⚠ Faltan "&amp;TEXT(N(H332)-N(L332),"0.0")&amp;" h por reportar","✔ OK"))))))))</f>
        <v/>
      </c>
    </row>
    <row r="333" customFormat="false" ht="15" hidden="false" customHeight="false" outlineLevel="0" collapsed="false">
      <c r="A333" s="17"/>
      <c r="B333" s="18"/>
      <c r="C333" s="13" t="str">
        <f aca="false">IF(B333="","",IFERROR(INDEX(Personal!$C$5:$C$104,MATCH(B333,Personal!$B$5:$B$104,0)),""))</f>
        <v/>
      </c>
      <c r="D333" s="18"/>
      <c r="E333" s="19"/>
      <c r="F333" s="19"/>
      <c r="G333" s="20"/>
      <c r="H333" s="16" t="str">
        <f aca="false">IF(OR(E333="",F333=""),"",ROUND(MOD(F333-E333,1)*24-N(G333),2))</f>
        <v/>
      </c>
      <c r="I333" s="18"/>
      <c r="J333" s="18"/>
      <c r="K333" s="18"/>
      <c r="L333" s="16" t="str">
        <f aca="false">IF(OR(A333="",B333=""),"",SUMIFS('Registro por hora'!$H$5:$H$2004,'Registro por hora'!$A$5:$A$2004,A333,'Registro por hora'!$B$5:$B$2004,B333))</f>
        <v/>
      </c>
      <c r="M333" s="13" t="str">
        <f aca="false">IF(B333="","",IF(D333="","⚠ Falta estado",IF(AND(OR(D333="Ausente",D333="Medio día"),I333=""),"⚠ Falta motivo",IF(AND(OR(D333="Ausente",D333="Medio día"),J333=""),"⚠ Falta explicación",IF(D333="Ausente","✔ Ausencia justificada",IF(OR(E333="",F333=""),"⚠ Falta hora de entrada/salida",IF(K333="","⚠ Falta resumen del día",IF(N(L333)&lt;N(H333)-0.01,"⚠ Faltan "&amp;TEXT(N(H333)-N(L333),"0.0")&amp;" h por reportar","✔ OK"))))))))</f>
        <v/>
      </c>
    </row>
    <row r="334" customFormat="false" ht="15" hidden="false" customHeight="false" outlineLevel="0" collapsed="false">
      <c r="A334" s="17"/>
      <c r="B334" s="18"/>
      <c r="C334" s="13" t="str">
        <f aca="false">IF(B334="","",IFERROR(INDEX(Personal!$C$5:$C$104,MATCH(B334,Personal!$B$5:$B$104,0)),""))</f>
        <v/>
      </c>
      <c r="D334" s="18"/>
      <c r="E334" s="19"/>
      <c r="F334" s="19"/>
      <c r="G334" s="20"/>
      <c r="H334" s="16" t="str">
        <f aca="false">IF(OR(E334="",F334=""),"",ROUND(MOD(F334-E334,1)*24-N(G334),2))</f>
        <v/>
      </c>
      <c r="I334" s="18"/>
      <c r="J334" s="18"/>
      <c r="K334" s="18"/>
      <c r="L334" s="16" t="str">
        <f aca="false">IF(OR(A334="",B334=""),"",SUMIFS('Registro por hora'!$H$5:$H$2004,'Registro por hora'!$A$5:$A$2004,A334,'Registro por hora'!$B$5:$B$2004,B334))</f>
        <v/>
      </c>
      <c r="M334" s="13" t="str">
        <f aca="false">IF(B334="","",IF(D334="","⚠ Falta estado",IF(AND(OR(D334="Ausente",D334="Medio día"),I334=""),"⚠ Falta motivo",IF(AND(OR(D334="Ausente",D334="Medio día"),J334=""),"⚠ Falta explicación",IF(D334="Ausente","✔ Ausencia justificada",IF(OR(E334="",F334=""),"⚠ Falta hora de entrada/salida",IF(K334="","⚠ Falta resumen del día",IF(N(L334)&lt;N(H334)-0.01,"⚠ Faltan "&amp;TEXT(N(H334)-N(L334),"0.0")&amp;" h por reportar","✔ OK"))))))))</f>
        <v/>
      </c>
    </row>
    <row r="335" customFormat="false" ht="15" hidden="false" customHeight="false" outlineLevel="0" collapsed="false">
      <c r="A335" s="17"/>
      <c r="B335" s="18"/>
      <c r="C335" s="13" t="str">
        <f aca="false">IF(B335="","",IFERROR(INDEX(Personal!$C$5:$C$104,MATCH(B335,Personal!$B$5:$B$104,0)),""))</f>
        <v/>
      </c>
      <c r="D335" s="18"/>
      <c r="E335" s="19"/>
      <c r="F335" s="19"/>
      <c r="G335" s="20"/>
      <c r="H335" s="16" t="str">
        <f aca="false">IF(OR(E335="",F335=""),"",ROUND(MOD(F335-E335,1)*24-N(G335),2))</f>
        <v/>
      </c>
      <c r="I335" s="18"/>
      <c r="J335" s="18"/>
      <c r="K335" s="18"/>
      <c r="L335" s="16" t="str">
        <f aca="false">IF(OR(A335="",B335=""),"",SUMIFS('Registro por hora'!$H$5:$H$2004,'Registro por hora'!$A$5:$A$2004,A335,'Registro por hora'!$B$5:$B$2004,B335))</f>
        <v/>
      </c>
      <c r="M335" s="13" t="str">
        <f aca="false">IF(B335="","",IF(D335="","⚠ Falta estado",IF(AND(OR(D335="Ausente",D335="Medio día"),I335=""),"⚠ Falta motivo",IF(AND(OR(D335="Ausente",D335="Medio día"),J335=""),"⚠ Falta explicación",IF(D335="Ausente","✔ Ausencia justificada",IF(OR(E335="",F335=""),"⚠ Falta hora de entrada/salida",IF(K335="","⚠ Falta resumen del día",IF(N(L335)&lt;N(H335)-0.01,"⚠ Faltan "&amp;TEXT(N(H335)-N(L335),"0.0")&amp;" h por reportar","✔ OK"))))))))</f>
        <v/>
      </c>
    </row>
    <row r="336" customFormat="false" ht="15" hidden="false" customHeight="false" outlineLevel="0" collapsed="false">
      <c r="A336" s="17"/>
      <c r="B336" s="18"/>
      <c r="C336" s="13" t="str">
        <f aca="false">IF(B336="","",IFERROR(INDEX(Personal!$C$5:$C$104,MATCH(B336,Personal!$B$5:$B$104,0)),""))</f>
        <v/>
      </c>
      <c r="D336" s="18"/>
      <c r="E336" s="19"/>
      <c r="F336" s="19"/>
      <c r="G336" s="20"/>
      <c r="H336" s="16" t="str">
        <f aca="false">IF(OR(E336="",F336=""),"",ROUND(MOD(F336-E336,1)*24-N(G336),2))</f>
        <v/>
      </c>
      <c r="I336" s="18"/>
      <c r="J336" s="18"/>
      <c r="K336" s="18"/>
      <c r="L336" s="16" t="str">
        <f aca="false">IF(OR(A336="",B336=""),"",SUMIFS('Registro por hora'!$H$5:$H$2004,'Registro por hora'!$A$5:$A$2004,A336,'Registro por hora'!$B$5:$B$2004,B336))</f>
        <v/>
      </c>
      <c r="M336" s="13" t="str">
        <f aca="false">IF(B336="","",IF(D336="","⚠ Falta estado",IF(AND(OR(D336="Ausente",D336="Medio día"),I336=""),"⚠ Falta motivo",IF(AND(OR(D336="Ausente",D336="Medio día"),J336=""),"⚠ Falta explicación",IF(D336="Ausente","✔ Ausencia justificada",IF(OR(E336="",F336=""),"⚠ Falta hora de entrada/salida",IF(K336="","⚠ Falta resumen del día",IF(N(L336)&lt;N(H336)-0.01,"⚠ Faltan "&amp;TEXT(N(H336)-N(L336),"0.0")&amp;" h por reportar","✔ OK"))))))))</f>
        <v/>
      </c>
    </row>
    <row r="337" customFormat="false" ht="15" hidden="false" customHeight="false" outlineLevel="0" collapsed="false">
      <c r="A337" s="17"/>
      <c r="B337" s="18"/>
      <c r="C337" s="13" t="str">
        <f aca="false">IF(B337="","",IFERROR(INDEX(Personal!$C$5:$C$104,MATCH(B337,Personal!$B$5:$B$104,0)),""))</f>
        <v/>
      </c>
      <c r="D337" s="18"/>
      <c r="E337" s="19"/>
      <c r="F337" s="19"/>
      <c r="G337" s="20"/>
      <c r="H337" s="16" t="str">
        <f aca="false">IF(OR(E337="",F337=""),"",ROUND(MOD(F337-E337,1)*24-N(G337),2))</f>
        <v/>
      </c>
      <c r="I337" s="18"/>
      <c r="J337" s="18"/>
      <c r="K337" s="18"/>
      <c r="L337" s="16" t="str">
        <f aca="false">IF(OR(A337="",B337=""),"",SUMIFS('Registro por hora'!$H$5:$H$2004,'Registro por hora'!$A$5:$A$2004,A337,'Registro por hora'!$B$5:$B$2004,B337))</f>
        <v/>
      </c>
      <c r="M337" s="13" t="str">
        <f aca="false">IF(B337="","",IF(D337="","⚠ Falta estado",IF(AND(OR(D337="Ausente",D337="Medio día"),I337=""),"⚠ Falta motivo",IF(AND(OR(D337="Ausente",D337="Medio día"),J337=""),"⚠ Falta explicación",IF(D337="Ausente","✔ Ausencia justificada",IF(OR(E337="",F337=""),"⚠ Falta hora de entrada/salida",IF(K337="","⚠ Falta resumen del día",IF(N(L337)&lt;N(H337)-0.01,"⚠ Faltan "&amp;TEXT(N(H337)-N(L337),"0.0")&amp;" h por reportar","✔ OK"))))))))</f>
        <v/>
      </c>
    </row>
    <row r="338" customFormat="false" ht="15" hidden="false" customHeight="false" outlineLevel="0" collapsed="false">
      <c r="A338" s="17"/>
      <c r="B338" s="18"/>
      <c r="C338" s="13" t="str">
        <f aca="false">IF(B338="","",IFERROR(INDEX(Personal!$C$5:$C$104,MATCH(B338,Personal!$B$5:$B$104,0)),""))</f>
        <v/>
      </c>
      <c r="D338" s="18"/>
      <c r="E338" s="19"/>
      <c r="F338" s="19"/>
      <c r="G338" s="20"/>
      <c r="H338" s="16" t="str">
        <f aca="false">IF(OR(E338="",F338=""),"",ROUND(MOD(F338-E338,1)*24-N(G338),2))</f>
        <v/>
      </c>
      <c r="I338" s="18"/>
      <c r="J338" s="18"/>
      <c r="K338" s="18"/>
      <c r="L338" s="16" t="str">
        <f aca="false">IF(OR(A338="",B338=""),"",SUMIFS('Registro por hora'!$H$5:$H$2004,'Registro por hora'!$A$5:$A$2004,A338,'Registro por hora'!$B$5:$B$2004,B338))</f>
        <v/>
      </c>
      <c r="M338" s="13" t="str">
        <f aca="false">IF(B338="","",IF(D338="","⚠ Falta estado",IF(AND(OR(D338="Ausente",D338="Medio día"),I338=""),"⚠ Falta motivo",IF(AND(OR(D338="Ausente",D338="Medio día"),J338=""),"⚠ Falta explicación",IF(D338="Ausente","✔ Ausencia justificada",IF(OR(E338="",F338=""),"⚠ Falta hora de entrada/salida",IF(K338="","⚠ Falta resumen del día",IF(N(L338)&lt;N(H338)-0.01,"⚠ Faltan "&amp;TEXT(N(H338)-N(L338),"0.0")&amp;" h por reportar","✔ OK"))))))))</f>
        <v/>
      </c>
    </row>
    <row r="339" customFormat="false" ht="15" hidden="false" customHeight="false" outlineLevel="0" collapsed="false">
      <c r="A339" s="17"/>
      <c r="B339" s="18"/>
      <c r="C339" s="13" t="str">
        <f aca="false">IF(B339="","",IFERROR(INDEX(Personal!$C$5:$C$104,MATCH(B339,Personal!$B$5:$B$104,0)),""))</f>
        <v/>
      </c>
      <c r="D339" s="18"/>
      <c r="E339" s="19"/>
      <c r="F339" s="19"/>
      <c r="G339" s="20"/>
      <c r="H339" s="16" t="str">
        <f aca="false">IF(OR(E339="",F339=""),"",ROUND(MOD(F339-E339,1)*24-N(G339),2))</f>
        <v/>
      </c>
      <c r="I339" s="18"/>
      <c r="J339" s="18"/>
      <c r="K339" s="18"/>
      <c r="L339" s="16" t="str">
        <f aca="false">IF(OR(A339="",B339=""),"",SUMIFS('Registro por hora'!$H$5:$H$2004,'Registro por hora'!$A$5:$A$2004,A339,'Registro por hora'!$B$5:$B$2004,B339))</f>
        <v/>
      </c>
      <c r="M339" s="13" t="str">
        <f aca="false">IF(B339="","",IF(D339="","⚠ Falta estado",IF(AND(OR(D339="Ausente",D339="Medio día"),I339=""),"⚠ Falta motivo",IF(AND(OR(D339="Ausente",D339="Medio día"),J339=""),"⚠ Falta explicación",IF(D339="Ausente","✔ Ausencia justificada",IF(OR(E339="",F339=""),"⚠ Falta hora de entrada/salida",IF(K339="","⚠ Falta resumen del día",IF(N(L339)&lt;N(H339)-0.01,"⚠ Faltan "&amp;TEXT(N(H339)-N(L339),"0.0")&amp;" h por reportar","✔ OK"))))))))</f>
        <v/>
      </c>
    </row>
    <row r="340" customFormat="false" ht="15" hidden="false" customHeight="false" outlineLevel="0" collapsed="false">
      <c r="A340" s="17"/>
      <c r="B340" s="18"/>
      <c r="C340" s="13" t="str">
        <f aca="false">IF(B340="","",IFERROR(INDEX(Personal!$C$5:$C$104,MATCH(B340,Personal!$B$5:$B$104,0)),""))</f>
        <v/>
      </c>
      <c r="D340" s="18"/>
      <c r="E340" s="19"/>
      <c r="F340" s="19"/>
      <c r="G340" s="20"/>
      <c r="H340" s="16" t="str">
        <f aca="false">IF(OR(E340="",F340=""),"",ROUND(MOD(F340-E340,1)*24-N(G340),2))</f>
        <v/>
      </c>
      <c r="I340" s="18"/>
      <c r="J340" s="18"/>
      <c r="K340" s="18"/>
      <c r="L340" s="16" t="str">
        <f aca="false">IF(OR(A340="",B340=""),"",SUMIFS('Registro por hora'!$H$5:$H$2004,'Registro por hora'!$A$5:$A$2004,A340,'Registro por hora'!$B$5:$B$2004,B340))</f>
        <v/>
      </c>
      <c r="M340" s="13" t="str">
        <f aca="false">IF(B340="","",IF(D340="","⚠ Falta estado",IF(AND(OR(D340="Ausente",D340="Medio día"),I340=""),"⚠ Falta motivo",IF(AND(OR(D340="Ausente",D340="Medio día"),J340=""),"⚠ Falta explicación",IF(D340="Ausente","✔ Ausencia justificada",IF(OR(E340="",F340=""),"⚠ Falta hora de entrada/salida",IF(K340="","⚠ Falta resumen del día",IF(N(L340)&lt;N(H340)-0.01,"⚠ Faltan "&amp;TEXT(N(H340)-N(L340),"0.0")&amp;" h por reportar","✔ OK"))))))))</f>
        <v/>
      </c>
    </row>
    <row r="341" customFormat="false" ht="15" hidden="false" customHeight="false" outlineLevel="0" collapsed="false">
      <c r="A341" s="17"/>
      <c r="B341" s="18"/>
      <c r="C341" s="13" t="str">
        <f aca="false">IF(B341="","",IFERROR(INDEX(Personal!$C$5:$C$104,MATCH(B341,Personal!$B$5:$B$104,0)),""))</f>
        <v/>
      </c>
      <c r="D341" s="18"/>
      <c r="E341" s="19"/>
      <c r="F341" s="19"/>
      <c r="G341" s="20"/>
      <c r="H341" s="16" t="str">
        <f aca="false">IF(OR(E341="",F341=""),"",ROUND(MOD(F341-E341,1)*24-N(G341),2))</f>
        <v/>
      </c>
      <c r="I341" s="18"/>
      <c r="J341" s="18"/>
      <c r="K341" s="18"/>
      <c r="L341" s="16" t="str">
        <f aca="false">IF(OR(A341="",B341=""),"",SUMIFS('Registro por hora'!$H$5:$H$2004,'Registro por hora'!$A$5:$A$2004,A341,'Registro por hora'!$B$5:$B$2004,B341))</f>
        <v/>
      </c>
      <c r="M341" s="13" t="str">
        <f aca="false">IF(B341="","",IF(D341="","⚠ Falta estado",IF(AND(OR(D341="Ausente",D341="Medio día"),I341=""),"⚠ Falta motivo",IF(AND(OR(D341="Ausente",D341="Medio día"),J341=""),"⚠ Falta explicación",IF(D341="Ausente","✔ Ausencia justificada",IF(OR(E341="",F341=""),"⚠ Falta hora de entrada/salida",IF(K341="","⚠ Falta resumen del día",IF(N(L341)&lt;N(H341)-0.01,"⚠ Faltan "&amp;TEXT(N(H341)-N(L341),"0.0")&amp;" h por reportar","✔ OK"))))))))</f>
        <v/>
      </c>
    </row>
    <row r="342" customFormat="false" ht="15" hidden="false" customHeight="false" outlineLevel="0" collapsed="false">
      <c r="A342" s="17"/>
      <c r="B342" s="18"/>
      <c r="C342" s="13" t="str">
        <f aca="false">IF(B342="","",IFERROR(INDEX(Personal!$C$5:$C$104,MATCH(B342,Personal!$B$5:$B$104,0)),""))</f>
        <v/>
      </c>
      <c r="D342" s="18"/>
      <c r="E342" s="19"/>
      <c r="F342" s="19"/>
      <c r="G342" s="20"/>
      <c r="H342" s="16" t="str">
        <f aca="false">IF(OR(E342="",F342=""),"",ROUND(MOD(F342-E342,1)*24-N(G342),2))</f>
        <v/>
      </c>
      <c r="I342" s="18"/>
      <c r="J342" s="18"/>
      <c r="K342" s="18"/>
      <c r="L342" s="16" t="str">
        <f aca="false">IF(OR(A342="",B342=""),"",SUMIFS('Registro por hora'!$H$5:$H$2004,'Registro por hora'!$A$5:$A$2004,A342,'Registro por hora'!$B$5:$B$2004,B342))</f>
        <v/>
      </c>
      <c r="M342" s="13" t="str">
        <f aca="false">IF(B342="","",IF(D342="","⚠ Falta estado",IF(AND(OR(D342="Ausente",D342="Medio día"),I342=""),"⚠ Falta motivo",IF(AND(OR(D342="Ausente",D342="Medio día"),J342=""),"⚠ Falta explicación",IF(D342="Ausente","✔ Ausencia justificada",IF(OR(E342="",F342=""),"⚠ Falta hora de entrada/salida",IF(K342="","⚠ Falta resumen del día",IF(N(L342)&lt;N(H342)-0.01,"⚠ Faltan "&amp;TEXT(N(H342)-N(L342),"0.0")&amp;" h por reportar","✔ OK"))))))))</f>
        <v/>
      </c>
    </row>
    <row r="343" customFormat="false" ht="15" hidden="false" customHeight="false" outlineLevel="0" collapsed="false">
      <c r="A343" s="17"/>
      <c r="B343" s="18"/>
      <c r="C343" s="13" t="str">
        <f aca="false">IF(B343="","",IFERROR(INDEX(Personal!$C$5:$C$104,MATCH(B343,Personal!$B$5:$B$104,0)),""))</f>
        <v/>
      </c>
      <c r="D343" s="18"/>
      <c r="E343" s="19"/>
      <c r="F343" s="19"/>
      <c r="G343" s="20"/>
      <c r="H343" s="16" t="str">
        <f aca="false">IF(OR(E343="",F343=""),"",ROUND(MOD(F343-E343,1)*24-N(G343),2))</f>
        <v/>
      </c>
      <c r="I343" s="18"/>
      <c r="J343" s="18"/>
      <c r="K343" s="18"/>
      <c r="L343" s="16" t="str">
        <f aca="false">IF(OR(A343="",B343=""),"",SUMIFS('Registro por hora'!$H$5:$H$2004,'Registro por hora'!$A$5:$A$2004,A343,'Registro por hora'!$B$5:$B$2004,B343))</f>
        <v/>
      </c>
      <c r="M343" s="13" t="str">
        <f aca="false">IF(B343="","",IF(D343="","⚠ Falta estado",IF(AND(OR(D343="Ausente",D343="Medio día"),I343=""),"⚠ Falta motivo",IF(AND(OR(D343="Ausente",D343="Medio día"),J343=""),"⚠ Falta explicación",IF(D343="Ausente","✔ Ausencia justificada",IF(OR(E343="",F343=""),"⚠ Falta hora de entrada/salida",IF(K343="","⚠ Falta resumen del día",IF(N(L343)&lt;N(H343)-0.01,"⚠ Faltan "&amp;TEXT(N(H343)-N(L343),"0.0")&amp;" h por reportar","✔ OK"))))))))</f>
        <v/>
      </c>
    </row>
    <row r="344" customFormat="false" ht="15" hidden="false" customHeight="false" outlineLevel="0" collapsed="false">
      <c r="A344" s="17"/>
      <c r="B344" s="18"/>
      <c r="C344" s="13" t="str">
        <f aca="false">IF(B344="","",IFERROR(INDEX(Personal!$C$5:$C$104,MATCH(B344,Personal!$B$5:$B$104,0)),""))</f>
        <v/>
      </c>
      <c r="D344" s="18"/>
      <c r="E344" s="19"/>
      <c r="F344" s="19"/>
      <c r="G344" s="20"/>
      <c r="H344" s="16" t="str">
        <f aca="false">IF(OR(E344="",F344=""),"",ROUND(MOD(F344-E344,1)*24-N(G344),2))</f>
        <v/>
      </c>
      <c r="I344" s="18"/>
      <c r="J344" s="18"/>
      <c r="K344" s="18"/>
      <c r="L344" s="16" t="str">
        <f aca="false">IF(OR(A344="",B344=""),"",SUMIFS('Registro por hora'!$H$5:$H$2004,'Registro por hora'!$A$5:$A$2004,A344,'Registro por hora'!$B$5:$B$2004,B344))</f>
        <v/>
      </c>
      <c r="M344" s="13" t="str">
        <f aca="false">IF(B344="","",IF(D344="","⚠ Falta estado",IF(AND(OR(D344="Ausente",D344="Medio día"),I344=""),"⚠ Falta motivo",IF(AND(OR(D344="Ausente",D344="Medio día"),J344=""),"⚠ Falta explicación",IF(D344="Ausente","✔ Ausencia justificada",IF(OR(E344="",F344=""),"⚠ Falta hora de entrada/salida",IF(K344="","⚠ Falta resumen del día",IF(N(L344)&lt;N(H344)-0.01,"⚠ Faltan "&amp;TEXT(N(H344)-N(L344),"0.0")&amp;" h por reportar","✔ OK"))))))))</f>
        <v/>
      </c>
    </row>
    <row r="345" customFormat="false" ht="15" hidden="false" customHeight="false" outlineLevel="0" collapsed="false">
      <c r="A345" s="17"/>
      <c r="B345" s="18"/>
      <c r="C345" s="13" t="str">
        <f aca="false">IF(B345="","",IFERROR(INDEX(Personal!$C$5:$C$104,MATCH(B345,Personal!$B$5:$B$104,0)),""))</f>
        <v/>
      </c>
      <c r="D345" s="18"/>
      <c r="E345" s="19"/>
      <c r="F345" s="19"/>
      <c r="G345" s="20"/>
      <c r="H345" s="16" t="str">
        <f aca="false">IF(OR(E345="",F345=""),"",ROUND(MOD(F345-E345,1)*24-N(G345),2))</f>
        <v/>
      </c>
      <c r="I345" s="18"/>
      <c r="J345" s="18"/>
      <c r="K345" s="18"/>
      <c r="L345" s="16" t="str">
        <f aca="false">IF(OR(A345="",B345=""),"",SUMIFS('Registro por hora'!$H$5:$H$2004,'Registro por hora'!$A$5:$A$2004,A345,'Registro por hora'!$B$5:$B$2004,B345))</f>
        <v/>
      </c>
      <c r="M345" s="13" t="str">
        <f aca="false">IF(B345="","",IF(D345="","⚠ Falta estado",IF(AND(OR(D345="Ausente",D345="Medio día"),I345=""),"⚠ Falta motivo",IF(AND(OR(D345="Ausente",D345="Medio día"),J345=""),"⚠ Falta explicación",IF(D345="Ausente","✔ Ausencia justificada",IF(OR(E345="",F345=""),"⚠ Falta hora de entrada/salida",IF(K345="","⚠ Falta resumen del día",IF(N(L345)&lt;N(H345)-0.01,"⚠ Faltan "&amp;TEXT(N(H345)-N(L345),"0.0")&amp;" h por reportar","✔ OK"))))))))</f>
        <v/>
      </c>
    </row>
    <row r="346" customFormat="false" ht="15" hidden="false" customHeight="false" outlineLevel="0" collapsed="false">
      <c r="A346" s="17"/>
      <c r="B346" s="18"/>
      <c r="C346" s="13" t="str">
        <f aca="false">IF(B346="","",IFERROR(INDEX(Personal!$C$5:$C$104,MATCH(B346,Personal!$B$5:$B$104,0)),""))</f>
        <v/>
      </c>
      <c r="D346" s="18"/>
      <c r="E346" s="19"/>
      <c r="F346" s="19"/>
      <c r="G346" s="20"/>
      <c r="H346" s="16" t="str">
        <f aca="false">IF(OR(E346="",F346=""),"",ROUND(MOD(F346-E346,1)*24-N(G346),2))</f>
        <v/>
      </c>
      <c r="I346" s="18"/>
      <c r="J346" s="18"/>
      <c r="K346" s="18"/>
      <c r="L346" s="16" t="str">
        <f aca="false">IF(OR(A346="",B346=""),"",SUMIFS('Registro por hora'!$H$5:$H$2004,'Registro por hora'!$A$5:$A$2004,A346,'Registro por hora'!$B$5:$B$2004,B346))</f>
        <v/>
      </c>
      <c r="M346" s="13" t="str">
        <f aca="false">IF(B346="","",IF(D346="","⚠ Falta estado",IF(AND(OR(D346="Ausente",D346="Medio día"),I346=""),"⚠ Falta motivo",IF(AND(OR(D346="Ausente",D346="Medio día"),J346=""),"⚠ Falta explicación",IF(D346="Ausente","✔ Ausencia justificada",IF(OR(E346="",F346=""),"⚠ Falta hora de entrada/salida",IF(K346="","⚠ Falta resumen del día",IF(N(L346)&lt;N(H346)-0.01,"⚠ Faltan "&amp;TEXT(N(H346)-N(L346),"0.0")&amp;" h por reportar","✔ OK"))))))))</f>
        <v/>
      </c>
    </row>
    <row r="347" customFormat="false" ht="15" hidden="false" customHeight="false" outlineLevel="0" collapsed="false">
      <c r="A347" s="17"/>
      <c r="B347" s="18"/>
      <c r="C347" s="13" t="str">
        <f aca="false">IF(B347="","",IFERROR(INDEX(Personal!$C$5:$C$104,MATCH(B347,Personal!$B$5:$B$104,0)),""))</f>
        <v/>
      </c>
      <c r="D347" s="18"/>
      <c r="E347" s="19"/>
      <c r="F347" s="19"/>
      <c r="G347" s="20"/>
      <c r="H347" s="16" t="str">
        <f aca="false">IF(OR(E347="",F347=""),"",ROUND(MOD(F347-E347,1)*24-N(G347),2))</f>
        <v/>
      </c>
      <c r="I347" s="18"/>
      <c r="J347" s="18"/>
      <c r="K347" s="18"/>
      <c r="L347" s="16" t="str">
        <f aca="false">IF(OR(A347="",B347=""),"",SUMIFS('Registro por hora'!$H$5:$H$2004,'Registro por hora'!$A$5:$A$2004,A347,'Registro por hora'!$B$5:$B$2004,B347))</f>
        <v/>
      </c>
      <c r="M347" s="13" t="str">
        <f aca="false">IF(B347="","",IF(D347="","⚠ Falta estado",IF(AND(OR(D347="Ausente",D347="Medio día"),I347=""),"⚠ Falta motivo",IF(AND(OR(D347="Ausente",D347="Medio día"),J347=""),"⚠ Falta explicación",IF(D347="Ausente","✔ Ausencia justificada",IF(OR(E347="",F347=""),"⚠ Falta hora de entrada/salida",IF(K347="","⚠ Falta resumen del día",IF(N(L347)&lt;N(H347)-0.01,"⚠ Faltan "&amp;TEXT(N(H347)-N(L347),"0.0")&amp;" h por reportar","✔ OK"))))))))</f>
        <v/>
      </c>
    </row>
    <row r="348" customFormat="false" ht="15" hidden="false" customHeight="false" outlineLevel="0" collapsed="false">
      <c r="A348" s="17"/>
      <c r="B348" s="18"/>
      <c r="C348" s="13" t="str">
        <f aca="false">IF(B348="","",IFERROR(INDEX(Personal!$C$5:$C$104,MATCH(B348,Personal!$B$5:$B$104,0)),""))</f>
        <v/>
      </c>
      <c r="D348" s="18"/>
      <c r="E348" s="19"/>
      <c r="F348" s="19"/>
      <c r="G348" s="20"/>
      <c r="H348" s="16" t="str">
        <f aca="false">IF(OR(E348="",F348=""),"",ROUND(MOD(F348-E348,1)*24-N(G348),2))</f>
        <v/>
      </c>
      <c r="I348" s="18"/>
      <c r="J348" s="18"/>
      <c r="K348" s="18"/>
      <c r="L348" s="16" t="str">
        <f aca="false">IF(OR(A348="",B348=""),"",SUMIFS('Registro por hora'!$H$5:$H$2004,'Registro por hora'!$A$5:$A$2004,A348,'Registro por hora'!$B$5:$B$2004,B348))</f>
        <v/>
      </c>
      <c r="M348" s="13" t="str">
        <f aca="false">IF(B348="","",IF(D348="","⚠ Falta estado",IF(AND(OR(D348="Ausente",D348="Medio día"),I348=""),"⚠ Falta motivo",IF(AND(OR(D348="Ausente",D348="Medio día"),J348=""),"⚠ Falta explicación",IF(D348="Ausente","✔ Ausencia justificada",IF(OR(E348="",F348=""),"⚠ Falta hora de entrada/salida",IF(K348="","⚠ Falta resumen del día",IF(N(L348)&lt;N(H348)-0.01,"⚠ Faltan "&amp;TEXT(N(H348)-N(L348),"0.0")&amp;" h por reportar","✔ OK"))))))))</f>
        <v/>
      </c>
    </row>
    <row r="349" customFormat="false" ht="15" hidden="false" customHeight="false" outlineLevel="0" collapsed="false">
      <c r="A349" s="17"/>
      <c r="B349" s="18"/>
      <c r="C349" s="13" t="str">
        <f aca="false">IF(B349="","",IFERROR(INDEX(Personal!$C$5:$C$104,MATCH(B349,Personal!$B$5:$B$104,0)),""))</f>
        <v/>
      </c>
      <c r="D349" s="18"/>
      <c r="E349" s="19"/>
      <c r="F349" s="19"/>
      <c r="G349" s="20"/>
      <c r="H349" s="16" t="str">
        <f aca="false">IF(OR(E349="",F349=""),"",ROUND(MOD(F349-E349,1)*24-N(G349),2))</f>
        <v/>
      </c>
      <c r="I349" s="18"/>
      <c r="J349" s="18"/>
      <c r="K349" s="18"/>
      <c r="L349" s="16" t="str">
        <f aca="false">IF(OR(A349="",B349=""),"",SUMIFS('Registro por hora'!$H$5:$H$2004,'Registro por hora'!$A$5:$A$2004,A349,'Registro por hora'!$B$5:$B$2004,B349))</f>
        <v/>
      </c>
      <c r="M349" s="13" t="str">
        <f aca="false">IF(B349="","",IF(D349="","⚠ Falta estado",IF(AND(OR(D349="Ausente",D349="Medio día"),I349=""),"⚠ Falta motivo",IF(AND(OR(D349="Ausente",D349="Medio día"),J349=""),"⚠ Falta explicación",IF(D349="Ausente","✔ Ausencia justificada",IF(OR(E349="",F349=""),"⚠ Falta hora de entrada/salida",IF(K349="","⚠ Falta resumen del día",IF(N(L349)&lt;N(H349)-0.01,"⚠ Faltan "&amp;TEXT(N(H349)-N(L349),"0.0")&amp;" h por reportar","✔ OK"))))))))</f>
        <v/>
      </c>
    </row>
    <row r="350" customFormat="false" ht="15" hidden="false" customHeight="false" outlineLevel="0" collapsed="false">
      <c r="A350" s="17"/>
      <c r="B350" s="18"/>
      <c r="C350" s="13" t="str">
        <f aca="false">IF(B350="","",IFERROR(INDEX(Personal!$C$5:$C$104,MATCH(B350,Personal!$B$5:$B$104,0)),""))</f>
        <v/>
      </c>
      <c r="D350" s="18"/>
      <c r="E350" s="19"/>
      <c r="F350" s="19"/>
      <c r="G350" s="20"/>
      <c r="H350" s="16" t="str">
        <f aca="false">IF(OR(E350="",F350=""),"",ROUND(MOD(F350-E350,1)*24-N(G350),2))</f>
        <v/>
      </c>
      <c r="I350" s="18"/>
      <c r="J350" s="18"/>
      <c r="K350" s="18"/>
      <c r="L350" s="16" t="str">
        <f aca="false">IF(OR(A350="",B350=""),"",SUMIFS('Registro por hora'!$H$5:$H$2004,'Registro por hora'!$A$5:$A$2004,A350,'Registro por hora'!$B$5:$B$2004,B350))</f>
        <v/>
      </c>
      <c r="M350" s="13" t="str">
        <f aca="false">IF(B350="","",IF(D350="","⚠ Falta estado",IF(AND(OR(D350="Ausente",D350="Medio día"),I350=""),"⚠ Falta motivo",IF(AND(OR(D350="Ausente",D350="Medio día"),J350=""),"⚠ Falta explicación",IF(D350="Ausente","✔ Ausencia justificada",IF(OR(E350="",F350=""),"⚠ Falta hora de entrada/salida",IF(K350="","⚠ Falta resumen del día",IF(N(L350)&lt;N(H350)-0.01,"⚠ Faltan "&amp;TEXT(N(H350)-N(L350),"0.0")&amp;" h por reportar","✔ OK"))))))))</f>
        <v/>
      </c>
    </row>
    <row r="351" customFormat="false" ht="15" hidden="false" customHeight="false" outlineLevel="0" collapsed="false">
      <c r="A351" s="17"/>
      <c r="B351" s="18"/>
      <c r="C351" s="13" t="str">
        <f aca="false">IF(B351="","",IFERROR(INDEX(Personal!$C$5:$C$104,MATCH(B351,Personal!$B$5:$B$104,0)),""))</f>
        <v/>
      </c>
      <c r="D351" s="18"/>
      <c r="E351" s="19"/>
      <c r="F351" s="19"/>
      <c r="G351" s="20"/>
      <c r="H351" s="16" t="str">
        <f aca="false">IF(OR(E351="",F351=""),"",ROUND(MOD(F351-E351,1)*24-N(G351),2))</f>
        <v/>
      </c>
      <c r="I351" s="18"/>
      <c r="J351" s="18"/>
      <c r="K351" s="18"/>
      <c r="L351" s="16" t="str">
        <f aca="false">IF(OR(A351="",B351=""),"",SUMIFS('Registro por hora'!$H$5:$H$2004,'Registro por hora'!$A$5:$A$2004,A351,'Registro por hora'!$B$5:$B$2004,B351))</f>
        <v/>
      </c>
      <c r="M351" s="13" t="str">
        <f aca="false">IF(B351="","",IF(D351="","⚠ Falta estado",IF(AND(OR(D351="Ausente",D351="Medio día"),I351=""),"⚠ Falta motivo",IF(AND(OR(D351="Ausente",D351="Medio día"),J351=""),"⚠ Falta explicación",IF(D351="Ausente","✔ Ausencia justificada",IF(OR(E351="",F351=""),"⚠ Falta hora de entrada/salida",IF(K351="","⚠ Falta resumen del día",IF(N(L351)&lt;N(H351)-0.01,"⚠ Faltan "&amp;TEXT(N(H351)-N(L351),"0.0")&amp;" h por reportar","✔ OK"))))))))</f>
        <v/>
      </c>
    </row>
    <row r="352" customFormat="false" ht="15" hidden="false" customHeight="false" outlineLevel="0" collapsed="false">
      <c r="A352" s="17"/>
      <c r="B352" s="18"/>
      <c r="C352" s="13" t="str">
        <f aca="false">IF(B352="","",IFERROR(INDEX(Personal!$C$5:$C$104,MATCH(B352,Personal!$B$5:$B$104,0)),""))</f>
        <v/>
      </c>
      <c r="D352" s="18"/>
      <c r="E352" s="19"/>
      <c r="F352" s="19"/>
      <c r="G352" s="20"/>
      <c r="H352" s="16" t="str">
        <f aca="false">IF(OR(E352="",F352=""),"",ROUND(MOD(F352-E352,1)*24-N(G352),2))</f>
        <v/>
      </c>
      <c r="I352" s="18"/>
      <c r="J352" s="18"/>
      <c r="K352" s="18"/>
      <c r="L352" s="16" t="str">
        <f aca="false">IF(OR(A352="",B352=""),"",SUMIFS('Registro por hora'!$H$5:$H$2004,'Registro por hora'!$A$5:$A$2004,A352,'Registro por hora'!$B$5:$B$2004,B352))</f>
        <v/>
      </c>
      <c r="M352" s="13" t="str">
        <f aca="false">IF(B352="","",IF(D352="","⚠ Falta estado",IF(AND(OR(D352="Ausente",D352="Medio día"),I352=""),"⚠ Falta motivo",IF(AND(OR(D352="Ausente",D352="Medio día"),J352=""),"⚠ Falta explicación",IF(D352="Ausente","✔ Ausencia justificada",IF(OR(E352="",F352=""),"⚠ Falta hora de entrada/salida",IF(K352="","⚠ Falta resumen del día",IF(N(L352)&lt;N(H352)-0.01,"⚠ Faltan "&amp;TEXT(N(H352)-N(L352),"0.0")&amp;" h por reportar","✔ OK"))))))))</f>
        <v/>
      </c>
    </row>
    <row r="353" customFormat="false" ht="15" hidden="false" customHeight="false" outlineLevel="0" collapsed="false">
      <c r="A353" s="17"/>
      <c r="B353" s="18"/>
      <c r="C353" s="13" t="str">
        <f aca="false">IF(B353="","",IFERROR(INDEX(Personal!$C$5:$C$104,MATCH(B353,Personal!$B$5:$B$104,0)),""))</f>
        <v/>
      </c>
      <c r="D353" s="18"/>
      <c r="E353" s="19"/>
      <c r="F353" s="19"/>
      <c r="G353" s="20"/>
      <c r="H353" s="16" t="str">
        <f aca="false">IF(OR(E353="",F353=""),"",ROUND(MOD(F353-E353,1)*24-N(G353),2))</f>
        <v/>
      </c>
      <c r="I353" s="18"/>
      <c r="J353" s="18"/>
      <c r="K353" s="18"/>
      <c r="L353" s="16" t="str">
        <f aca="false">IF(OR(A353="",B353=""),"",SUMIFS('Registro por hora'!$H$5:$H$2004,'Registro por hora'!$A$5:$A$2004,A353,'Registro por hora'!$B$5:$B$2004,B353))</f>
        <v/>
      </c>
      <c r="M353" s="13" t="str">
        <f aca="false">IF(B353="","",IF(D353="","⚠ Falta estado",IF(AND(OR(D353="Ausente",D353="Medio día"),I353=""),"⚠ Falta motivo",IF(AND(OR(D353="Ausente",D353="Medio día"),J353=""),"⚠ Falta explicación",IF(D353="Ausente","✔ Ausencia justificada",IF(OR(E353="",F353=""),"⚠ Falta hora de entrada/salida",IF(K353="","⚠ Falta resumen del día",IF(N(L353)&lt;N(H353)-0.01,"⚠ Faltan "&amp;TEXT(N(H353)-N(L353),"0.0")&amp;" h por reportar","✔ OK"))))))))</f>
        <v/>
      </c>
    </row>
    <row r="354" customFormat="false" ht="15" hidden="false" customHeight="false" outlineLevel="0" collapsed="false">
      <c r="A354" s="17"/>
      <c r="B354" s="18"/>
      <c r="C354" s="13" t="str">
        <f aca="false">IF(B354="","",IFERROR(INDEX(Personal!$C$5:$C$104,MATCH(B354,Personal!$B$5:$B$104,0)),""))</f>
        <v/>
      </c>
      <c r="D354" s="18"/>
      <c r="E354" s="19"/>
      <c r="F354" s="19"/>
      <c r="G354" s="20"/>
      <c r="H354" s="16" t="str">
        <f aca="false">IF(OR(E354="",F354=""),"",ROUND(MOD(F354-E354,1)*24-N(G354),2))</f>
        <v/>
      </c>
      <c r="I354" s="18"/>
      <c r="J354" s="18"/>
      <c r="K354" s="18"/>
      <c r="L354" s="16" t="str">
        <f aca="false">IF(OR(A354="",B354=""),"",SUMIFS('Registro por hora'!$H$5:$H$2004,'Registro por hora'!$A$5:$A$2004,A354,'Registro por hora'!$B$5:$B$2004,B354))</f>
        <v/>
      </c>
      <c r="M354" s="13" t="str">
        <f aca="false">IF(B354="","",IF(D354="","⚠ Falta estado",IF(AND(OR(D354="Ausente",D354="Medio día"),I354=""),"⚠ Falta motivo",IF(AND(OR(D354="Ausente",D354="Medio día"),J354=""),"⚠ Falta explicación",IF(D354="Ausente","✔ Ausencia justificada",IF(OR(E354="",F354=""),"⚠ Falta hora de entrada/salida",IF(K354="","⚠ Falta resumen del día",IF(N(L354)&lt;N(H354)-0.01,"⚠ Faltan "&amp;TEXT(N(H354)-N(L354),"0.0")&amp;" h por reportar","✔ OK"))))))))</f>
        <v/>
      </c>
    </row>
    <row r="355" customFormat="false" ht="15" hidden="false" customHeight="false" outlineLevel="0" collapsed="false">
      <c r="A355" s="17"/>
      <c r="B355" s="18"/>
      <c r="C355" s="13" t="str">
        <f aca="false">IF(B355="","",IFERROR(INDEX(Personal!$C$5:$C$104,MATCH(B355,Personal!$B$5:$B$104,0)),""))</f>
        <v/>
      </c>
      <c r="D355" s="18"/>
      <c r="E355" s="19"/>
      <c r="F355" s="19"/>
      <c r="G355" s="20"/>
      <c r="H355" s="16" t="str">
        <f aca="false">IF(OR(E355="",F355=""),"",ROUND(MOD(F355-E355,1)*24-N(G355),2))</f>
        <v/>
      </c>
      <c r="I355" s="18"/>
      <c r="J355" s="18"/>
      <c r="K355" s="18"/>
      <c r="L355" s="16" t="str">
        <f aca="false">IF(OR(A355="",B355=""),"",SUMIFS('Registro por hora'!$H$5:$H$2004,'Registro por hora'!$A$5:$A$2004,A355,'Registro por hora'!$B$5:$B$2004,B355))</f>
        <v/>
      </c>
      <c r="M355" s="13" t="str">
        <f aca="false">IF(B355="","",IF(D355="","⚠ Falta estado",IF(AND(OR(D355="Ausente",D355="Medio día"),I355=""),"⚠ Falta motivo",IF(AND(OR(D355="Ausente",D355="Medio día"),J355=""),"⚠ Falta explicación",IF(D355="Ausente","✔ Ausencia justificada",IF(OR(E355="",F355=""),"⚠ Falta hora de entrada/salida",IF(K355="","⚠ Falta resumen del día",IF(N(L355)&lt;N(H355)-0.01,"⚠ Faltan "&amp;TEXT(N(H355)-N(L355),"0.0")&amp;" h por reportar","✔ OK"))))))))</f>
        <v/>
      </c>
    </row>
    <row r="356" customFormat="false" ht="15" hidden="false" customHeight="false" outlineLevel="0" collapsed="false">
      <c r="A356" s="17"/>
      <c r="B356" s="18"/>
      <c r="C356" s="13" t="str">
        <f aca="false">IF(B356="","",IFERROR(INDEX(Personal!$C$5:$C$104,MATCH(B356,Personal!$B$5:$B$104,0)),""))</f>
        <v/>
      </c>
      <c r="D356" s="18"/>
      <c r="E356" s="19"/>
      <c r="F356" s="19"/>
      <c r="G356" s="20"/>
      <c r="H356" s="16" t="str">
        <f aca="false">IF(OR(E356="",F356=""),"",ROUND(MOD(F356-E356,1)*24-N(G356),2))</f>
        <v/>
      </c>
      <c r="I356" s="18"/>
      <c r="J356" s="18"/>
      <c r="K356" s="18"/>
      <c r="L356" s="16" t="str">
        <f aca="false">IF(OR(A356="",B356=""),"",SUMIFS('Registro por hora'!$H$5:$H$2004,'Registro por hora'!$A$5:$A$2004,A356,'Registro por hora'!$B$5:$B$2004,B356))</f>
        <v/>
      </c>
      <c r="M356" s="13" t="str">
        <f aca="false">IF(B356="","",IF(D356="","⚠ Falta estado",IF(AND(OR(D356="Ausente",D356="Medio día"),I356=""),"⚠ Falta motivo",IF(AND(OR(D356="Ausente",D356="Medio día"),J356=""),"⚠ Falta explicación",IF(D356="Ausente","✔ Ausencia justificada",IF(OR(E356="",F356=""),"⚠ Falta hora de entrada/salida",IF(K356="","⚠ Falta resumen del día",IF(N(L356)&lt;N(H356)-0.01,"⚠ Faltan "&amp;TEXT(N(H356)-N(L356),"0.0")&amp;" h por reportar","✔ OK"))))))))</f>
        <v/>
      </c>
    </row>
    <row r="357" customFormat="false" ht="15" hidden="false" customHeight="false" outlineLevel="0" collapsed="false">
      <c r="A357" s="17"/>
      <c r="B357" s="18"/>
      <c r="C357" s="13" t="str">
        <f aca="false">IF(B357="","",IFERROR(INDEX(Personal!$C$5:$C$104,MATCH(B357,Personal!$B$5:$B$104,0)),""))</f>
        <v/>
      </c>
      <c r="D357" s="18"/>
      <c r="E357" s="19"/>
      <c r="F357" s="19"/>
      <c r="G357" s="20"/>
      <c r="H357" s="16" t="str">
        <f aca="false">IF(OR(E357="",F357=""),"",ROUND(MOD(F357-E357,1)*24-N(G357),2))</f>
        <v/>
      </c>
      <c r="I357" s="18"/>
      <c r="J357" s="18"/>
      <c r="K357" s="18"/>
      <c r="L357" s="16" t="str">
        <f aca="false">IF(OR(A357="",B357=""),"",SUMIFS('Registro por hora'!$H$5:$H$2004,'Registro por hora'!$A$5:$A$2004,A357,'Registro por hora'!$B$5:$B$2004,B357))</f>
        <v/>
      </c>
      <c r="M357" s="13" t="str">
        <f aca="false">IF(B357="","",IF(D357="","⚠ Falta estado",IF(AND(OR(D357="Ausente",D357="Medio día"),I357=""),"⚠ Falta motivo",IF(AND(OR(D357="Ausente",D357="Medio día"),J357=""),"⚠ Falta explicación",IF(D357="Ausente","✔ Ausencia justificada",IF(OR(E357="",F357=""),"⚠ Falta hora de entrada/salida",IF(K357="","⚠ Falta resumen del día",IF(N(L357)&lt;N(H357)-0.01,"⚠ Faltan "&amp;TEXT(N(H357)-N(L357),"0.0")&amp;" h por reportar","✔ OK"))))))))</f>
        <v/>
      </c>
    </row>
    <row r="358" customFormat="false" ht="15" hidden="false" customHeight="false" outlineLevel="0" collapsed="false">
      <c r="A358" s="17"/>
      <c r="B358" s="18"/>
      <c r="C358" s="13" t="str">
        <f aca="false">IF(B358="","",IFERROR(INDEX(Personal!$C$5:$C$104,MATCH(B358,Personal!$B$5:$B$104,0)),""))</f>
        <v/>
      </c>
      <c r="D358" s="18"/>
      <c r="E358" s="19"/>
      <c r="F358" s="19"/>
      <c r="G358" s="20"/>
      <c r="H358" s="16" t="str">
        <f aca="false">IF(OR(E358="",F358=""),"",ROUND(MOD(F358-E358,1)*24-N(G358),2))</f>
        <v/>
      </c>
      <c r="I358" s="18"/>
      <c r="J358" s="18"/>
      <c r="K358" s="18"/>
      <c r="L358" s="16" t="str">
        <f aca="false">IF(OR(A358="",B358=""),"",SUMIFS('Registro por hora'!$H$5:$H$2004,'Registro por hora'!$A$5:$A$2004,A358,'Registro por hora'!$B$5:$B$2004,B358))</f>
        <v/>
      </c>
      <c r="M358" s="13" t="str">
        <f aca="false">IF(B358="","",IF(D358="","⚠ Falta estado",IF(AND(OR(D358="Ausente",D358="Medio día"),I358=""),"⚠ Falta motivo",IF(AND(OR(D358="Ausente",D358="Medio día"),J358=""),"⚠ Falta explicación",IF(D358="Ausente","✔ Ausencia justificada",IF(OR(E358="",F358=""),"⚠ Falta hora de entrada/salida",IF(K358="","⚠ Falta resumen del día",IF(N(L358)&lt;N(H358)-0.01,"⚠ Faltan "&amp;TEXT(N(H358)-N(L358),"0.0")&amp;" h por reportar","✔ OK"))))))))</f>
        <v/>
      </c>
    </row>
    <row r="359" customFormat="false" ht="15" hidden="false" customHeight="false" outlineLevel="0" collapsed="false">
      <c r="A359" s="17"/>
      <c r="B359" s="18"/>
      <c r="C359" s="13" t="str">
        <f aca="false">IF(B359="","",IFERROR(INDEX(Personal!$C$5:$C$104,MATCH(B359,Personal!$B$5:$B$104,0)),""))</f>
        <v/>
      </c>
      <c r="D359" s="18"/>
      <c r="E359" s="19"/>
      <c r="F359" s="19"/>
      <c r="G359" s="20"/>
      <c r="H359" s="16" t="str">
        <f aca="false">IF(OR(E359="",F359=""),"",ROUND(MOD(F359-E359,1)*24-N(G359),2))</f>
        <v/>
      </c>
      <c r="I359" s="18"/>
      <c r="J359" s="18"/>
      <c r="K359" s="18"/>
      <c r="L359" s="16" t="str">
        <f aca="false">IF(OR(A359="",B359=""),"",SUMIFS('Registro por hora'!$H$5:$H$2004,'Registro por hora'!$A$5:$A$2004,A359,'Registro por hora'!$B$5:$B$2004,B359))</f>
        <v/>
      </c>
      <c r="M359" s="13" t="str">
        <f aca="false">IF(B359="","",IF(D359="","⚠ Falta estado",IF(AND(OR(D359="Ausente",D359="Medio día"),I359=""),"⚠ Falta motivo",IF(AND(OR(D359="Ausente",D359="Medio día"),J359=""),"⚠ Falta explicación",IF(D359="Ausente","✔ Ausencia justificada",IF(OR(E359="",F359=""),"⚠ Falta hora de entrada/salida",IF(K359="","⚠ Falta resumen del día",IF(N(L359)&lt;N(H359)-0.01,"⚠ Faltan "&amp;TEXT(N(H359)-N(L359),"0.0")&amp;" h por reportar","✔ OK"))))))))</f>
        <v/>
      </c>
    </row>
    <row r="360" customFormat="false" ht="15" hidden="false" customHeight="false" outlineLevel="0" collapsed="false">
      <c r="A360" s="17"/>
      <c r="B360" s="18"/>
      <c r="C360" s="13" t="str">
        <f aca="false">IF(B360="","",IFERROR(INDEX(Personal!$C$5:$C$104,MATCH(B360,Personal!$B$5:$B$104,0)),""))</f>
        <v/>
      </c>
      <c r="D360" s="18"/>
      <c r="E360" s="19"/>
      <c r="F360" s="19"/>
      <c r="G360" s="20"/>
      <c r="H360" s="16" t="str">
        <f aca="false">IF(OR(E360="",F360=""),"",ROUND(MOD(F360-E360,1)*24-N(G360),2))</f>
        <v/>
      </c>
      <c r="I360" s="18"/>
      <c r="J360" s="18"/>
      <c r="K360" s="18"/>
      <c r="L360" s="16" t="str">
        <f aca="false">IF(OR(A360="",B360=""),"",SUMIFS('Registro por hora'!$H$5:$H$2004,'Registro por hora'!$A$5:$A$2004,A360,'Registro por hora'!$B$5:$B$2004,B360))</f>
        <v/>
      </c>
      <c r="M360" s="13" t="str">
        <f aca="false">IF(B360="","",IF(D360="","⚠ Falta estado",IF(AND(OR(D360="Ausente",D360="Medio día"),I360=""),"⚠ Falta motivo",IF(AND(OR(D360="Ausente",D360="Medio día"),J360=""),"⚠ Falta explicación",IF(D360="Ausente","✔ Ausencia justificada",IF(OR(E360="",F360=""),"⚠ Falta hora de entrada/salida",IF(K360="","⚠ Falta resumen del día",IF(N(L360)&lt;N(H360)-0.01,"⚠ Faltan "&amp;TEXT(N(H360)-N(L360),"0.0")&amp;" h por reportar","✔ OK"))))))))</f>
        <v/>
      </c>
    </row>
    <row r="361" customFormat="false" ht="15" hidden="false" customHeight="false" outlineLevel="0" collapsed="false">
      <c r="A361" s="17"/>
      <c r="B361" s="18"/>
      <c r="C361" s="13" t="str">
        <f aca="false">IF(B361="","",IFERROR(INDEX(Personal!$C$5:$C$104,MATCH(B361,Personal!$B$5:$B$104,0)),""))</f>
        <v/>
      </c>
      <c r="D361" s="18"/>
      <c r="E361" s="19"/>
      <c r="F361" s="19"/>
      <c r="G361" s="20"/>
      <c r="H361" s="16" t="str">
        <f aca="false">IF(OR(E361="",F361=""),"",ROUND(MOD(F361-E361,1)*24-N(G361),2))</f>
        <v/>
      </c>
      <c r="I361" s="18"/>
      <c r="J361" s="18"/>
      <c r="K361" s="18"/>
      <c r="L361" s="16" t="str">
        <f aca="false">IF(OR(A361="",B361=""),"",SUMIFS('Registro por hora'!$H$5:$H$2004,'Registro por hora'!$A$5:$A$2004,A361,'Registro por hora'!$B$5:$B$2004,B361))</f>
        <v/>
      </c>
      <c r="M361" s="13" t="str">
        <f aca="false">IF(B361="","",IF(D361="","⚠ Falta estado",IF(AND(OR(D361="Ausente",D361="Medio día"),I361=""),"⚠ Falta motivo",IF(AND(OR(D361="Ausente",D361="Medio día"),J361=""),"⚠ Falta explicación",IF(D361="Ausente","✔ Ausencia justificada",IF(OR(E361="",F361=""),"⚠ Falta hora de entrada/salida",IF(K361="","⚠ Falta resumen del día",IF(N(L361)&lt;N(H361)-0.01,"⚠ Faltan "&amp;TEXT(N(H361)-N(L361),"0.0")&amp;" h por reportar","✔ OK"))))))))</f>
        <v/>
      </c>
    </row>
    <row r="362" customFormat="false" ht="15" hidden="false" customHeight="false" outlineLevel="0" collapsed="false">
      <c r="A362" s="17"/>
      <c r="B362" s="18"/>
      <c r="C362" s="13" t="str">
        <f aca="false">IF(B362="","",IFERROR(INDEX(Personal!$C$5:$C$104,MATCH(B362,Personal!$B$5:$B$104,0)),""))</f>
        <v/>
      </c>
      <c r="D362" s="18"/>
      <c r="E362" s="19"/>
      <c r="F362" s="19"/>
      <c r="G362" s="20"/>
      <c r="H362" s="16" t="str">
        <f aca="false">IF(OR(E362="",F362=""),"",ROUND(MOD(F362-E362,1)*24-N(G362),2))</f>
        <v/>
      </c>
      <c r="I362" s="18"/>
      <c r="J362" s="18"/>
      <c r="K362" s="18"/>
      <c r="L362" s="16" t="str">
        <f aca="false">IF(OR(A362="",B362=""),"",SUMIFS('Registro por hora'!$H$5:$H$2004,'Registro por hora'!$A$5:$A$2004,A362,'Registro por hora'!$B$5:$B$2004,B362))</f>
        <v/>
      </c>
      <c r="M362" s="13" t="str">
        <f aca="false">IF(B362="","",IF(D362="","⚠ Falta estado",IF(AND(OR(D362="Ausente",D362="Medio día"),I362=""),"⚠ Falta motivo",IF(AND(OR(D362="Ausente",D362="Medio día"),J362=""),"⚠ Falta explicación",IF(D362="Ausente","✔ Ausencia justificada",IF(OR(E362="",F362=""),"⚠ Falta hora de entrada/salida",IF(K362="","⚠ Falta resumen del día",IF(N(L362)&lt;N(H362)-0.01,"⚠ Faltan "&amp;TEXT(N(H362)-N(L362),"0.0")&amp;" h por reportar","✔ OK"))))))))</f>
        <v/>
      </c>
    </row>
    <row r="363" customFormat="false" ht="15" hidden="false" customHeight="false" outlineLevel="0" collapsed="false">
      <c r="A363" s="17"/>
      <c r="B363" s="18"/>
      <c r="C363" s="13" t="str">
        <f aca="false">IF(B363="","",IFERROR(INDEX(Personal!$C$5:$C$104,MATCH(B363,Personal!$B$5:$B$104,0)),""))</f>
        <v/>
      </c>
      <c r="D363" s="18"/>
      <c r="E363" s="19"/>
      <c r="F363" s="19"/>
      <c r="G363" s="20"/>
      <c r="H363" s="16" t="str">
        <f aca="false">IF(OR(E363="",F363=""),"",ROUND(MOD(F363-E363,1)*24-N(G363),2))</f>
        <v/>
      </c>
      <c r="I363" s="18"/>
      <c r="J363" s="18"/>
      <c r="K363" s="18"/>
      <c r="L363" s="16" t="str">
        <f aca="false">IF(OR(A363="",B363=""),"",SUMIFS('Registro por hora'!$H$5:$H$2004,'Registro por hora'!$A$5:$A$2004,A363,'Registro por hora'!$B$5:$B$2004,B363))</f>
        <v/>
      </c>
      <c r="M363" s="13" t="str">
        <f aca="false">IF(B363="","",IF(D363="","⚠ Falta estado",IF(AND(OR(D363="Ausente",D363="Medio día"),I363=""),"⚠ Falta motivo",IF(AND(OR(D363="Ausente",D363="Medio día"),J363=""),"⚠ Falta explicación",IF(D363="Ausente","✔ Ausencia justificada",IF(OR(E363="",F363=""),"⚠ Falta hora de entrada/salida",IF(K363="","⚠ Falta resumen del día",IF(N(L363)&lt;N(H363)-0.01,"⚠ Faltan "&amp;TEXT(N(H363)-N(L363),"0.0")&amp;" h por reportar","✔ OK"))))))))</f>
        <v/>
      </c>
    </row>
    <row r="364" customFormat="false" ht="15" hidden="false" customHeight="false" outlineLevel="0" collapsed="false">
      <c r="A364" s="17"/>
      <c r="B364" s="18"/>
      <c r="C364" s="13" t="str">
        <f aca="false">IF(B364="","",IFERROR(INDEX(Personal!$C$5:$C$104,MATCH(B364,Personal!$B$5:$B$104,0)),""))</f>
        <v/>
      </c>
      <c r="D364" s="18"/>
      <c r="E364" s="19"/>
      <c r="F364" s="19"/>
      <c r="G364" s="20"/>
      <c r="H364" s="16" t="str">
        <f aca="false">IF(OR(E364="",F364=""),"",ROUND(MOD(F364-E364,1)*24-N(G364),2))</f>
        <v/>
      </c>
      <c r="I364" s="18"/>
      <c r="J364" s="18"/>
      <c r="K364" s="18"/>
      <c r="L364" s="16" t="str">
        <f aca="false">IF(OR(A364="",B364=""),"",SUMIFS('Registro por hora'!$H$5:$H$2004,'Registro por hora'!$A$5:$A$2004,A364,'Registro por hora'!$B$5:$B$2004,B364))</f>
        <v/>
      </c>
      <c r="M364" s="13" t="str">
        <f aca="false">IF(B364="","",IF(D364="","⚠ Falta estado",IF(AND(OR(D364="Ausente",D364="Medio día"),I364=""),"⚠ Falta motivo",IF(AND(OR(D364="Ausente",D364="Medio día"),J364=""),"⚠ Falta explicación",IF(D364="Ausente","✔ Ausencia justificada",IF(OR(E364="",F364=""),"⚠ Falta hora de entrada/salida",IF(K364="","⚠ Falta resumen del día",IF(N(L364)&lt;N(H364)-0.01,"⚠ Faltan "&amp;TEXT(N(H364)-N(L364),"0.0")&amp;" h por reportar","✔ OK"))))))))</f>
        <v/>
      </c>
    </row>
    <row r="365" customFormat="false" ht="15" hidden="false" customHeight="false" outlineLevel="0" collapsed="false">
      <c r="A365" s="17"/>
      <c r="B365" s="18"/>
      <c r="C365" s="13" t="str">
        <f aca="false">IF(B365="","",IFERROR(INDEX(Personal!$C$5:$C$104,MATCH(B365,Personal!$B$5:$B$104,0)),""))</f>
        <v/>
      </c>
      <c r="D365" s="18"/>
      <c r="E365" s="19"/>
      <c r="F365" s="19"/>
      <c r="G365" s="20"/>
      <c r="H365" s="16" t="str">
        <f aca="false">IF(OR(E365="",F365=""),"",ROUND(MOD(F365-E365,1)*24-N(G365),2))</f>
        <v/>
      </c>
      <c r="I365" s="18"/>
      <c r="J365" s="18"/>
      <c r="K365" s="18"/>
      <c r="L365" s="16" t="str">
        <f aca="false">IF(OR(A365="",B365=""),"",SUMIFS('Registro por hora'!$H$5:$H$2004,'Registro por hora'!$A$5:$A$2004,A365,'Registro por hora'!$B$5:$B$2004,B365))</f>
        <v/>
      </c>
      <c r="M365" s="13" t="str">
        <f aca="false">IF(B365="","",IF(D365="","⚠ Falta estado",IF(AND(OR(D365="Ausente",D365="Medio día"),I365=""),"⚠ Falta motivo",IF(AND(OR(D365="Ausente",D365="Medio día"),J365=""),"⚠ Falta explicación",IF(D365="Ausente","✔ Ausencia justificada",IF(OR(E365="",F365=""),"⚠ Falta hora de entrada/salida",IF(K365="","⚠ Falta resumen del día",IF(N(L365)&lt;N(H365)-0.01,"⚠ Faltan "&amp;TEXT(N(H365)-N(L365),"0.0")&amp;" h por reportar","✔ OK"))))))))</f>
        <v/>
      </c>
    </row>
    <row r="366" customFormat="false" ht="15" hidden="false" customHeight="false" outlineLevel="0" collapsed="false">
      <c r="A366" s="17"/>
      <c r="B366" s="18"/>
      <c r="C366" s="13" t="str">
        <f aca="false">IF(B366="","",IFERROR(INDEX(Personal!$C$5:$C$104,MATCH(B366,Personal!$B$5:$B$104,0)),""))</f>
        <v/>
      </c>
      <c r="D366" s="18"/>
      <c r="E366" s="19"/>
      <c r="F366" s="19"/>
      <c r="G366" s="20"/>
      <c r="H366" s="16" t="str">
        <f aca="false">IF(OR(E366="",F366=""),"",ROUND(MOD(F366-E366,1)*24-N(G366),2))</f>
        <v/>
      </c>
      <c r="I366" s="18"/>
      <c r="J366" s="18"/>
      <c r="K366" s="18"/>
      <c r="L366" s="16" t="str">
        <f aca="false">IF(OR(A366="",B366=""),"",SUMIFS('Registro por hora'!$H$5:$H$2004,'Registro por hora'!$A$5:$A$2004,A366,'Registro por hora'!$B$5:$B$2004,B366))</f>
        <v/>
      </c>
      <c r="M366" s="13" t="str">
        <f aca="false">IF(B366="","",IF(D366="","⚠ Falta estado",IF(AND(OR(D366="Ausente",D366="Medio día"),I366=""),"⚠ Falta motivo",IF(AND(OR(D366="Ausente",D366="Medio día"),J366=""),"⚠ Falta explicación",IF(D366="Ausente","✔ Ausencia justificada",IF(OR(E366="",F366=""),"⚠ Falta hora de entrada/salida",IF(K366="","⚠ Falta resumen del día",IF(N(L366)&lt;N(H366)-0.01,"⚠ Faltan "&amp;TEXT(N(H366)-N(L366),"0.0")&amp;" h por reportar","✔ OK"))))))))</f>
        <v/>
      </c>
    </row>
    <row r="367" customFormat="false" ht="15" hidden="false" customHeight="false" outlineLevel="0" collapsed="false">
      <c r="A367" s="17"/>
      <c r="B367" s="18"/>
      <c r="C367" s="13" t="str">
        <f aca="false">IF(B367="","",IFERROR(INDEX(Personal!$C$5:$C$104,MATCH(B367,Personal!$B$5:$B$104,0)),""))</f>
        <v/>
      </c>
      <c r="D367" s="18"/>
      <c r="E367" s="19"/>
      <c r="F367" s="19"/>
      <c r="G367" s="20"/>
      <c r="H367" s="16" t="str">
        <f aca="false">IF(OR(E367="",F367=""),"",ROUND(MOD(F367-E367,1)*24-N(G367),2))</f>
        <v/>
      </c>
      <c r="I367" s="18"/>
      <c r="J367" s="18"/>
      <c r="K367" s="18"/>
      <c r="L367" s="16" t="str">
        <f aca="false">IF(OR(A367="",B367=""),"",SUMIFS('Registro por hora'!$H$5:$H$2004,'Registro por hora'!$A$5:$A$2004,A367,'Registro por hora'!$B$5:$B$2004,B367))</f>
        <v/>
      </c>
      <c r="M367" s="13" t="str">
        <f aca="false">IF(B367="","",IF(D367="","⚠ Falta estado",IF(AND(OR(D367="Ausente",D367="Medio día"),I367=""),"⚠ Falta motivo",IF(AND(OR(D367="Ausente",D367="Medio día"),J367=""),"⚠ Falta explicación",IF(D367="Ausente","✔ Ausencia justificada",IF(OR(E367="",F367=""),"⚠ Falta hora de entrada/salida",IF(K367="","⚠ Falta resumen del día",IF(N(L367)&lt;N(H367)-0.01,"⚠ Faltan "&amp;TEXT(N(H367)-N(L367),"0.0")&amp;" h por reportar","✔ OK"))))))))</f>
        <v/>
      </c>
    </row>
    <row r="368" customFormat="false" ht="15" hidden="false" customHeight="false" outlineLevel="0" collapsed="false">
      <c r="A368" s="17"/>
      <c r="B368" s="18"/>
      <c r="C368" s="13" t="str">
        <f aca="false">IF(B368="","",IFERROR(INDEX(Personal!$C$5:$C$104,MATCH(B368,Personal!$B$5:$B$104,0)),""))</f>
        <v/>
      </c>
      <c r="D368" s="18"/>
      <c r="E368" s="19"/>
      <c r="F368" s="19"/>
      <c r="G368" s="20"/>
      <c r="H368" s="16" t="str">
        <f aca="false">IF(OR(E368="",F368=""),"",ROUND(MOD(F368-E368,1)*24-N(G368),2))</f>
        <v/>
      </c>
      <c r="I368" s="18"/>
      <c r="J368" s="18"/>
      <c r="K368" s="18"/>
      <c r="L368" s="16" t="str">
        <f aca="false">IF(OR(A368="",B368=""),"",SUMIFS('Registro por hora'!$H$5:$H$2004,'Registro por hora'!$A$5:$A$2004,A368,'Registro por hora'!$B$5:$B$2004,B368))</f>
        <v/>
      </c>
      <c r="M368" s="13" t="str">
        <f aca="false">IF(B368="","",IF(D368="","⚠ Falta estado",IF(AND(OR(D368="Ausente",D368="Medio día"),I368=""),"⚠ Falta motivo",IF(AND(OR(D368="Ausente",D368="Medio día"),J368=""),"⚠ Falta explicación",IF(D368="Ausente","✔ Ausencia justificada",IF(OR(E368="",F368=""),"⚠ Falta hora de entrada/salida",IF(K368="","⚠ Falta resumen del día",IF(N(L368)&lt;N(H368)-0.01,"⚠ Faltan "&amp;TEXT(N(H368)-N(L368),"0.0")&amp;" h por reportar","✔ OK"))))))))</f>
        <v/>
      </c>
    </row>
    <row r="369" customFormat="false" ht="15" hidden="false" customHeight="false" outlineLevel="0" collapsed="false">
      <c r="A369" s="17"/>
      <c r="B369" s="18"/>
      <c r="C369" s="13" t="str">
        <f aca="false">IF(B369="","",IFERROR(INDEX(Personal!$C$5:$C$104,MATCH(B369,Personal!$B$5:$B$104,0)),""))</f>
        <v/>
      </c>
      <c r="D369" s="18"/>
      <c r="E369" s="19"/>
      <c r="F369" s="19"/>
      <c r="G369" s="20"/>
      <c r="H369" s="16" t="str">
        <f aca="false">IF(OR(E369="",F369=""),"",ROUND(MOD(F369-E369,1)*24-N(G369),2))</f>
        <v/>
      </c>
      <c r="I369" s="18"/>
      <c r="J369" s="18"/>
      <c r="K369" s="18"/>
      <c r="L369" s="16" t="str">
        <f aca="false">IF(OR(A369="",B369=""),"",SUMIFS('Registro por hora'!$H$5:$H$2004,'Registro por hora'!$A$5:$A$2004,A369,'Registro por hora'!$B$5:$B$2004,B369))</f>
        <v/>
      </c>
      <c r="M369" s="13" t="str">
        <f aca="false">IF(B369="","",IF(D369="","⚠ Falta estado",IF(AND(OR(D369="Ausente",D369="Medio día"),I369=""),"⚠ Falta motivo",IF(AND(OR(D369="Ausente",D369="Medio día"),J369=""),"⚠ Falta explicación",IF(D369="Ausente","✔ Ausencia justificada",IF(OR(E369="",F369=""),"⚠ Falta hora de entrada/salida",IF(K369="","⚠ Falta resumen del día",IF(N(L369)&lt;N(H369)-0.01,"⚠ Faltan "&amp;TEXT(N(H369)-N(L369),"0.0")&amp;" h por reportar","✔ OK"))))))))</f>
        <v/>
      </c>
    </row>
    <row r="370" customFormat="false" ht="15" hidden="false" customHeight="false" outlineLevel="0" collapsed="false">
      <c r="A370" s="17"/>
      <c r="B370" s="18"/>
      <c r="C370" s="13" t="str">
        <f aca="false">IF(B370="","",IFERROR(INDEX(Personal!$C$5:$C$104,MATCH(B370,Personal!$B$5:$B$104,0)),""))</f>
        <v/>
      </c>
      <c r="D370" s="18"/>
      <c r="E370" s="19"/>
      <c r="F370" s="19"/>
      <c r="G370" s="20"/>
      <c r="H370" s="16" t="str">
        <f aca="false">IF(OR(E370="",F370=""),"",ROUND(MOD(F370-E370,1)*24-N(G370),2))</f>
        <v/>
      </c>
      <c r="I370" s="18"/>
      <c r="J370" s="18"/>
      <c r="K370" s="18"/>
      <c r="L370" s="16" t="str">
        <f aca="false">IF(OR(A370="",B370=""),"",SUMIFS('Registro por hora'!$H$5:$H$2004,'Registro por hora'!$A$5:$A$2004,A370,'Registro por hora'!$B$5:$B$2004,B370))</f>
        <v/>
      </c>
      <c r="M370" s="13" t="str">
        <f aca="false">IF(B370="","",IF(D370="","⚠ Falta estado",IF(AND(OR(D370="Ausente",D370="Medio día"),I370=""),"⚠ Falta motivo",IF(AND(OR(D370="Ausente",D370="Medio día"),J370=""),"⚠ Falta explicación",IF(D370="Ausente","✔ Ausencia justificada",IF(OR(E370="",F370=""),"⚠ Falta hora de entrada/salida",IF(K370="","⚠ Falta resumen del día",IF(N(L370)&lt;N(H370)-0.01,"⚠ Faltan "&amp;TEXT(N(H370)-N(L370),"0.0")&amp;" h por reportar","✔ OK"))))))))</f>
        <v/>
      </c>
    </row>
    <row r="371" customFormat="false" ht="15" hidden="false" customHeight="false" outlineLevel="0" collapsed="false">
      <c r="A371" s="17"/>
      <c r="B371" s="18"/>
      <c r="C371" s="13" t="str">
        <f aca="false">IF(B371="","",IFERROR(INDEX(Personal!$C$5:$C$104,MATCH(B371,Personal!$B$5:$B$104,0)),""))</f>
        <v/>
      </c>
      <c r="D371" s="18"/>
      <c r="E371" s="19"/>
      <c r="F371" s="19"/>
      <c r="G371" s="20"/>
      <c r="H371" s="16" t="str">
        <f aca="false">IF(OR(E371="",F371=""),"",ROUND(MOD(F371-E371,1)*24-N(G371),2))</f>
        <v/>
      </c>
      <c r="I371" s="18"/>
      <c r="J371" s="18"/>
      <c r="K371" s="18"/>
      <c r="L371" s="16" t="str">
        <f aca="false">IF(OR(A371="",B371=""),"",SUMIFS('Registro por hora'!$H$5:$H$2004,'Registro por hora'!$A$5:$A$2004,A371,'Registro por hora'!$B$5:$B$2004,B371))</f>
        <v/>
      </c>
      <c r="M371" s="13" t="str">
        <f aca="false">IF(B371="","",IF(D371="","⚠ Falta estado",IF(AND(OR(D371="Ausente",D371="Medio día"),I371=""),"⚠ Falta motivo",IF(AND(OR(D371="Ausente",D371="Medio día"),J371=""),"⚠ Falta explicación",IF(D371="Ausente","✔ Ausencia justificada",IF(OR(E371="",F371=""),"⚠ Falta hora de entrada/salida",IF(K371="","⚠ Falta resumen del día",IF(N(L371)&lt;N(H371)-0.01,"⚠ Faltan "&amp;TEXT(N(H371)-N(L371),"0.0")&amp;" h por reportar","✔ OK"))))))))</f>
        <v/>
      </c>
    </row>
    <row r="372" customFormat="false" ht="15" hidden="false" customHeight="false" outlineLevel="0" collapsed="false">
      <c r="A372" s="17"/>
      <c r="B372" s="18"/>
      <c r="C372" s="13" t="str">
        <f aca="false">IF(B372="","",IFERROR(INDEX(Personal!$C$5:$C$104,MATCH(B372,Personal!$B$5:$B$104,0)),""))</f>
        <v/>
      </c>
      <c r="D372" s="18"/>
      <c r="E372" s="19"/>
      <c r="F372" s="19"/>
      <c r="G372" s="20"/>
      <c r="H372" s="16" t="str">
        <f aca="false">IF(OR(E372="",F372=""),"",ROUND(MOD(F372-E372,1)*24-N(G372),2))</f>
        <v/>
      </c>
      <c r="I372" s="18"/>
      <c r="J372" s="18"/>
      <c r="K372" s="18"/>
      <c r="L372" s="16" t="str">
        <f aca="false">IF(OR(A372="",B372=""),"",SUMIFS('Registro por hora'!$H$5:$H$2004,'Registro por hora'!$A$5:$A$2004,A372,'Registro por hora'!$B$5:$B$2004,B372))</f>
        <v/>
      </c>
      <c r="M372" s="13" t="str">
        <f aca="false">IF(B372="","",IF(D372="","⚠ Falta estado",IF(AND(OR(D372="Ausente",D372="Medio día"),I372=""),"⚠ Falta motivo",IF(AND(OR(D372="Ausente",D372="Medio día"),J372=""),"⚠ Falta explicación",IF(D372="Ausente","✔ Ausencia justificada",IF(OR(E372="",F372=""),"⚠ Falta hora de entrada/salida",IF(K372="","⚠ Falta resumen del día",IF(N(L372)&lt;N(H372)-0.01,"⚠ Faltan "&amp;TEXT(N(H372)-N(L372),"0.0")&amp;" h por reportar","✔ OK"))))))))</f>
        <v/>
      </c>
    </row>
    <row r="373" customFormat="false" ht="15" hidden="false" customHeight="false" outlineLevel="0" collapsed="false">
      <c r="A373" s="17"/>
      <c r="B373" s="18"/>
      <c r="C373" s="13" t="str">
        <f aca="false">IF(B373="","",IFERROR(INDEX(Personal!$C$5:$C$104,MATCH(B373,Personal!$B$5:$B$104,0)),""))</f>
        <v/>
      </c>
      <c r="D373" s="18"/>
      <c r="E373" s="19"/>
      <c r="F373" s="19"/>
      <c r="G373" s="20"/>
      <c r="H373" s="16" t="str">
        <f aca="false">IF(OR(E373="",F373=""),"",ROUND(MOD(F373-E373,1)*24-N(G373),2))</f>
        <v/>
      </c>
      <c r="I373" s="18"/>
      <c r="J373" s="18"/>
      <c r="K373" s="18"/>
      <c r="L373" s="16" t="str">
        <f aca="false">IF(OR(A373="",B373=""),"",SUMIFS('Registro por hora'!$H$5:$H$2004,'Registro por hora'!$A$5:$A$2004,A373,'Registro por hora'!$B$5:$B$2004,B373))</f>
        <v/>
      </c>
      <c r="M373" s="13" t="str">
        <f aca="false">IF(B373="","",IF(D373="","⚠ Falta estado",IF(AND(OR(D373="Ausente",D373="Medio día"),I373=""),"⚠ Falta motivo",IF(AND(OR(D373="Ausente",D373="Medio día"),J373=""),"⚠ Falta explicación",IF(D373="Ausente","✔ Ausencia justificada",IF(OR(E373="",F373=""),"⚠ Falta hora de entrada/salida",IF(K373="","⚠ Falta resumen del día",IF(N(L373)&lt;N(H373)-0.01,"⚠ Faltan "&amp;TEXT(N(H373)-N(L373),"0.0")&amp;" h por reportar","✔ OK"))))))))</f>
        <v/>
      </c>
    </row>
    <row r="374" customFormat="false" ht="15" hidden="false" customHeight="false" outlineLevel="0" collapsed="false">
      <c r="A374" s="17"/>
      <c r="B374" s="18"/>
      <c r="C374" s="13" t="str">
        <f aca="false">IF(B374="","",IFERROR(INDEX(Personal!$C$5:$C$104,MATCH(B374,Personal!$B$5:$B$104,0)),""))</f>
        <v/>
      </c>
      <c r="D374" s="18"/>
      <c r="E374" s="19"/>
      <c r="F374" s="19"/>
      <c r="G374" s="20"/>
      <c r="H374" s="16" t="str">
        <f aca="false">IF(OR(E374="",F374=""),"",ROUND(MOD(F374-E374,1)*24-N(G374),2))</f>
        <v/>
      </c>
      <c r="I374" s="18"/>
      <c r="J374" s="18"/>
      <c r="K374" s="18"/>
      <c r="L374" s="16" t="str">
        <f aca="false">IF(OR(A374="",B374=""),"",SUMIFS('Registro por hora'!$H$5:$H$2004,'Registro por hora'!$A$5:$A$2004,A374,'Registro por hora'!$B$5:$B$2004,B374))</f>
        <v/>
      </c>
      <c r="M374" s="13" t="str">
        <f aca="false">IF(B374="","",IF(D374="","⚠ Falta estado",IF(AND(OR(D374="Ausente",D374="Medio día"),I374=""),"⚠ Falta motivo",IF(AND(OR(D374="Ausente",D374="Medio día"),J374=""),"⚠ Falta explicación",IF(D374="Ausente","✔ Ausencia justificada",IF(OR(E374="",F374=""),"⚠ Falta hora de entrada/salida",IF(K374="","⚠ Falta resumen del día",IF(N(L374)&lt;N(H374)-0.01,"⚠ Faltan "&amp;TEXT(N(H374)-N(L374),"0.0")&amp;" h por reportar","✔ OK"))))))))</f>
        <v/>
      </c>
    </row>
    <row r="375" customFormat="false" ht="15" hidden="false" customHeight="false" outlineLevel="0" collapsed="false">
      <c r="A375" s="17"/>
      <c r="B375" s="18"/>
      <c r="C375" s="13" t="str">
        <f aca="false">IF(B375="","",IFERROR(INDEX(Personal!$C$5:$C$104,MATCH(B375,Personal!$B$5:$B$104,0)),""))</f>
        <v/>
      </c>
      <c r="D375" s="18"/>
      <c r="E375" s="19"/>
      <c r="F375" s="19"/>
      <c r="G375" s="20"/>
      <c r="H375" s="16" t="str">
        <f aca="false">IF(OR(E375="",F375=""),"",ROUND(MOD(F375-E375,1)*24-N(G375),2))</f>
        <v/>
      </c>
      <c r="I375" s="18"/>
      <c r="J375" s="18"/>
      <c r="K375" s="18"/>
      <c r="L375" s="16" t="str">
        <f aca="false">IF(OR(A375="",B375=""),"",SUMIFS('Registro por hora'!$H$5:$H$2004,'Registro por hora'!$A$5:$A$2004,A375,'Registro por hora'!$B$5:$B$2004,B375))</f>
        <v/>
      </c>
      <c r="M375" s="13" t="str">
        <f aca="false">IF(B375="","",IF(D375="","⚠ Falta estado",IF(AND(OR(D375="Ausente",D375="Medio día"),I375=""),"⚠ Falta motivo",IF(AND(OR(D375="Ausente",D375="Medio día"),J375=""),"⚠ Falta explicación",IF(D375="Ausente","✔ Ausencia justificada",IF(OR(E375="",F375=""),"⚠ Falta hora de entrada/salida",IF(K375="","⚠ Falta resumen del día",IF(N(L375)&lt;N(H375)-0.01,"⚠ Faltan "&amp;TEXT(N(H375)-N(L375),"0.0")&amp;" h por reportar","✔ OK"))))))))</f>
        <v/>
      </c>
    </row>
    <row r="376" customFormat="false" ht="15" hidden="false" customHeight="false" outlineLevel="0" collapsed="false">
      <c r="A376" s="17"/>
      <c r="B376" s="18"/>
      <c r="C376" s="13" t="str">
        <f aca="false">IF(B376="","",IFERROR(INDEX(Personal!$C$5:$C$104,MATCH(B376,Personal!$B$5:$B$104,0)),""))</f>
        <v/>
      </c>
      <c r="D376" s="18"/>
      <c r="E376" s="19"/>
      <c r="F376" s="19"/>
      <c r="G376" s="20"/>
      <c r="H376" s="16" t="str">
        <f aca="false">IF(OR(E376="",F376=""),"",ROUND(MOD(F376-E376,1)*24-N(G376),2))</f>
        <v/>
      </c>
      <c r="I376" s="18"/>
      <c r="J376" s="18"/>
      <c r="K376" s="18"/>
      <c r="L376" s="16" t="str">
        <f aca="false">IF(OR(A376="",B376=""),"",SUMIFS('Registro por hora'!$H$5:$H$2004,'Registro por hora'!$A$5:$A$2004,A376,'Registro por hora'!$B$5:$B$2004,B376))</f>
        <v/>
      </c>
      <c r="M376" s="13" t="str">
        <f aca="false">IF(B376="","",IF(D376="","⚠ Falta estado",IF(AND(OR(D376="Ausente",D376="Medio día"),I376=""),"⚠ Falta motivo",IF(AND(OR(D376="Ausente",D376="Medio día"),J376=""),"⚠ Falta explicación",IF(D376="Ausente","✔ Ausencia justificada",IF(OR(E376="",F376=""),"⚠ Falta hora de entrada/salida",IF(K376="","⚠ Falta resumen del día",IF(N(L376)&lt;N(H376)-0.01,"⚠ Faltan "&amp;TEXT(N(H376)-N(L376),"0.0")&amp;" h por reportar","✔ OK"))))))))</f>
        <v/>
      </c>
    </row>
    <row r="377" customFormat="false" ht="15" hidden="false" customHeight="false" outlineLevel="0" collapsed="false">
      <c r="A377" s="17"/>
      <c r="B377" s="18"/>
      <c r="C377" s="13" t="str">
        <f aca="false">IF(B377="","",IFERROR(INDEX(Personal!$C$5:$C$104,MATCH(B377,Personal!$B$5:$B$104,0)),""))</f>
        <v/>
      </c>
      <c r="D377" s="18"/>
      <c r="E377" s="19"/>
      <c r="F377" s="19"/>
      <c r="G377" s="20"/>
      <c r="H377" s="16" t="str">
        <f aca="false">IF(OR(E377="",F377=""),"",ROUND(MOD(F377-E377,1)*24-N(G377),2))</f>
        <v/>
      </c>
      <c r="I377" s="18"/>
      <c r="J377" s="18"/>
      <c r="K377" s="18"/>
      <c r="L377" s="16" t="str">
        <f aca="false">IF(OR(A377="",B377=""),"",SUMIFS('Registro por hora'!$H$5:$H$2004,'Registro por hora'!$A$5:$A$2004,A377,'Registro por hora'!$B$5:$B$2004,B377))</f>
        <v/>
      </c>
      <c r="M377" s="13" t="str">
        <f aca="false">IF(B377="","",IF(D377="","⚠ Falta estado",IF(AND(OR(D377="Ausente",D377="Medio día"),I377=""),"⚠ Falta motivo",IF(AND(OR(D377="Ausente",D377="Medio día"),J377=""),"⚠ Falta explicación",IF(D377="Ausente","✔ Ausencia justificada",IF(OR(E377="",F377=""),"⚠ Falta hora de entrada/salida",IF(K377="","⚠ Falta resumen del día",IF(N(L377)&lt;N(H377)-0.01,"⚠ Faltan "&amp;TEXT(N(H377)-N(L377),"0.0")&amp;" h por reportar","✔ OK"))))))))</f>
        <v/>
      </c>
    </row>
    <row r="378" customFormat="false" ht="15" hidden="false" customHeight="false" outlineLevel="0" collapsed="false">
      <c r="A378" s="17"/>
      <c r="B378" s="18"/>
      <c r="C378" s="13" t="str">
        <f aca="false">IF(B378="","",IFERROR(INDEX(Personal!$C$5:$C$104,MATCH(B378,Personal!$B$5:$B$104,0)),""))</f>
        <v/>
      </c>
      <c r="D378" s="18"/>
      <c r="E378" s="19"/>
      <c r="F378" s="19"/>
      <c r="G378" s="20"/>
      <c r="H378" s="16" t="str">
        <f aca="false">IF(OR(E378="",F378=""),"",ROUND(MOD(F378-E378,1)*24-N(G378),2))</f>
        <v/>
      </c>
      <c r="I378" s="18"/>
      <c r="J378" s="18"/>
      <c r="K378" s="18"/>
      <c r="L378" s="16" t="str">
        <f aca="false">IF(OR(A378="",B378=""),"",SUMIFS('Registro por hora'!$H$5:$H$2004,'Registro por hora'!$A$5:$A$2004,A378,'Registro por hora'!$B$5:$B$2004,B378))</f>
        <v/>
      </c>
      <c r="M378" s="13" t="str">
        <f aca="false">IF(B378="","",IF(D378="","⚠ Falta estado",IF(AND(OR(D378="Ausente",D378="Medio día"),I378=""),"⚠ Falta motivo",IF(AND(OR(D378="Ausente",D378="Medio día"),J378=""),"⚠ Falta explicación",IF(D378="Ausente","✔ Ausencia justificada",IF(OR(E378="",F378=""),"⚠ Falta hora de entrada/salida",IF(K378="","⚠ Falta resumen del día",IF(N(L378)&lt;N(H378)-0.01,"⚠ Faltan "&amp;TEXT(N(H378)-N(L378),"0.0")&amp;" h por reportar","✔ OK"))))))))</f>
        <v/>
      </c>
    </row>
    <row r="379" customFormat="false" ht="15" hidden="false" customHeight="false" outlineLevel="0" collapsed="false">
      <c r="A379" s="17"/>
      <c r="B379" s="18"/>
      <c r="C379" s="13" t="str">
        <f aca="false">IF(B379="","",IFERROR(INDEX(Personal!$C$5:$C$104,MATCH(B379,Personal!$B$5:$B$104,0)),""))</f>
        <v/>
      </c>
      <c r="D379" s="18"/>
      <c r="E379" s="19"/>
      <c r="F379" s="19"/>
      <c r="G379" s="20"/>
      <c r="H379" s="16" t="str">
        <f aca="false">IF(OR(E379="",F379=""),"",ROUND(MOD(F379-E379,1)*24-N(G379),2))</f>
        <v/>
      </c>
      <c r="I379" s="18"/>
      <c r="J379" s="18"/>
      <c r="K379" s="18"/>
      <c r="L379" s="16" t="str">
        <f aca="false">IF(OR(A379="",B379=""),"",SUMIFS('Registro por hora'!$H$5:$H$2004,'Registro por hora'!$A$5:$A$2004,A379,'Registro por hora'!$B$5:$B$2004,B379))</f>
        <v/>
      </c>
      <c r="M379" s="13" t="str">
        <f aca="false">IF(B379="","",IF(D379="","⚠ Falta estado",IF(AND(OR(D379="Ausente",D379="Medio día"),I379=""),"⚠ Falta motivo",IF(AND(OR(D379="Ausente",D379="Medio día"),J379=""),"⚠ Falta explicación",IF(D379="Ausente","✔ Ausencia justificada",IF(OR(E379="",F379=""),"⚠ Falta hora de entrada/salida",IF(K379="","⚠ Falta resumen del día",IF(N(L379)&lt;N(H379)-0.01,"⚠ Faltan "&amp;TEXT(N(H379)-N(L379),"0.0")&amp;" h por reportar","✔ OK"))))))))</f>
        <v/>
      </c>
    </row>
    <row r="380" customFormat="false" ht="15" hidden="false" customHeight="false" outlineLevel="0" collapsed="false">
      <c r="A380" s="17"/>
      <c r="B380" s="18"/>
      <c r="C380" s="13" t="str">
        <f aca="false">IF(B380="","",IFERROR(INDEX(Personal!$C$5:$C$104,MATCH(B380,Personal!$B$5:$B$104,0)),""))</f>
        <v/>
      </c>
      <c r="D380" s="18"/>
      <c r="E380" s="19"/>
      <c r="F380" s="19"/>
      <c r="G380" s="20"/>
      <c r="H380" s="16" t="str">
        <f aca="false">IF(OR(E380="",F380=""),"",ROUND(MOD(F380-E380,1)*24-N(G380),2))</f>
        <v/>
      </c>
      <c r="I380" s="18"/>
      <c r="J380" s="18"/>
      <c r="K380" s="18"/>
      <c r="L380" s="16" t="str">
        <f aca="false">IF(OR(A380="",B380=""),"",SUMIFS('Registro por hora'!$H$5:$H$2004,'Registro por hora'!$A$5:$A$2004,A380,'Registro por hora'!$B$5:$B$2004,B380))</f>
        <v/>
      </c>
      <c r="M380" s="13" t="str">
        <f aca="false">IF(B380="","",IF(D380="","⚠ Falta estado",IF(AND(OR(D380="Ausente",D380="Medio día"),I380=""),"⚠ Falta motivo",IF(AND(OR(D380="Ausente",D380="Medio día"),J380=""),"⚠ Falta explicación",IF(D380="Ausente","✔ Ausencia justificada",IF(OR(E380="",F380=""),"⚠ Falta hora de entrada/salida",IF(K380="","⚠ Falta resumen del día",IF(N(L380)&lt;N(H380)-0.01,"⚠ Faltan "&amp;TEXT(N(H380)-N(L380),"0.0")&amp;" h por reportar","✔ OK"))))))))</f>
        <v/>
      </c>
    </row>
    <row r="381" customFormat="false" ht="15" hidden="false" customHeight="false" outlineLevel="0" collapsed="false">
      <c r="A381" s="17"/>
      <c r="B381" s="18"/>
      <c r="C381" s="13" t="str">
        <f aca="false">IF(B381="","",IFERROR(INDEX(Personal!$C$5:$C$104,MATCH(B381,Personal!$B$5:$B$104,0)),""))</f>
        <v/>
      </c>
      <c r="D381" s="18"/>
      <c r="E381" s="19"/>
      <c r="F381" s="19"/>
      <c r="G381" s="20"/>
      <c r="H381" s="16" t="str">
        <f aca="false">IF(OR(E381="",F381=""),"",ROUND(MOD(F381-E381,1)*24-N(G381),2))</f>
        <v/>
      </c>
      <c r="I381" s="18"/>
      <c r="J381" s="18"/>
      <c r="K381" s="18"/>
      <c r="L381" s="16" t="str">
        <f aca="false">IF(OR(A381="",B381=""),"",SUMIFS('Registro por hora'!$H$5:$H$2004,'Registro por hora'!$A$5:$A$2004,A381,'Registro por hora'!$B$5:$B$2004,B381))</f>
        <v/>
      </c>
      <c r="M381" s="13" t="str">
        <f aca="false">IF(B381="","",IF(D381="","⚠ Falta estado",IF(AND(OR(D381="Ausente",D381="Medio día"),I381=""),"⚠ Falta motivo",IF(AND(OR(D381="Ausente",D381="Medio día"),J381=""),"⚠ Falta explicación",IF(D381="Ausente","✔ Ausencia justificada",IF(OR(E381="",F381=""),"⚠ Falta hora de entrada/salida",IF(K381="","⚠ Falta resumen del día",IF(N(L381)&lt;N(H381)-0.01,"⚠ Faltan "&amp;TEXT(N(H381)-N(L381),"0.0")&amp;" h por reportar","✔ OK"))))))))</f>
        <v/>
      </c>
    </row>
    <row r="382" customFormat="false" ht="15" hidden="false" customHeight="false" outlineLevel="0" collapsed="false">
      <c r="A382" s="17"/>
      <c r="B382" s="18"/>
      <c r="C382" s="13" t="str">
        <f aca="false">IF(B382="","",IFERROR(INDEX(Personal!$C$5:$C$104,MATCH(B382,Personal!$B$5:$B$104,0)),""))</f>
        <v/>
      </c>
      <c r="D382" s="18"/>
      <c r="E382" s="19"/>
      <c r="F382" s="19"/>
      <c r="G382" s="20"/>
      <c r="H382" s="16" t="str">
        <f aca="false">IF(OR(E382="",F382=""),"",ROUND(MOD(F382-E382,1)*24-N(G382),2))</f>
        <v/>
      </c>
      <c r="I382" s="18"/>
      <c r="J382" s="18"/>
      <c r="K382" s="18"/>
      <c r="L382" s="16" t="str">
        <f aca="false">IF(OR(A382="",B382=""),"",SUMIFS('Registro por hora'!$H$5:$H$2004,'Registro por hora'!$A$5:$A$2004,A382,'Registro por hora'!$B$5:$B$2004,B382))</f>
        <v/>
      </c>
      <c r="M382" s="13" t="str">
        <f aca="false">IF(B382="","",IF(D382="","⚠ Falta estado",IF(AND(OR(D382="Ausente",D382="Medio día"),I382=""),"⚠ Falta motivo",IF(AND(OR(D382="Ausente",D382="Medio día"),J382=""),"⚠ Falta explicación",IF(D382="Ausente","✔ Ausencia justificada",IF(OR(E382="",F382=""),"⚠ Falta hora de entrada/salida",IF(K382="","⚠ Falta resumen del día",IF(N(L382)&lt;N(H382)-0.01,"⚠ Faltan "&amp;TEXT(N(H382)-N(L382),"0.0")&amp;" h por reportar","✔ OK"))))))))</f>
        <v/>
      </c>
    </row>
    <row r="383" customFormat="false" ht="15" hidden="false" customHeight="false" outlineLevel="0" collapsed="false">
      <c r="A383" s="17"/>
      <c r="B383" s="18"/>
      <c r="C383" s="13" t="str">
        <f aca="false">IF(B383="","",IFERROR(INDEX(Personal!$C$5:$C$104,MATCH(B383,Personal!$B$5:$B$104,0)),""))</f>
        <v/>
      </c>
      <c r="D383" s="18"/>
      <c r="E383" s="19"/>
      <c r="F383" s="19"/>
      <c r="G383" s="20"/>
      <c r="H383" s="16" t="str">
        <f aca="false">IF(OR(E383="",F383=""),"",ROUND(MOD(F383-E383,1)*24-N(G383),2))</f>
        <v/>
      </c>
      <c r="I383" s="18"/>
      <c r="J383" s="18"/>
      <c r="K383" s="18"/>
      <c r="L383" s="16" t="str">
        <f aca="false">IF(OR(A383="",B383=""),"",SUMIFS('Registro por hora'!$H$5:$H$2004,'Registro por hora'!$A$5:$A$2004,A383,'Registro por hora'!$B$5:$B$2004,B383))</f>
        <v/>
      </c>
      <c r="M383" s="13" t="str">
        <f aca="false">IF(B383="","",IF(D383="","⚠ Falta estado",IF(AND(OR(D383="Ausente",D383="Medio día"),I383=""),"⚠ Falta motivo",IF(AND(OR(D383="Ausente",D383="Medio día"),J383=""),"⚠ Falta explicación",IF(D383="Ausente","✔ Ausencia justificada",IF(OR(E383="",F383=""),"⚠ Falta hora de entrada/salida",IF(K383="","⚠ Falta resumen del día",IF(N(L383)&lt;N(H383)-0.01,"⚠ Faltan "&amp;TEXT(N(H383)-N(L383),"0.0")&amp;" h por reportar","✔ OK"))))))))</f>
        <v/>
      </c>
    </row>
    <row r="384" customFormat="false" ht="15" hidden="false" customHeight="false" outlineLevel="0" collapsed="false">
      <c r="A384" s="17"/>
      <c r="B384" s="18"/>
      <c r="C384" s="13" t="str">
        <f aca="false">IF(B384="","",IFERROR(INDEX(Personal!$C$5:$C$104,MATCH(B384,Personal!$B$5:$B$104,0)),""))</f>
        <v/>
      </c>
      <c r="D384" s="18"/>
      <c r="E384" s="19"/>
      <c r="F384" s="19"/>
      <c r="G384" s="20"/>
      <c r="H384" s="16" t="str">
        <f aca="false">IF(OR(E384="",F384=""),"",ROUND(MOD(F384-E384,1)*24-N(G384),2))</f>
        <v/>
      </c>
      <c r="I384" s="18"/>
      <c r="J384" s="18"/>
      <c r="K384" s="18"/>
      <c r="L384" s="16" t="str">
        <f aca="false">IF(OR(A384="",B384=""),"",SUMIFS('Registro por hora'!$H$5:$H$2004,'Registro por hora'!$A$5:$A$2004,A384,'Registro por hora'!$B$5:$B$2004,B384))</f>
        <v/>
      </c>
      <c r="M384" s="13" t="str">
        <f aca="false">IF(B384="","",IF(D384="","⚠ Falta estado",IF(AND(OR(D384="Ausente",D384="Medio día"),I384=""),"⚠ Falta motivo",IF(AND(OR(D384="Ausente",D384="Medio día"),J384=""),"⚠ Falta explicación",IF(D384="Ausente","✔ Ausencia justificada",IF(OR(E384="",F384=""),"⚠ Falta hora de entrada/salida",IF(K384="","⚠ Falta resumen del día",IF(N(L384)&lt;N(H384)-0.01,"⚠ Faltan "&amp;TEXT(N(H384)-N(L384),"0.0")&amp;" h por reportar","✔ OK"))))))))</f>
        <v/>
      </c>
    </row>
    <row r="385" customFormat="false" ht="15" hidden="false" customHeight="false" outlineLevel="0" collapsed="false">
      <c r="A385" s="17"/>
      <c r="B385" s="18"/>
      <c r="C385" s="13" t="str">
        <f aca="false">IF(B385="","",IFERROR(INDEX(Personal!$C$5:$C$104,MATCH(B385,Personal!$B$5:$B$104,0)),""))</f>
        <v/>
      </c>
      <c r="D385" s="18"/>
      <c r="E385" s="19"/>
      <c r="F385" s="19"/>
      <c r="G385" s="20"/>
      <c r="H385" s="16" t="str">
        <f aca="false">IF(OR(E385="",F385=""),"",ROUND(MOD(F385-E385,1)*24-N(G385),2))</f>
        <v/>
      </c>
      <c r="I385" s="18"/>
      <c r="J385" s="18"/>
      <c r="K385" s="18"/>
      <c r="L385" s="16" t="str">
        <f aca="false">IF(OR(A385="",B385=""),"",SUMIFS('Registro por hora'!$H$5:$H$2004,'Registro por hora'!$A$5:$A$2004,A385,'Registro por hora'!$B$5:$B$2004,B385))</f>
        <v/>
      </c>
      <c r="M385" s="13" t="str">
        <f aca="false">IF(B385="","",IF(D385="","⚠ Falta estado",IF(AND(OR(D385="Ausente",D385="Medio día"),I385=""),"⚠ Falta motivo",IF(AND(OR(D385="Ausente",D385="Medio día"),J385=""),"⚠ Falta explicación",IF(D385="Ausente","✔ Ausencia justificada",IF(OR(E385="",F385=""),"⚠ Falta hora de entrada/salida",IF(K385="","⚠ Falta resumen del día",IF(N(L385)&lt;N(H385)-0.01,"⚠ Faltan "&amp;TEXT(N(H385)-N(L385),"0.0")&amp;" h por reportar","✔ OK"))))))))</f>
        <v/>
      </c>
    </row>
    <row r="386" customFormat="false" ht="15" hidden="false" customHeight="false" outlineLevel="0" collapsed="false">
      <c r="A386" s="17"/>
      <c r="B386" s="18"/>
      <c r="C386" s="13" t="str">
        <f aca="false">IF(B386="","",IFERROR(INDEX(Personal!$C$5:$C$104,MATCH(B386,Personal!$B$5:$B$104,0)),""))</f>
        <v/>
      </c>
      <c r="D386" s="18"/>
      <c r="E386" s="19"/>
      <c r="F386" s="19"/>
      <c r="G386" s="20"/>
      <c r="H386" s="16" t="str">
        <f aca="false">IF(OR(E386="",F386=""),"",ROUND(MOD(F386-E386,1)*24-N(G386),2))</f>
        <v/>
      </c>
      <c r="I386" s="18"/>
      <c r="J386" s="18"/>
      <c r="K386" s="18"/>
      <c r="L386" s="16" t="str">
        <f aca="false">IF(OR(A386="",B386=""),"",SUMIFS('Registro por hora'!$H$5:$H$2004,'Registro por hora'!$A$5:$A$2004,A386,'Registro por hora'!$B$5:$B$2004,B386))</f>
        <v/>
      </c>
      <c r="M386" s="13" t="str">
        <f aca="false">IF(B386="","",IF(D386="","⚠ Falta estado",IF(AND(OR(D386="Ausente",D386="Medio día"),I386=""),"⚠ Falta motivo",IF(AND(OR(D386="Ausente",D386="Medio día"),J386=""),"⚠ Falta explicación",IF(D386="Ausente","✔ Ausencia justificada",IF(OR(E386="",F386=""),"⚠ Falta hora de entrada/salida",IF(K386="","⚠ Falta resumen del día",IF(N(L386)&lt;N(H386)-0.01,"⚠ Faltan "&amp;TEXT(N(H386)-N(L386),"0.0")&amp;" h por reportar","✔ OK"))))))))</f>
        <v/>
      </c>
    </row>
    <row r="387" customFormat="false" ht="15" hidden="false" customHeight="false" outlineLevel="0" collapsed="false">
      <c r="A387" s="17"/>
      <c r="B387" s="18"/>
      <c r="C387" s="13" t="str">
        <f aca="false">IF(B387="","",IFERROR(INDEX(Personal!$C$5:$C$104,MATCH(B387,Personal!$B$5:$B$104,0)),""))</f>
        <v/>
      </c>
      <c r="D387" s="18"/>
      <c r="E387" s="19"/>
      <c r="F387" s="19"/>
      <c r="G387" s="20"/>
      <c r="H387" s="16" t="str">
        <f aca="false">IF(OR(E387="",F387=""),"",ROUND(MOD(F387-E387,1)*24-N(G387),2))</f>
        <v/>
      </c>
      <c r="I387" s="18"/>
      <c r="J387" s="18"/>
      <c r="K387" s="18"/>
      <c r="L387" s="16" t="str">
        <f aca="false">IF(OR(A387="",B387=""),"",SUMIFS('Registro por hora'!$H$5:$H$2004,'Registro por hora'!$A$5:$A$2004,A387,'Registro por hora'!$B$5:$B$2004,B387))</f>
        <v/>
      </c>
      <c r="M387" s="13" t="str">
        <f aca="false">IF(B387="","",IF(D387="","⚠ Falta estado",IF(AND(OR(D387="Ausente",D387="Medio día"),I387=""),"⚠ Falta motivo",IF(AND(OR(D387="Ausente",D387="Medio día"),J387=""),"⚠ Falta explicación",IF(D387="Ausente","✔ Ausencia justificada",IF(OR(E387="",F387=""),"⚠ Falta hora de entrada/salida",IF(K387="","⚠ Falta resumen del día",IF(N(L387)&lt;N(H387)-0.01,"⚠ Faltan "&amp;TEXT(N(H387)-N(L387),"0.0")&amp;" h por reportar","✔ OK"))))))))</f>
        <v/>
      </c>
    </row>
    <row r="388" customFormat="false" ht="15" hidden="false" customHeight="false" outlineLevel="0" collapsed="false">
      <c r="A388" s="17"/>
      <c r="B388" s="18"/>
      <c r="C388" s="13" t="str">
        <f aca="false">IF(B388="","",IFERROR(INDEX(Personal!$C$5:$C$104,MATCH(B388,Personal!$B$5:$B$104,0)),""))</f>
        <v/>
      </c>
      <c r="D388" s="18"/>
      <c r="E388" s="19"/>
      <c r="F388" s="19"/>
      <c r="G388" s="20"/>
      <c r="H388" s="16" t="str">
        <f aca="false">IF(OR(E388="",F388=""),"",ROUND(MOD(F388-E388,1)*24-N(G388),2))</f>
        <v/>
      </c>
      <c r="I388" s="18"/>
      <c r="J388" s="18"/>
      <c r="K388" s="18"/>
      <c r="L388" s="16" t="str">
        <f aca="false">IF(OR(A388="",B388=""),"",SUMIFS('Registro por hora'!$H$5:$H$2004,'Registro por hora'!$A$5:$A$2004,A388,'Registro por hora'!$B$5:$B$2004,B388))</f>
        <v/>
      </c>
      <c r="M388" s="13" t="str">
        <f aca="false">IF(B388="","",IF(D388="","⚠ Falta estado",IF(AND(OR(D388="Ausente",D388="Medio día"),I388=""),"⚠ Falta motivo",IF(AND(OR(D388="Ausente",D388="Medio día"),J388=""),"⚠ Falta explicación",IF(D388="Ausente","✔ Ausencia justificada",IF(OR(E388="",F388=""),"⚠ Falta hora de entrada/salida",IF(K388="","⚠ Falta resumen del día",IF(N(L388)&lt;N(H388)-0.01,"⚠ Faltan "&amp;TEXT(N(H388)-N(L388),"0.0")&amp;" h por reportar","✔ OK"))))))))</f>
        <v/>
      </c>
    </row>
    <row r="389" customFormat="false" ht="15" hidden="false" customHeight="false" outlineLevel="0" collapsed="false">
      <c r="A389" s="17"/>
      <c r="B389" s="18"/>
      <c r="C389" s="13" t="str">
        <f aca="false">IF(B389="","",IFERROR(INDEX(Personal!$C$5:$C$104,MATCH(B389,Personal!$B$5:$B$104,0)),""))</f>
        <v/>
      </c>
      <c r="D389" s="18"/>
      <c r="E389" s="19"/>
      <c r="F389" s="19"/>
      <c r="G389" s="20"/>
      <c r="H389" s="16" t="str">
        <f aca="false">IF(OR(E389="",F389=""),"",ROUND(MOD(F389-E389,1)*24-N(G389),2))</f>
        <v/>
      </c>
      <c r="I389" s="18"/>
      <c r="J389" s="18"/>
      <c r="K389" s="18"/>
      <c r="L389" s="16" t="str">
        <f aca="false">IF(OR(A389="",B389=""),"",SUMIFS('Registro por hora'!$H$5:$H$2004,'Registro por hora'!$A$5:$A$2004,A389,'Registro por hora'!$B$5:$B$2004,B389))</f>
        <v/>
      </c>
      <c r="M389" s="13" t="str">
        <f aca="false">IF(B389="","",IF(D389="","⚠ Falta estado",IF(AND(OR(D389="Ausente",D389="Medio día"),I389=""),"⚠ Falta motivo",IF(AND(OR(D389="Ausente",D389="Medio día"),J389=""),"⚠ Falta explicación",IF(D389="Ausente","✔ Ausencia justificada",IF(OR(E389="",F389=""),"⚠ Falta hora de entrada/salida",IF(K389="","⚠ Falta resumen del día",IF(N(L389)&lt;N(H389)-0.01,"⚠ Faltan "&amp;TEXT(N(H389)-N(L389),"0.0")&amp;" h por reportar","✔ OK"))))))))</f>
        <v/>
      </c>
    </row>
    <row r="390" customFormat="false" ht="15" hidden="false" customHeight="false" outlineLevel="0" collapsed="false">
      <c r="A390" s="17"/>
      <c r="B390" s="18"/>
      <c r="C390" s="13" t="str">
        <f aca="false">IF(B390="","",IFERROR(INDEX(Personal!$C$5:$C$104,MATCH(B390,Personal!$B$5:$B$104,0)),""))</f>
        <v/>
      </c>
      <c r="D390" s="18"/>
      <c r="E390" s="19"/>
      <c r="F390" s="19"/>
      <c r="G390" s="20"/>
      <c r="H390" s="16" t="str">
        <f aca="false">IF(OR(E390="",F390=""),"",ROUND(MOD(F390-E390,1)*24-N(G390),2))</f>
        <v/>
      </c>
      <c r="I390" s="18"/>
      <c r="J390" s="18"/>
      <c r="K390" s="18"/>
      <c r="L390" s="16" t="str">
        <f aca="false">IF(OR(A390="",B390=""),"",SUMIFS('Registro por hora'!$H$5:$H$2004,'Registro por hora'!$A$5:$A$2004,A390,'Registro por hora'!$B$5:$B$2004,B390))</f>
        <v/>
      </c>
      <c r="M390" s="13" t="str">
        <f aca="false">IF(B390="","",IF(D390="","⚠ Falta estado",IF(AND(OR(D390="Ausente",D390="Medio día"),I390=""),"⚠ Falta motivo",IF(AND(OR(D390="Ausente",D390="Medio día"),J390=""),"⚠ Falta explicación",IF(D390="Ausente","✔ Ausencia justificada",IF(OR(E390="",F390=""),"⚠ Falta hora de entrada/salida",IF(K390="","⚠ Falta resumen del día",IF(N(L390)&lt;N(H390)-0.01,"⚠ Faltan "&amp;TEXT(N(H390)-N(L390),"0.0")&amp;" h por reportar","✔ OK"))))))))</f>
        <v/>
      </c>
    </row>
    <row r="391" customFormat="false" ht="15" hidden="false" customHeight="false" outlineLevel="0" collapsed="false">
      <c r="A391" s="17"/>
      <c r="B391" s="18"/>
      <c r="C391" s="13" t="str">
        <f aca="false">IF(B391="","",IFERROR(INDEX(Personal!$C$5:$C$104,MATCH(B391,Personal!$B$5:$B$104,0)),""))</f>
        <v/>
      </c>
      <c r="D391" s="18"/>
      <c r="E391" s="19"/>
      <c r="F391" s="19"/>
      <c r="G391" s="20"/>
      <c r="H391" s="16" t="str">
        <f aca="false">IF(OR(E391="",F391=""),"",ROUND(MOD(F391-E391,1)*24-N(G391),2))</f>
        <v/>
      </c>
      <c r="I391" s="18"/>
      <c r="J391" s="18"/>
      <c r="K391" s="18"/>
      <c r="L391" s="16" t="str">
        <f aca="false">IF(OR(A391="",B391=""),"",SUMIFS('Registro por hora'!$H$5:$H$2004,'Registro por hora'!$A$5:$A$2004,A391,'Registro por hora'!$B$5:$B$2004,B391))</f>
        <v/>
      </c>
      <c r="M391" s="13" t="str">
        <f aca="false">IF(B391="","",IF(D391="","⚠ Falta estado",IF(AND(OR(D391="Ausente",D391="Medio día"),I391=""),"⚠ Falta motivo",IF(AND(OR(D391="Ausente",D391="Medio día"),J391=""),"⚠ Falta explicación",IF(D391="Ausente","✔ Ausencia justificada",IF(OR(E391="",F391=""),"⚠ Falta hora de entrada/salida",IF(K391="","⚠ Falta resumen del día",IF(N(L391)&lt;N(H391)-0.01,"⚠ Faltan "&amp;TEXT(N(H391)-N(L391),"0.0")&amp;" h por reportar","✔ OK"))))))))</f>
        <v/>
      </c>
    </row>
    <row r="392" customFormat="false" ht="15" hidden="false" customHeight="false" outlineLevel="0" collapsed="false">
      <c r="A392" s="17"/>
      <c r="B392" s="18"/>
      <c r="C392" s="13" t="str">
        <f aca="false">IF(B392="","",IFERROR(INDEX(Personal!$C$5:$C$104,MATCH(B392,Personal!$B$5:$B$104,0)),""))</f>
        <v/>
      </c>
      <c r="D392" s="18"/>
      <c r="E392" s="19"/>
      <c r="F392" s="19"/>
      <c r="G392" s="20"/>
      <c r="H392" s="16" t="str">
        <f aca="false">IF(OR(E392="",F392=""),"",ROUND(MOD(F392-E392,1)*24-N(G392),2))</f>
        <v/>
      </c>
      <c r="I392" s="18"/>
      <c r="J392" s="18"/>
      <c r="K392" s="18"/>
      <c r="L392" s="16" t="str">
        <f aca="false">IF(OR(A392="",B392=""),"",SUMIFS('Registro por hora'!$H$5:$H$2004,'Registro por hora'!$A$5:$A$2004,A392,'Registro por hora'!$B$5:$B$2004,B392))</f>
        <v/>
      </c>
      <c r="M392" s="13" t="str">
        <f aca="false">IF(B392="","",IF(D392="","⚠ Falta estado",IF(AND(OR(D392="Ausente",D392="Medio día"),I392=""),"⚠ Falta motivo",IF(AND(OR(D392="Ausente",D392="Medio día"),J392=""),"⚠ Falta explicación",IF(D392="Ausente","✔ Ausencia justificada",IF(OR(E392="",F392=""),"⚠ Falta hora de entrada/salida",IF(K392="","⚠ Falta resumen del día",IF(N(L392)&lt;N(H392)-0.01,"⚠ Faltan "&amp;TEXT(N(H392)-N(L392),"0.0")&amp;" h por reportar","✔ OK"))))))))</f>
        <v/>
      </c>
    </row>
    <row r="393" customFormat="false" ht="15" hidden="false" customHeight="false" outlineLevel="0" collapsed="false">
      <c r="A393" s="17"/>
      <c r="B393" s="18"/>
      <c r="C393" s="13" t="str">
        <f aca="false">IF(B393="","",IFERROR(INDEX(Personal!$C$5:$C$104,MATCH(B393,Personal!$B$5:$B$104,0)),""))</f>
        <v/>
      </c>
      <c r="D393" s="18"/>
      <c r="E393" s="19"/>
      <c r="F393" s="19"/>
      <c r="G393" s="20"/>
      <c r="H393" s="16" t="str">
        <f aca="false">IF(OR(E393="",F393=""),"",ROUND(MOD(F393-E393,1)*24-N(G393),2))</f>
        <v/>
      </c>
      <c r="I393" s="18"/>
      <c r="J393" s="18"/>
      <c r="K393" s="18"/>
      <c r="L393" s="16" t="str">
        <f aca="false">IF(OR(A393="",B393=""),"",SUMIFS('Registro por hora'!$H$5:$H$2004,'Registro por hora'!$A$5:$A$2004,A393,'Registro por hora'!$B$5:$B$2004,B393))</f>
        <v/>
      </c>
      <c r="M393" s="13" t="str">
        <f aca="false">IF(B393="","",IF(D393="","⚠ Falta estado",IF(AND(OR(D393="Ausente",D393="Medio día"),I393=""),"⚠ Falta motivo",IF(AND(OR(D393="Ausente",D393="Medio día"),J393=""),"⚠ Falta explicación",IF(D393="Ausente","✔ Ausencia justificada",IF(OR(E393="",F393=""),"⚠ Falta hora de entrada/salida",IF(K393="","⚠ Falta resumen del día",IF(N(L393)&lt;N(H393)-0.01,"⚠ Faltan "&amp;TEXT(N(H393)-N(L393),"0.0")&amp;" h por reportar","✔ OK"))))))))</f>
        <v/>
      </c>
    </row>
    <row r="394" customFormat="false" ht="15" hidden="false" customHeight="false" outlineLevel="0" collapsed="false">
      <c r="A394" s="17"/>
      <c r="B394" s="18"/>
      <c r="C394" s="13" t="str">
        <f aca="false">IF(B394="","",IFERROR(INDEX(Personal!$C$5:$C$104,MATCH(B394,Personal!$B$5:$B$104,0)),""))</f>
        <v/>
      </c>
      <c r="D394" s="18"/>
      <c r="E394" s="19"/>
      <c r="F394" s="19"/>
      <c r="G394" s="20"/>
      <c r="H394" s="16" t="str">
        <f aca="false">IF(OR(E394="",F394=""),"",ROUND(MOD(F394-E394,1)*24-N(G394),2))</f>
        <v/>
      </c>
      <c r="I394" s="18"/>
      <c r="J394" s="18"/>
      <c r="K394" s="18"/>
      <c r="L394" s="16" t="str">
        <f aca="false">IF(OR(A394="",B394=""),"",SUMIFS('Registro por hora'!$H$5:$H$2004,'Registro por hora'!$A$5:$A$2004,A394,'Registro por hora'!$B$5:$B$2004,B394))</f>
        <v/>
      </c>
      <c r="M394" s="13" t="str">
        <f aca="false">IF(B394="","",IF(D394="","⚠ Falta estado",IF(AND(OR(D394="Ausente",D394="Medio día"),I394=""),"⚠ Falta motivo",IF(AND(OR(D394="Ausente",D394="Medio día"),J394=""),"⚠ Falta explicación",IF(D394="Ausente","✔ Ausencia justificada",IF(OR(E394="",F394=""),"⚠ Falta hora de entrada/salida",IF(K394="","⚠ Falta resumen del día",IF(N(L394)&lt;N(H394)-0.01,"⚠ Faltan "&amp;TEXT(N(H394)-N(L394),"0.0")&amp;" h por reportar","✔ OK"))))))))</f>
        <v/>
      </c>
    </row>
    <row r="395" customFormat="false" ht="15" hidden="false" customHeight="false" outlineLevel="0" collapsed="false">
      <c r="A395" s="17"/>
      <c r="B395" s="18"/>
      <c r="C395" s="13" t="str">
        <f aca="false">IF(B395="","",IFERROR(INDEX(Personal!$C$5:$C$104,MATCH(B395,Personal!$B$5:$B$104,0)),""))</f>
        <v/>
      </c>
      <c r="D395" s="18"/>
      <c r="E395" s="19"/>
      <c r="F395" s="19"/>
      <c r="G395" s="20"/>
      <c r="H395" s="16" t="str">
        <f aca="false">IF(OR(E395="",F395=""),"",ROUND(MOD(F395-E395,1)*24-N(G395),2))</f>
        <v/>
      </c>
      <c r="I395" s="18"/>
      <c r="J395" s="18"/>
      <c r="K395" s="18"/>
      <c r="L395" s="16" t="str">
        <f aca="false">IF(OR(A395="",B395=""),"",SUMIFS('Registro por hora'!$H$5:$H$2004,'Registro por hora'!$A$5:$A$2004,A395,'Registro por hora'!$B$5:$B$2004,B395))</f>
        <v/>
      </c>
      <c r="M395" s="13" t="str">
        <f aca="false">IF(B395="","",IF(D395="","⚠ Falta estado",IF(AND(OR(D395="Ausente",D395="Medio día"),I395=""),"⚠ Falta motivo",IF(AND(OR(D395="Ausente",D395="Medio día"),J395=""),"⚠ Falta explicación",IF(D395="Ausente","✔ Ausencia justificada",IF(OR(E395="",F395=""),"⚠ Falta hora de entrada/salida",IF(K395="","⚠ Falta resumen del día",IF(N(L395)&lt;N(H395)-0.01,"⚠ Faltan "&amp;TEXT(N(H395)-N(L395),"0.0")&amp;" h por reportar","✔ OK"))))))))</f>
        <v/>
      </c>
    </row>
    <row r="396" customFormat="false" ht="15" hidden="false" customHeight="false" outlineLevel="0" collapsed="false">
      <c r="A396" s="17"/>
      <c r="B396" s="18"/>
      <c r="C396" s="13" t="str">
        <f aca="false">IF(B396="","",IFERROR(INDEX(Personal!$C$5:$C$104,MATCH(B396,Personal!$B$5:$B$104,0)),""))</f>
        <v/>
      </c>
      <c r="D396" s="18"/>
      <c r="E396" s="19"/>
      <c r="F396" s="19"/>
      <c r="G396" s="20"/>
      <c r="H396" s="16" t="str">
        <f aca="false">IF(OR(E396="",F396=""),"",ROUND(MOD(F396-E396,1)*24-N(G396),2))</f>
        <v/>
      </c>
      <c r="I396" s="18"/>
      <c r="J396" s="18"/>
      <c r="K396" s="18"/>
      <c r="L396" s="16" t="str">
        <f aca="false">IF(OR(A396="",B396=""),"",SUMIFS('Registro por hora'!$H$5:$H$2004,'Registro por hora'!$A$5:$A$2004,A396,'Registro por hora'!$B$5:$B$2004,B396))</f>
        <v/>
      </c>
      <c r="M396" s="13" t="str">
        <f aca="false">IF(B396="","",IF(D396="","⚠ Falta estado",IF(AND(OR(D396="Ausente",D396="Medio día"),I396=""),"⚠ Falta motivo",IF(AND(OR(D396="Ausente",D396="Medio día"),J396=""),"⚠ Falta explicación",IF(D396="Ausente","✔ Ausencia justificada",IF(OR(E396="",F396=""),"⚠ Falta hora de entrada/salida",IF(K396="","⚠ Falta resumen del día",IF(N(L396)&lt;N(H396)-0.01,"⚠ Faltan "&amp;TEXT(N(H396)-N(L396),"0.0")&amp;" h por reportar","✔ OK"))))))))</f>
        <v/>
      </c>
    </row>
    <row r="397" customFormat="false" ht="15" hidden="false" customHeight="false" outlineLevel="0" collapsed="false">
      <c r="A397" s="17"/>
      <c r="B397" s="18"/>
      <c r="C397" s="13" t="str">
        <f aca="false">IF(B397="","",IFERROR(INDEX(Personal!$C$5:$C$104,MATCH(B397,Personal!$B$5:$B$104,0)),""))</f>
        <v/>
      </c>
      <c r="D397" s="18"/>
      <c r="E397" s="19"/>
      <c r="F397" s="19"/>
      <c r="G397" s="20"/>
      <c r="H397" s="16" t="str">
        <f aca="false">IF(OR(E397="",F397=""),"",ROUND(MOD(F397-E397,1)*24-N(G397),2))</f>
        <v/>
      </c>
      <c r="I397" s="18"/>
      <c r="J397" s="18"/>
      <c r="K397" s="18"/>
      <c r="L397" s="16" t="str">
        <f aca="false">IF(OR(A397="",B397=""),"",SUMIFS('Registro por hora'!$H$5:$H$2004,'Registro por hora'!$A$5:$A$2004,A397,'Registro por hora'!$B$5:$B$2004,B397))</f>
        <v/>
      </c>
      <c r="M397" s="13" t="str">
        <f aca="false">IF(B397="","",IF(D397="","⚠ Falta estado",IF(AND(OR(D397="Ausente",D397="Medio día"),I397=""),"⚠ Falta motivo",IF(AND(OR(D397="Ausente",D397="Medio día"),J397=""),"⚠ Falta explicación",IF(D397="Ausente","✔ Ausencia justificada",IF(OR(E397="",F397=""),"⚠ Falta hora de entrada/salida",IF(K397="","⚠ Falta resumen del día",IF(N(L397)&lt;N(H397)-0.01,"⚠ Faltan "&amp;TEXT(N(H397)-N(L397),"0.0")&amp;" h por reportar","✔ OK"))))))))</f>
        <v/>
      </c>
    </row>
    <row r="398" customFormat="false" ht="15" hidden="false" customHeight="false" outlineLevel="0" collapsed="false">
      <c r="A398" s="17"/>
      <c r="B398" s="18"/>
      <c r="C398" s="13" t="str">
        <f aca="false">IF(B398="","",IFERROR(INDEX(Personal!$C$5:$C$104,MATCH(B398,Personal!$B$5:$B$104,0)),""))</f>
        <v/>
      </c>
      <c r="D398" s="18"/>
      <c r="E398" s="19"/>
      <c r="F398" s="19"/>
      <c r="G398" s="20"/>
      <c r="H398" s="16" t="str">
        <f aca="false">IF(OR(E398="",F398=""),"",ROUND(MOD(F398-E398,1)*24-N(G398),2))</f>
        <v/>
      </c>
      <c r="I398" s="18"/>
      <c r="J398" s="18"/>
      <c r="K398" s="18"/>
      <c r="L398" s="16" t="str">
        <f aca="false">IF(OR(A398="",B398=""),"",SUMIFS('Registro por hora'!$H$5:$H$2004,'Registro por hora'!$A$5:$A$2004,A398,'Registro por hora'!$B$5:$B$2004,B398))</f>
        <v/>
      </c>
      <c r="M398" s="13" t="str">
        <f aca="false">IF(B398="","",IF(D398="","⚠ Falta estado",IF(AND(OR(D398="Ausente",D398="Medio día"),I398=""),"⚠ Falta motivo",IF(AND(OR(D398="Ausente",D398="Medio día"),J398=""),"⚠ Falta explicación",IF(D398="Ausente","✔ Ausencia justificada",IF(OR(E398="",F398=""),"⚠ Falta hora de entrada/salida",IF(K398="","⚠ Falta resumen del día",IF(N(L398)&lt;N(H398)-0.01,"⚠ Faltan "&amp;TEXT(N(H398)-N(L398),"0.0")&amp;" h por reportar","✔ OK"))))))))</f>
        <v/>
      </c>
    </row>
    <row r="399" customFormat="false" ht="15" hidden="false" customHeight="false" outlineLevel="0" collapsed="false">
      <c r="A399" s="17"/>
      <c r="B399" s="18"/>
      <c r="C399" s="13" t="str">
        <f aca="false">IF(B399="","",IFERROR(INDEX(Personal!$C$5:$C$104,MATCH(B399,Personal!$B$5:$B$104,0)),""))</f>
        <v/>
      </c>
      <c r="D399" s="18"/>
      <c r="E399" s="19"/>
      <c r="F399" s="19"/>
      <c r="G399" s="20"/>
      <c r="H399" s="16" t="str">
        <f aca="false">IF(OR(E399="",F399=""),"",ROUND(MOD(F399-E399,1)*24-N(G399),2))</f>
        <v/>
      </c>
      <c r="I399" s="18"/>
      <c r="J399" s="18"/>
      <c r="K399" s="18"/>
      <c r="L399" s="16" t="str">
        <f aca="false">IF(OR(A399="",B399=""),"",SUMIFS('Registro por hora'!$H$5:$H$2004,'Registro por hora'!$A$5:$A$2004,A399,'Registro por hora'!$B$5:$B$2004,B399))</f>
        <v/>
      </c>
      <c r="M399" s="13" t="str">
        <f aca="false">IF(B399="","",IF(D399="","⚠ Falta estado",IF(AND(OR(D399="Ausente",D399="Medio día"),I399=""),"⚠ Falta motivo",IF(AND(OR(D399="Ausente",D399="Medio día"),J399=""),"⚠ Falta explicación",IF(D399="Ausente","✔ Ausencia justificada",IF(OR(E399="",F399=""),"⚠ Falta hora de entrada/salida",IF(K399="","⚠ Falta resumen del día",IF(N(L399)&lt;N(H399)-0.01,"⚠ Faltan "&amp;TEXT(N(H399)-N(L399),"0.0")&amp;" h por reportar","✔ OK"))))))))</f>
        <v/>
      </c>
    </row>
    <row r="400" customFormat="false" ht="15" hidden="false" customHeight="false" outlineLevel="0" collapsed="false">
      <c r="A400" s="17"/>
      <c r="B400" s="18"/>
      <c r="C400" s="13" t="str">
        <f aca="false">IF(B400="","",IFERROR(INDEX(Personal!$C$5:$C$104,MATCH(B400,Personal!$B$5:$B$104,0)),""))</f>
        <v/>
      </c>
      <c r="D400" s="18"/>
      <c r="E400" s="19"/>
      <c r="F400" s="19"/>
      <c r="G400" s="20"/>
      <c r="H400" s="16" t="str">
        <f aca="false">IF(OR(E400="",F400=""),"",ROUND(MOD(F400-E400,1)*24-N(G400),2))</f>
        <v/>
      </c>
      <c r="I400" s="18"/>
      <c r="J400" s="18"/>
      <c r="K400" s="18"/>
      <c r="L400" s="16" t="str">
        <f aca="false">IF(OR(A400="",B400=""),"",SUMIFS('Registro por hora'!$H$5:$H$2004,'Registro por hora'!$A$5:$A$2004,A400,'Registro por hora'!$B$5:$B$2004,B400))</f>
        <v/>
      </c>
      <c r="M400" s="13" t="str">
        <f aca="false">IF(B400="","",IF(D400="","⚠ Falta estado",IF(AND(OR(D400="Ausente",D400="Medio día"),I400=""),"⚠ Falta motivo",IF(AND(OR(D400="Ausente",D400="Medio día"),J400=""),"⚠ Falta explicación",IF(D400="Ausente","✔ Ausencia justificada",IF(OR(E400="",F400=""),"⚠ Falta hora de entrada/salida",IF(K400="","⚠ Falta resumen del día",IF(N(L400)&lt;N(H400)-0.01,"⚠ Faltan "&amp;TEXT(N(H400)-N(L400),"0.0")&amp;" h por reportar","✔ OK"))))))))</f>
        <v/>
      </c>
    </row>
    <row r="401" customFormat="false" ht="15" hidden="false" customHeight="false" outlineLevel="0" collapsed="false">
      <c r="A401" s="17"/>
      <c r="B401" s="18"/>
      <c r="C401" s="13" t="str">
        <f aca="false">IF(B401="","",IFERROR(INDEX(Personal!$C$5:$C$104,MATCH(B401,Personal!$B$5:$B$104,0)),""))</f>
        <v/>
      </c>
      <c r="D401" s="18"/>
      <c r="E401" s="19"/>
      <c r="F401" s="19"/>
      <c r="G401" s="20"/>
      <c r="H401" s="16" t="str">
        <f aca="false">IF(OR(E401="",F401=""),"",ROUND(MOD(F401-E401,1)*24-N(G401),2))</f>
        <v/>
      </c>
      <c r="I401" s="18"/>
      <c r="J401" s="18"/>
      <c r="K401" s="18"/>
      <c r="L401" s="16" t="str">
        <f aca="false">IF(OR(A401="",B401=""),"",SUMIFS('Registro por hora'!$H$5:$H$2004,'Registro por hora'!$A$5:$A$2004,A401,'Registro por hora'!$B$5:$B$2004,B401))</f>
        <v/>
      </c>
      <c r="M401" s="13" t="str">
        <f aca="false">IF(B401="","",IF(D401="","⚠ Falta estado",IF(AND(OR(D401="Ausente",D401="Medio día"),I401=""),"⚠ Falta motivo",IF(AND(OR(D401="Ausente",D401="Medio día"),J401=""),"⚠ Falta explicación",IF(D401="Ausente","✔ Ausencia justificada",IF(OR(E401="",F401=""),"⚠ Falta hora de entrada/salida",IF(K401="","⚠ Falta resumen del día",IF(N(L401)&lt;N(H401)-0.01,"⚠ Faltan "&amp;TEXT(N(H401)-N(L401),"0.0")&amp;" h por reportar","✔ OK"))))))))</f>
        <v/>
      </c>
    </row>
    <row r="402" customFormat="false" ht="15" hidden="false" customHeight="false" outlineLevel="0" collapsed="false">
      <c r="A402" s="17"/>
      <c r="B402" s="18"/>
      <c r="C402" s="13" t="str">
        <f aca="false">IF(B402="","",IFERROR(INDEX(Personal!$C$5:$C$104,MATCH(B402,Personal!$B$5:$B$104,0)),""))</f>
        <v/>
      </c>
      <c r="D402" s="18"/>
      <c r="E402" s="19"/>
      <c r="F402" s="19"/>
      <c r="G402" s="20"/>
      <c r="H402" s="16" t="str">
        <f aca="false">IF(OR(E402="",F402=""),"",ROUND(MOD(F402-E402,1)*24-N(G402),2))</f>
        <v/>
      </c>
      <c r="I402" s="18"/>
      <c r="J402" s="18"/>
      <c r="K402" s="18"/>
      <c r="L402" s="16" t="str">
        <f aca="false">IF(OR(A402="",B402=""),"",SUMIFS('Registro por hora'!$H$5:$H$2004,'Registro por hora'!$A$5:$A$2004,A402,'Registro por hora'!$B$5:$B$2004,B402))</f>
        <v/>
      </c>
      <c r="M402" s="13" t="str">
        <f aca="false">IF(B402="","",IF(D402="","⚠ Falta estado",IF(AND(OR(D402="Ausente",D402="Medio día"),I402=""),"⚠ Falta motivo",IF(AND(OR(D402="Ausente",D402="Medio día"),J402=""),"⚠ Falta explicación",IF(D402="Ausente","✔ Ausencia justificada",IF(OR(E402="",F402=""),"⚠ Falta hora de entrada/salida",IF(K402="","⚠ Falta resumen del día",IF(N(L402)&lt;N(H402)-0.01,"⚠ Faltan "&amp;TEXT(N(H402)-N(L402),"0.0")&amp;" h por reportar","✔ OK"))))))))</f>
        <v/>
      </c>
    </row>
    <row r="403" customFormat="false" ht="15" hidden="false" customHeight="false" outlineLevel="0" collapsed="false">
      <c r="A403" s="17"/>
      <c r="B403" s="18"/>
      <c r="C403" s="13" t="str">
        <f aca="false">IF(B403="","",IFERROR(INDEX(Personal!$C$5:$C$104,MATCH(B403,Personal!$B$5:$B$104,0)),""))</f>
        <v/>
      </c>
      <c r="D403" s="18"/>
      <c r="E403" s="19"/>
      <c r="F403" s="19"/>
      <c r="G403" s="20"/>
      <c r="H403" s="16" t="str">
        <f aca="false">IF(OR(E403="",F403=""),"",ROUND(MOD(F403-E403,1)*24-N(G403),2))</f>
        <v/>
      </c>
      <c r="I403" s="18"/>
      <c r="J403" s="18"/>
      <c r="K403" s="18"/>
      <c r="L403" s="16" t="str">
        <f aca="false">IF(OR(A403="",B403=""),"",SUMIFS('Registro por hora'!$H$5:$H$2004,'Registro por hora'!$A$5:$A$2004,A403,'Registro por hora'!$B$5:$B$2004,B403))</f>
        <v/>
      </c>
      <c r="M403" s="13" t="str">
        <f aca="false">IF(B403="","",IF(D403="","⚠ Falta estado",IF(AND(OR(D403="Ausente",D403="Medio día"),I403=""),"⚠ Falta motivo",IF(AND(OR(D403="Ausente",D403="Medio día"),J403=""),"⚠ Falta explicación",IF(D403="Ausente","✔ Ausencia justificada",IF(OR(E403="",F403=""),"⚠ Falta hora de entrada/salida",IF(K403="","⚠ Falta resumen del día",IF(N(L403)&lt;N(H403)-0.01,"⚠ Faltan "&amp;TEXT(N(H403)-N(L403),"0.0")&amp;" h por reportar","✔ OK"))))))))</f>
        <v/>
      </c>
    </row>
    <row r="404" customFormat="false" ht="15" hidden="false" customHeight="false" outlineLevel="0" collapsed="false">
      <c r="A404" s="17"/>
      <c r="B404" s="18"/>
      <c r="C404" s="13" t="str">
        <f aca="false">IF(B404="","",IFERROR(INDEX(Personal!$C$5:$C$104,MATCH(B404,Personal!$B$5:$B$104,0)),""))</f>
        <v/>
      </c>
      <c r="D404" s="18"/>
      <c r="E404" s="19"/>
      <c r="F404" s="19"/>
      <c r="G404" s="20"/>
      <c r="H404" s="16" t="str">
        <f aca="false">IF(OR(E404="",F404=""),"",ROUND(MOD(F404-E404,1)*24-N(G404),2))</f>
        <v/>
      </c>
      <c r="I404" s="18"/>
      <c r="J404" s="18"/>
      <c r="K404" s="18"/>
      <c r="L404" s="16" t="str">
        <f aca="false">IF(OR(A404="",B404=""),"",SUMIFS('Registro por hora'!$H$5:$H$2004,'Registro por hora'!$A$5:$A$2004,A404,'Registro por hora'!$B$5:$B$2004,B404))</f>
        <v/>
      </c>
      <c r="M404" s="13" t="str">
        <f aca="false">IF(B404="","",IF(D404="","⚠ Falta estado",IF(AND(OR(D404="Ausente",D404="Medio día"),I404=""),"⚠ Falta motivo",IF(AND(OR(D404="Ausente",D404="Medio día"),J404=""),"⚠ Falta explicación",IF(D404="Ausente","✔ Ausencia justificada",IF(OR(E404="",F404=""),"⚠ Falta hora de entrada/salida",IF(K404="","⚠ Falta resumen del día",IF(N(L404)&lt;N(H404)-0.01,"⚠ Faltan "&amp;TEXT(N(H404)-N(L404),"0.0")&amp;" h por reportar","✔ OK"))))))))</f>
        <v/>
      </c>
    </row>
    <row r="405" customFormat="false" ht="15" hidden="false" customHeight="false" outlineLevel="0" collapsed="false">
      <c r="A405" s="17"/>
      <c r="B405" s="18"/>
      <c r="C405" s="13" t="str">
        <f aca="false">IF(B405="","",IFERROR(INDEX(Personal!$C$5:$C$104,MATCH(B405,Personal!$B$5:$B$104,0)),""))</f>
        <v/>
      </c>
      <c r="D405" s="18"/>
      <c r="E405" s="19"/>
      <c r="F405" s="19"/>
      <c r="G405" s="20"/>
      <c r="H405" s="16" t="str">
        <f aca="false">IF(OR(E405="",F405=""),"",ROUND(MOD(F405-E405,1)*24-N(G405),2))</f>
        <v/>
      </c>
      <c r="I405" s="18"/>
      <c r="J405" s="18"/>
      <c r="K405" s="18"/>
      <c r="L405" s="16" t="str">
        <f aca="false">IF(OR(A405="",B405=""),"",SUMIFS('Registro por hora'!$H$5:$H$2004,'Registro por hora'!$A$5:$A$2004,A405,'Registro por hora'!$B$5:$B$2004,B405))</f>
        <v/>
      </c>
      <c r="M405" s="13" t="str">
        <f aca="false">IF(B405="","",IF(D405="","⚠ Falta estado",IF(AND(OR(D405="Ausente",D405="Medio día"),I405=""),"⚠ Falta motivo",IF(AND(OR(D405="Ausente",D405="Medio día"),J405=""),"⚠ Falta explicación",IF(D405="Ausente","✔ Ausencia justificada",IF(OR(E405="",F405=""),"⚠ Falta hora de entrada/salida",IF(K405="","⚠ Falta resumen del día",IF(N(L405)&lt;N(H405)-0.01,"⚠ Faltan "&amp;TEXT(N(H405)-N(L405),"0.0")&amp;" h por reportar","✔ OK"))))))))</f>
        <v/>
      </c>
    </row>
    <row r="406" customFormat="false" ht="15" hidden="false" customHeight="false" outlineLevel="0" collapsed="false">
      <c r="A406" s="17"/>
      <c r="B406" s="18"/>
      <c r="C406" s="13" t="str">
        <f aca="false">IF(B406="","",IFERROR(INDEX(Personal!$C$5:$C$104,MATCH(B406,Personal!$B$5:$B$104,0)),""))</f>
        <v/>
      </c>
      <c r="D406" s="18"/>
      <c r="E406" s="19"/>
      <c r="F406" s="19"/>
      <c r="G406" s="20"/>
      <c r="H406" s="16" t="str">
        <f aca="false">IF(OR(E406="",F406=""),"",ROUND(MOD(F406-E406,1)*24-N(G406),2))</f>
        <v/>
      </c>
      <c r="I406" s="18"/>
      <c r="J406" s="18"/>
      <c r="K406" s="18"/>
      <c r="L406" s="16" t="str">
        <f aca="false">IF(OR(A406="",B406=""),"",SUMIFS('Registro por hora'!$H$5:$H$2004,'Registro por hora'!$A$5:$A$2004,A406,'Registro por hora'!$B$5:$B$2004,B406))</f>
        <v/>
      </c>
      <c r="M406" s="13" t="str">
        <f aca="false">IF(B406="","",IF(D406="","⚠ Falta estado",IF(AND(OR(D406="Ausente",D406="Medio día"),I406=""),"⚠ Falta motivo",IF(AND(OR(D406="Ausente",D406="Medio día"),J406=""),"⚠ Falta explicación",IF(D406="Ausente","✔ Ausencia justificada",IF(OR(E406="",F406=""),"⚠ Falta hora de entrada/salida",IF(K406="","⚠ Falta resumen del día",IF(N(L406)&lt;N(H406)-0.01,"⚠ Faltan "&amp;TEXT(N(H406)-N(L406),"0.0")&amp;" h por reportar","✔ OK"))))))))</f>
        <v/>
      </c>
    </row>
    <row r="407" customFormat="false" ht="15" hidden="false" customHeight="false" outlineLevel="0" collapsed="false">
      <c r="A407" s="17"/>
      <c r="B407" s="18"/>
      <c r="C407" s="13" t="str">
        <f aca="false">IF(B407="","",IFERROR(INDEX(Personal!$C$5:$C$104,MATCH(B407,Personal!$B$5:$B$104,0)),""))</f>
        <v/>
      </c>
      <c r="D407" s="18"/>
      <c r="E407" s="19"/>
      <c r="F407" s="19"/>
      <c r="G407" s="20"/>
      <c r="H407" s="16" t="str">
        <f aca="false">IF(OR(E407="",F407=""),"",ROUND(MOD(F407-E407,1)*24-N(G407),2))</f>
        <v/>
      </c>
      <c r="I407" s="18"/>
      <c r="J407" s="18"/>
      <c r="K407" s="18"/>
      <c r="L407" s="16" t="str">
        <f aca="false">IF(OR(A407="",B407=""),"",SUMIFS('Registro por hora'!$H$5:$H$2004,'Registro por hora'!$A$5:$A$2004,A407,'Registro por hora'!$B$5:$B$2004,B407))</f>
        <v/>
      </c>
      <c r="M407" s="13" t="str">
        <f aca="false">IF(B407="","",IF(D407="","⚠ Falta estado",IF(AND(OR(D407="Ausente",D407="Medio día"),I407=""),"⚠ Falta motivo",IF(AND(OR(D407="Ausente",D407="Medio día"),J407=""),"⚠ Falta explicación",IF(D407="Ausente","✔ Ausencia justificada",IF(OR(E407="",F407=""),"⚠ Falta hora de entrada/salida",IF(K407="","⚠ Falta resumen del día",IF(N(L407)&lt;N(H407)-0.01,"⚠ Faltan "&amp;TEXT(N(H407)-N(L407),"0.0")&amp;" h por reportar","✔ OK"))))))))</f>
        <v/>
      </c>
    </row>
    <row r="408" customFormat="false" ht="15" hidden="false" customHeight="false" outlineLevel="0" collapsed="false">
      <c r="A408" s="17"/>
      <c r="B408" s="18"/>
      <c r="C408" s="13" t="str">
        <f aca="false">IF(B408="","",IFERROR(INDEX(Personal!$C$5:$C$104,MATCH(B408,Personal!$B$5:$B$104,0)),""))</f>
        <v/>
      </c>
      <c r="D408" s="18"/>
      <c r="E408" s="19"/>
      <c r="F408" s="19"/>
      <c r="G408" s="20"/>
      <c r="H408" s="16" t="str">
        <f aca="false">IF(OR(E408="",F408=""),"",ROUND(MOD(F408-E408,1)*24-N(G408),2))</f>
        <v/>
      </c>
      <c r="I408" s="18"/>
      <c r="J408" s="18"/>
      <c r="K408" s="18"/>
      <c r="L408" s="16" t="str">
        <f aca="false">IF(OR(A408="",B408=""),"",SUMIFS('Registro por hora'!$H$5:$H$2004,'Registro por hora'!$A$5:$A$2004,A408,'Registro por hora'!$B$5:$B$2004,B408))</f>
        <v/>
      </c>
      <c r="M408" s="13" t="str">
        <f aca="false">IF(B408="","",IF(D408="","⚠ Falta estado",IF(AND(OR(D408="Ausente",D408="Medio día"),I408=""),"⚠ Falta motivo",IF(AND(OR(D408="Ausente",D408="Medio día"),J408=""),"⚠ Falta explicación",IF(D408="Ausente","✔ Ausencia justificada",IF(OR(E408="",F408=""),"⚠ Falta hora de entrada/salida",IF(K408="","⚠ Falta resumen del día",IF(N(L408)&lt;N(H408)-0.01,"⚠ Faltan "&amp;TEXT(N(H408)-N(L408),"0.0")&amp;" h por reportar","✔ OK"))))))))</f>
        <v/>
      </c>
    </row>
    <row r="409" customFormat="false" ht="15" hidden="false" customHeight="false" outlineLevel="0" collapsed="false">
      <c r="A409" s="17"/>
      <c r="B409" s="18"/>
      <c r="C409" s="13" t="str">
        <f aca="false">IF(B409="","",IFERROR(INDEX(Personal!$C$5:$C$104,MATCH(B409,Personal!$B$5:$B$104,0)),""))</f>
        <v/>
      </c>
      <c r="D409" s="18"/>
      <c r="E409" s="19"/>
      <c r="F409" s="19"/>
      <c r="G409" s="20"/>
      <c r="H409" s="16" t="str">
        <f aca="false">IF(OR(E409="",F409=""),"",ROUND(MOD(F409-E409,1)*24-N(G409),2))</f>
        <v/>
      </c>
      <c r="I409" s="18"/>
      <c r="J409" s="18"/>
      <c r="K409" s="18"/>
      <c r="L409" s="16" t="str">
        <f aca="false">IF(OR(A409="",B409=""),"",SUMIFS('Registro por hora'!$H$5:$H$2004,'Registro por hora'!$A$5:$A$2004,A409,'Registro por hora'!$B$5:$B$2004,B409))</f>
        <v/>
      </c>
      <c r="M409" s="13" t="str">
        <f aca="false">IF(B409="","",IF(D409="","⚠ Falta estado",IF(AND(OR(D409="Ausente",D409="Medio día"),I409=""),"⚠ Falta motivo",IF(AND(OR(D409="Ausente",D409="Medio día"),J409=""),"⚠ Falta explicación",IF(D409="Ausente","✔ Ausencia justificada",IF(OR(E409="",F409=""),"⚠ Falta hora de entrada/salida",IF(K409="","⚠ Falta resumen del día",IF(N(L409)&lt;N(H409)-0.01,"⚠ Faltan "&amp;TEXT(N(H409)-N(L409),"0.0")&amp;" h por reportar","✔ OK"))))))))</f>
        <v/>
      </c>
    </row>
    <row r="410" customFormat="false" ht="15" hidden="false" customHeight="false" outlineLevel="0" collapsed="false">
      <c r="A410" s="17"/>
      <c r="B410" s="18"/>
      <c r="C410" s="13" t="str">
        <f aca="false">IF(B410="","",IFERROR(INDEX(Personal!$C$5:$C$104,MATCH(B410,Personal!$B$5:$B$104,0)),""))</f>
        <v/>
      </c>
      <c r="D410" s="18"/>
      <c r="E410" s="19"/>
      <c r="F410" s="19"/>
      <c r="G410" s="20"/>
      <c r="H410" s="16" t="str">
        <f aca="false">IF(OR(E410="",F410=""),"",ROUND(MOD(F410-E410,1)*24-N(G410),2))</f>
        <v/>
      </c>
      <c r="I410" s="18"/>
      <c r="J410" s="18"/>
      <c r="K410" s="18"/>
      <c r="L410" s="16" t="str">
        <f aca="false">IF(OR(A410="",B410=""),"",SUMIFS('Registro por hora'!$H$5:$H$2004,'Registro por hora'!$A$5:$A$2004,A410,'Registro por hora'!$B$5:$B$2004,B410))</f>
        <v/>
      </c>
      <c r="M410" s="13" t="str">
        <f aca="false">IF(B410="","",IF(D410="","⚠ Falta estado",IF(AND(OR(D410="Ausente",D410="Medio día"),I410=""),"⚠ Falta motivo",IF(AND(OR(D410="Ausente",D410="Medio día"),J410=""),"⚠ Falta explicación",IF(D410="Ausente","✔ Ausencia justificada",IF(OR(E410="",F410=""),"⚠ Falta hora de entrada/salida",IF(K410="","⚠ Falta resumen del día",IF(N(L410)&lt;N(H410)-0.01,"⚠ Faltan "&amp;TEXT(N(H410)-N(L410),"0.0")&amp;" h por reportar","✔ OK"))))))))</f>
        <v/>
      </c>
    </row>
    <row r="411" customFormat="false" ht="15" hidden="false" customHeight="false" outlineLevel="0" collapsed="false">
      <c r="A411" s="17"/>
      <c r="B411" s="18"/>
      <c r="C411" s="13" t="str">
        <f aca="false">IF(B411="","",IFERROR(INDEX(Personal!$C$5:$C$104,MATCH(B411,Personal!$B$5:$B$104,0)),""))</f>
        <v/>
      </c>
      <c r="D411" s="18"/>
      <c r="E411" s="19"/>
      <c r="F411" s="19"/>
      <c r="G411" s="20"/>
      <c r="H411" s="16" t="str">
        <f aca="false">IF(OR(E411="",F411=""),"",ROUND(MOD(F411-E411,1)*24-N(G411),2))</f>
        <v/>
      </c>
      <c r="I411" s="18"/>
      <c r="J411" s="18"/>
      <c r="K411" s="18"/>
      <c r="L411" s="16" t="str">
        <f aca="false">IF(OR(A411="",B411=""),"",SUMIFS('Registro por hora'!$H$5:$H$2004,'Registro por hora'!$A$5:$A$2004,A411,'Registro por hora'!$B$5:$B$2004,B411))</f>
        <v/>
      </c>
      <c r="M411" s="13" t="str">
        <f aca="false">IF(B411="","",IF(D411="","⚠ Falta estado",IF(AND(OR(D411="Ausente",D411="Medio día"),I411=""),"⚠ Falta motivo",IF(AND(OR(D411="Ausente",D411="Medio día"),J411=""),"⚠ Falta explicación",IF(D411="Ausente","✔ Ausencia justificada",IF(OR(E411="",F411=""),"⚠ Falta hora de entrada/salida",IF(K411="","⚠ Falta resumen del día",IF(N(L411)&lt;N(H411)-0.01,"⚠ Faltan "&amp;TEXT(N(H411)-N(L411),"0.0")&amp;" h por reportar","✔ OK"))))))))</f>
        <v/>
      </c>
    </row>
    <row r="412" customFormat="false" ht="15" hidden="false" customHeight="false" outlineLevel="0" collapsed="false">
      <c r="A412" s="17"/>
      <c r="B412" s="18"/>
      <c r="C412" s="13" t="str">
        <f aca="false">IF(B412="","",IFERROR(INDEX(Personal!$C$5:$C$104,MATCH(B412,Personal!$B$5:$B$104,0)),""))</f>
        <v/>
      </c>
      <c r="D412" s="18"/>
      <c r="E412" s="19"/>
      <c r="F412" s="19"/>
      <c r="G412" s="20"/>
      <c r="H412" s="16" t="str">
        <f aca="false">IF(OR(E412="",F412=""),"",ROUND(MOD(F412-E412,1)*24-N(G412),2))</f>
        <v/>
      </c>
      <c r="I412" s="18"/>
      <c r="J412" s="18"/>
      <c r="K412" s="18"/>
      <c r="L412" s="16" t="str">
        <f aca="false">IF(OR(A412="",B412=""),"",SUMIFS('Registro por hora'!$H$5:$H$2004,'Registro por hora'!$A$5:$A$2004,A412,'Registro por hora'!$B$5:$B$2004,B412))</f>
        <v/>
      </c>
      <c r="M412" s="13" t="str">
        <f aca="false">IF(B412="","",IF(D412="","⚠ Falta estado",IF(AND(OR(D412="Ausente",D412="Medio día"),I412=""),"⚠ Falta motivo",IF(AND(OR(D412="Ausente",D412="Medio día"),J412=""),"⚠ Falta explicación",IF(D412="Ausente","✔ Ausencia justificada",IF(OR(E412="",F412=""),"⚠ Falta hora de entrada/salida",IF(K412="","⚠ Falta resumen del día",IF(N(L412)&lt;N(H412)-0.01,"⚠ Faltan "&amp;TEXT(N(H412)-N(L412),"0.0")&amp;" h por reportar","✔ OK"))))))))</f>
        <v/>
      </c>
    </row>
    <row r="413" customFormat="false" ht="15" hidden="false" customHeight="false" outlineLevel="0" collapsed="false">
      <c r="A413" s="17"/>
      <c r="B413" s="18"/>
      <c r="C413" s="13" t="str">
        <f aca="false">IF(B413="","",IFERROR(INDEX(Personal!$C$5:$C$104,MATCH(B413,Personal!$B$5:$B$104,0)),""))</f>
        <v/>
      </c>
      <c r="D413" s="18"/>
      <c r="E413" s="19"/>
      <c r="F413" s="19"/>
      <c r="G413" s="20"/>
      <c r="H413" s="16" t="str">
        <f aca="false">IF(OR(E413="",F413=""),"",ROUND(MOD(F413-E413,1)*24-N(G413),2))</f>
        <v/>
      </c>
      <c r="I413" s="18"/>
      <c r="J413" s="18"/>
      <c r="K413" s="18"/>
      <c r="L413" s="16" t="str">
        <f aca="false">IF(OR(A413="",B413=""),"",SUMIFS('Registro por hora'!$H$5:$H$2004,'Registro por hora'!$A$5:$A$2004,A413,'Registro por hora'!$B$5:$B$2004,B413))</f>
        <v/>
      </c>
      <c r="M413" s="13" t="str">
        <f aca="false">IF(B413="","",IF(D413="","⚠ Falta estado",IF(AND(OR(D413="Ausente",D413="Medio día"),I413=""),"⚠ Falta motivo",IF(AND(OR(D413="Ausente",D413="Medio día"),J413=""),"⚠ Falta explicación",IF(D413="Ausente","✔ Ausencia justificada",IF(OR(E413="",F413=""),"⚠ Falta hora de entrada/salida",IF(K413="","⚠ Falta resumen del día",IF(N(L413)&lt;N(H413)-0.01,"⚠ Faltan "&amp;TEXT(N(H413)-N(L413),"0.0")&amp;" h por reportar","✔ OK"))))))))</f>
        <v/>
      </c>
    </row>
    <row r="414" customFormat="false" ht="15" hidden="false" customHeight="false" outlineLevel="0" collapsed="false">
      <c r="A414" s="17"/>
      <c r="B414" s="18"/>
      <c r="C414" s="13" t="str">
        <f aca="false">IF(B414="","",IFERROR(INDEX(Personal!$C$5:$C$104,MATCH(B414,Personal!$B$5:$B$104,0)),""))</f>
        <v/>
      </c>
      <c r="D414" s="18"/>
      <c r="E414" s="19"/>
      <c r="F414" s="19"/>
      <c r="G414" s="20"/>
      <c r="H414" s="16" t="str">
        <f aca="false">IF(OR(E414="",F414=""),"",ROUND(MOD(F414-E414,1)*24-N(G414),2))</f>
        <v/>
      </c>
      <c r="I414" s="18"/>
      <c r="J414" s="18"/>
      <c r="K414" s="18"/>
      <c r="L414" s="16" t="str">
        <f aca="false">IF(OR(A414="",B414=""),"",SUMIFS('Registro por hora'!$H$5:$H$2004,'Registro por hora'!$A$5:$A$2004,A414,'Registro por hora'!$B$5:$B$2004,B414))</f>
        <v/>
      </c>
      <c r="M414" s="13" t="str">
        <f aca="false">IF(B414="","",IF(D414="","⚠ Falta estado",IF(AND(OR(D414="Ausente",D414="Medio día"),I414=""),"⚠ Falta motivo",IF(AND(OR(D414="Ausente",D414="Medio día"),J414=""),"⚠ Falta explicación",IF(D414="Ausente","✔ Ausencia justificada",IF(OR(E414="",F414=""),"⚠ Falta hora de entrada/salida",IF(K414="","⚠ Falta resumen del día",IF(N(L414)&lt;N(H414)-0.01,"⚠ Faltan "&amp;TEXT(N(H414)-N(L414),"0.0")&amp;" h por reportar","✔ OK"))))))))</f>
        <v/>
      </c>
    </row>
    <row r="415" customFormat="false" ht="15" hidden="false" customHeight="false" outlineLevel="0" collapsed="false">
      <c r="A415" s="17"/>
      <c r="B415" s="18"/>
      <c r="C415" s="13" t="str">
        <f aca="false">IF(B415="","",IFERROR(INDEX(Personal!$C$5:$C$104,MATCH(B415,Personal!$B$5:$B$104,0)),""))</f>
        <v/>
      </c>
      <c r="D415" s="18"/>
      <c r="E415" s="19"/>
      <c r="F415" s="19"/>
      <c r="G415" s="20"/>
      <c r="H415" s="16" t="str">
        <f aca="false">IF(OR(E415="",F415=""),"",ROUND(MOD(F415-E415,1)*24-N(G415),2))</f>
        <v/>
      </c>
      <c r="I415" s="18"/>
      <c r="J415" s="18"/>
      <c r="K415" s="18"/>
      <c r="L415" s="16" t="str">
        <f aca="false">IF(OR(A415="",B415=""),"",SUMIFS('Registro por hora'!$H$5:$H$2004,'Registro por hora'!$A$5:$A$2004,A415,'Registro por hora'!$B$5:$B$2004,B415))</f>
        <v/>
      </c>
      <c r="M415" s="13" t="str">
        <f aca="false">IF(B415="","",IF(D415="","⚠ Falta estado",IF(AND(OR(D415="Ausente",D415="Medio día"),I415=""),"⚠ Falta motivo",IF(AND(OR(D415="Ausente",D415="Medio día"),J415=""),"⚠ Falta explicación",IF(D415="Ausente","✔ Ausencia justificada",IF(OR(E415="",F415=""),"⚠ Falta hora de entrada/salida",IF(K415="","⚠ Falta resumen del día",IF(N(L415)&lt;N(H415)-0.01,"⚠ Faltan "&amp;TEXT(N(H415)-N(L415),"0.0")&amp;" h por reportar","✔ OK"))))))))</f>
        <v/>
      </c>
    </row>
    <row r="416" customFormat="false" ht="15" hidden="false" customHeight="false" outlineLevel="0" collapsed="false">
      <c r="A416" s="17"/>
      <c r="B416" s="18"/>
      <c r="C416" s="13" t="str">
        <f aca="false">IF(B416="","",IFERROR(INDEX(Personal!$C$5:$C$104,MATCH(B416,Personal!$B$5:$B$104,0)),""))</f>
        <v/>
      </c>
      <c r="D416" s="18"/>
      <c r="E416" s="19"/>
      <c r="F416" s="19"/>
      <c r="G416" s="20"/>
      <c r="H416" s="16" t="str">
        <f aca="false">IF(OR(E416="",F416=""),"",ROUND(MOD(F416-E416,1)*24-N(G416),2))</f>
        <v/>
      </c>
      <c r="I416" s="18"/>
      <c r="J416" s="18"/>
      <c r="K416" s="18"/>
      <c r="L416" s="16" t="str">
        <f aca="false">IF(OR(A416="",B416=""),"",SUMIFS('Registro por hora'!$H$5:$H$2004,'Registro por hora'!$A$5:$A$2004,A416,'Registro por hora'!$B$5:$B$2004,B416))</f>
        <v/>
      </c>
      <c r="M416" s="13" t="str">
        <f aca="false">IF(B416="","",IF(D416="","⚠ Falta estado",IF(AND(OR(D416="Ausente",D416="Medio día"),I416=""),"⚠ Falta motivo",IF(AND(OR(D416="Ausente",D416="Medio día"),J416=""),"⚠ Falta explicación",IF(D416="Ausente","✔ Ausencia justificada",IF(OR(E416="",F416=""),"⚠ Falta hora de entrada/salida",IF(K416="","⚠ Falta resumen del día",IF(N(L416)&lt;N(H416)-0.01,"⚠ Faltan "&amp;TEXT(N(H416)-N(L416),"0.0")&amp;" h por reportar","✔ OK"))))))))</f>
        <v/>
      </c>
    </row>
    <row r="417" customFormat="false" ht="15" hidden="false" customHeight="false" outlineLevel="0" collapsed="false">
      <c r="A417" s="17"/>
      <c r="B417" s="18"/>
      <c r="C417" s="13" t="str">
        <f aca="false">IF(B417="","",IFERROR(INDEX(Personal!$C$5:$C$104,MATCH(B417,Personal!$B$5:$B$104,0)),""))</f>
        <v/>
      </c>
      <c r="D417" s="18"/>
      <c r="E417" s="19"/>
      <c r="F417" s="19"/>
      <c r="G417" s="20"/>
      <c r="H417" s="16" t="str">
        <f aca="false">IF(OR(E417="",F417=""),"",ROUND(MOD(F417-E417,1)*24-N(G417),2))</f>
        <v/>
      </c>
      <c r="I417" s="18"/>
      <c r="J417" s="18"/>
      <c r="K417" s="18"/>
      <c r="L417" s="16" t="str">
        <f aca="false">IF(OR(A417="",B417=""),"",SUMIFS('Registro por hora'!$H$5:$H$2004,'Registro por hora'!$A$5:$A$2004,A417,'Registro por hora'!$B$5:$B$2004,B417))</f>
        <v/>
      </c>
      <c r="M417" s="13" t="str">
        <f aca="false">IF(B417="","",IF(D417="","⚠ Falta estado",IF(AND(OR(D417="Ausente",D417="Medio día"),I417=""),"⚠ Falta motivo",IF(AND(OR(D417="Ausente",D417="Medio día"),J417=""),"⚠ Falta explicación",IF(D417="Ausente","✔ Ausencia justificada",IF(OR(E417="",F417=""),"⚠ Falta hora de entrada/salida",IF(K417="","⚠ Falta resumen del día",IF(N(L417)&lt;N(H417)-0.01,"⚠ Faltan "&amp;TEXT(N(H417)-N(L417),"0.0")&amp;" h por reportar","✔ OK"))))))))</f>
        <v/>
      </c>
    </row>
    <row r="418" customFormat="false" ht="15" hidden="false" customHeight="false" outlineLevel="0" collapsed="false">
      <c r="A418" s="17"/>
      <c r="B418" s="18"/>
      <c r="C418" s="13" t="str">
        <f aca="false">IF(B418="","",IFERROR(INDEX(Personal!$C$5:$C$104,MATCH(B418,Personal!$B$5:$B$104,0)),""))</f>
        <v/>
      </c>
      <c r="D418" s="18"/>
      <c r="E418" s="19"/>
      <c r="F418" s="19"/>
      <c r="G418" s="20"/>
      <c r="H418" s="16" t="str">
        <f aca="false">IF(OR(E418="",F418=""),"",ROUND(MOD(F418-E418,1)*24-N(G418),2))</f>
        <v/>
      </c>
      <c r="I418" s="18"/>
      <c r="J418" s="18"/>
      <c r="K418" s="18"/>
      <c r="L418" s="16" t="str">
        <f aca="false">IF(OR(A418="",B418=""),"",SUMIFS('Registro por hora'!$H$5:$H$2004,'Registro por hora'!$A$5:$A$2004,A418,'Registro por hora'!$B$5:$B$2004,B418))</f>
        <v/>
      </c>
      <c r="M418" s="13" t="str">
        <f aca="false">IF(B418="","",IF(D418="","⚠ Falta estado",IF(AND(OR(D418="Ausente",D418="Medio día"),I418=""),"⚠ Falta motivo",IF(AND(OR(D418="Ausente",D418="Medio día"),J418=""),"⚠ Falta explicación",IF(D418="Ausente","✔ Ausencia justificada",IF(OR(E418="",F418=""),"⚠ Falta hora de entrada/salida",IF(K418="","⚠ Falta resumen del día",IF(N(L418)&lt;N(H418)-0.01,"⚠ Faltan "&amp;TEXT(N(H418)-N(L418),"0.0")&amp;" h por reportar","✔ OK"))))))))</f>
        <v/>
      </c>
    </row>
    <row r="419" customFormat="false" ht="15" hidden="false" customHeight="false" outlineLevel="0" collapsed="false">
      <c r="A419" s="17"/>
      <c r="B419" s="18"/>
      <c r="C419" s="13" t="str">
        <f aca="false">IF(B419="","",IFERROR(INDEX(Personal!$C$5:$C$104,MATCH(B419,Personal!$B$5:$B$104,0)),""))</f>
        <v/>
      </c>
      <c r="D419" s="18"/>
      <c r="E419" s="19"/>
      <c r="F419" s="19"/>
      <c r="G419" s="20"/>
      <c r="H419" s="16" t="str">
        <f aca="false">IF(OR(E419="",F419=""),"",ROUND(MOD(F419-E419,1)*24-N(G419),2))</f>
        <v/>
      </c>
      <c r="I419" s="18"/>
      <c r="J419" s="18"/>
      <c r="K419" s="18"/>
      <c r="L419" s="16" t="str">
        <f aca="false">IF(OR(A419="",B419=""),"",SUMIFS('Registro por hora'!$H$5:$H$2004,'Registro por hora'!$A$5:$A$2004,A419,'Registro por hora'!$B$5:$B$2004,B419))</f>
        <v/>
      </c>
      <c r="M419" s="13" t="str">
        <f aca="false">IF(B419="","",IF(D419="","⚠ Falta estado",IF(AND(OR(D419="Ausente",D419="Medio día"),I419=""),"⚠ Falta motivo",IF(AND(OR(D419="Ausente",D419="Medio día"),J419=""),"⚠ Falta explicación",IF(D419="Ausente","✔ Ausencia justificada",IF(OR(E419="",F419=""),"⚠ Falta hora de entrada/salida",IF(K419="","⚠ Falta resumen del día",IF(N(L419)&lt;N(H419)-0.01,"⚠ Faltan "&amp;TEXT(N(H419)-N(L419),"0.0")&amp;" h por reportar","✔ OK"))))))))</f>
        <v/>
      </c>
    </row>
    <row r="420" customFormat="false" ht="15" hidden="false" customHeight="false" outlineLevel="0" collapsed="false">
      <c r="A420" s="17"/>
      <c r="B420" s="18"/>
      <c r="C420" s="13" t="str">
        <f aca="false">IF(B420="","",IFERROR(INDEX(Personal!$C$5:$C$104,MATCH(B420,Personal!$B$5:$B$104,0)),""))</f>
        <v/>
      </c>
      <c r="D420" s="18"/>
      <c r="E420" s="19"/>
      <c r="F420" s="19"/>
      <c r="G420" s="20"/>
      <c r="H420" s="16" t="str">
        <f aca="false">IF(OR(E420="",F420=""),"",ROUND(MOD(F420-E420,1)*24-N(G420),2))</f>
        <v/>
      </c>
      <c r="I420" s="18"/>
      <c r="J420" s="18"/>
      <c r="K420" s="18"/>
      <c r="L420" s="16" t="str">
        <f aca="false">IF(OR(A420="",B420=""),"",SUMIFS('Registro por hora'!$H$5:$H$2004,'Registro por hora'!$A$5:$A$2004,A420,'Registro por hora'!$B$5:$B$2004,B420))</f>
        <v/>
      </c>
      <c r="M420" s="13" t="str">
        <f aca="false">IF(B420="","",IF(D420="","⚠ Falta estado",IF(AND(OR(D420="Ausente",D420="Medio día"),I420=""),"⚠ Falta motivo",IF(AND(OR(D420="Ausente",D420="Medio día"),J420=""),"⚠ Falta explicación",IF(D420="Ausente","✔ Ausencia justificada",IF(OR(E420="",F420=""),"⚠ Falta hora de entrada/salida",IF(K420="","⚠ Falta resumen del día",IF(N(L420)&lt;N(H420)-0.01,"⚠ Faltan "&amp;TEXT(N(H420)-N(L420),"0.0")&amp;" h por reportar","✔ OK"))))))))</f>
        <v/>
      </c>
    </row>
    <row r="421" customFormat="false" ht="15" hidden="false" customHeight="false" outlineLevel="0" collapsed="false">
      <c r="A421" s="17"/>
      <c r="B421" s="18"/>
      <c r="C421" s="13" t="str">
        <f aca="false">IF(B421="","",IFERROR(INDEX(Personal!$C$5:$C$104,MATCH(B421,Personal!$B$5:$B$104,0)),""))</f>
        <v/>
      </c>
      <c r="D421" s="18"/>
      <c r="E421" s="19"/>
      <c r="F421" s="19"/>
      <c r="G421" s="20"/>
      <c r="H421" s="16" t="str">
        <f aca="false">IF(OR(E421="",F421=""),"",ROUND(MOD(F421-E421,1)*24-N(G421),2))</f>
        <v/>
      </c>
      <c r="I421" s="18"/>
      <c r="J421" s="18"/>
      <c r="K421" s="18"/>
      <c r="L421" s="16" t="str">
        <f aca="false">IF(OR(A421="",B421=""),"",SUMIFS('Registro por hora'!$H$5:$H$2004,'Registro por hora'!$A$5:$A$2004,A421,'Registro por hora'!$B$5:$B$2004,B421))</f>
        <v/>
      </c>
      <c r="M421" s="13" t="str">
        <f aca="false">IF(B421="","",IF(D421="","⚠ Falta estado",IF(AND(OR(D421="Ausente",D421="Medio día"),I421=""),"⚠ Falta motivo",IF(AND(OR(D421="Ausente",D421="Medio día"),J421=""),"⚠ Falta explicación",IF(D421="Ausente","✔ Ausencia justificada",IF(OR(E421="",F421=""),"⚠ Falta hora de entrada/salida",IF(K421="","⚠ Falta resumen del día",IF(N(L421)&lt;N(H421)-0.01,"⚠ Faltan "&amp;TEXT(N(H421)-N(L421),"0.0")&amp;" h por reportar","✔ OK"))))))))</f>
        <v/>
      </c>
    </row>
    <row r="422" customFormat="false" ht="15" hidden="false" customHeight="false" outlineLevel="0" collapsed="false">
      <c r="A422" s="17"/>
      <c r="B422" s="18"/>
      <c r="C422" s="13" t="str">
        <f aca="false">IF(B422="","",IFERROR(INDEX(Personal!$C$5:$C$104,MATCH(B422,Personal!$B$5:$B$104,0)),""))</f>
        <v/>
      </c>
      <c r="D422" s="18"/>
      <c r="E422" s="19"/>
      <c r="F422" s="19"/>
      <c r="G422" s="20"/>
      <c r="H422" s="16" t="str">
        <f aca="false">IF(OR(E422="",F422=""),"",ROUND(MOD(F422-E422,1)*24-N(G422),2))</f>
        <v/>
      </c>
      <c r="I422" s="18"/>
      <c r="J422" s="18"/>
      <c r="K422" s="18"/>
      <c r="L422" s="16" t="str">
        <f aca="false">IF(OR(A422="",B422=""),"",SUMIFS('Registro por hora'!$H$5:$H$2004,'Registro por hora'!$A$5:$A$2004,A422,'Registro por hora'!$B$5:$B$2004,B422))</f>
        <v/>
      </c>
      <c r="M422" s="13" t="str">
        <f aca="false">IF(B422="","",IF(D422="","⚠ Falta estado",IF(AND(OR(D422="Ausente",D422="Medio día"),I422=""),"⚠ Falta motivo",IF(AND(OR(D422="Ausente",D422="Medio día"),J422=""),"⚠ Falta explicación",IF(D422="Ausente","✔ Ausencia justificada",IF(OR(E422="",F422=""),"⚠ Falta hora de entrada/salida",IF(K422="","⚠ Falta resumen del día",IF(N(L422)&lt;N(H422)-0.01,"⚠ Faltan "&amp;TEXT(N(H422)-N(L422),"0.0")&amp;" h por reportar","✔ OK"))))))))</f>
        <v/>
      </c>
    </row>
    <row r="423" customFormat="false" ht="15" hidden="false" customHeight="false" outlineLevel="0" collapsed="false">
      <c r="A423" s="17"/>
      <c r="B423" s="18"/>
      <c r="C423" s="13" t="str">
        <f aca="false">IF(B423="","",IFERROR(INDEX(Personal!$C$5:$C$104,MATCH(B423,Personal!$B$5:$B$104,0)),""))</f>
        <v/>
      </c>
      <c r="D423" s="18"/>
      <c r="E423" s="19"/>
      <c r="F423" s="19"/>
      <c r="G423" s="20"/>
      <c r="H423" s="16" t="str">
        <f aca="false">IF(OR(E423="",F423=""),"",ROUND(MOD(F423-E423,1)*24-N(G423),2))</f>
        <v/>
      </c>
      <c r="I423" s="18"/>
      <c r="J423" s="18"/>
      <c r="K423" s="18"/>
      <c r="L423" s="16" t="str">
        <f aca="false">IF(OR(A423="",B423=""),"",SUMIFS('Registro por hora'!$H$5:$H$2004,'Registro por hora'!$A$5:$A$2004,A423,'Registro por hora'!$B$5:$B$2004,B423))</f>
        <v/>
      </c>
      <c r="M423" s="13" t="str">
        <f aca="false">IF(B423="","",IF(D423="","⚠ Falta estado",IF(AND(OR(D423="Ausente",D423="Medio día"),I423=""),"⚠ Falta motivo",IF(AND(OR(D423="Ausente",D423="Medio día"),J423=""),"⚠ Falta explicación",IF(D423="Ausente","✔ Ausencia justificada",IF(OR(E423="",F423=""),"⚠ Falta hora de entrada/salida",IF(K423="","⚠ Falta resumen del día",IF(N(L423)&lt;N(H423)-0.01,"⚠ Faltan "&amp;TEXT(N(H423)-N(L423),"0.0")&amp;" h por reportar","✔ OK"))))))))</f>
        <v/>
      </c>
    </row>
    <row r="424" customFormat="false" ht="15" hidden="false" customHeight="false" outlineLevel="0" collapsed="false">
      <c r="A424" s="17"/>
      <c r="B424" s="18"/>
      <c r="C424" s="13" t="str">
        <f aca="false">IF(B424="","",IFERROR(INDEX(Personal!$C$5:$C$104,MATCH(B424,Personal!$B$5:$B$104,0)),""))</f>
        <v/>
      </c>
      <c r="D424" s="18"/>
      <c r="E424" s="19"/>
      <c r="F424" s="19"/>
      <c r="G424" s="20"/>
      <c r="H424" s="16" t="str">
        <f aca="false">IF(OR(E424="",F424=""),"",ROUND(MOD(F424-E424,1)*24-N(G424),2))</f>
        <v/>
      </c>
      <c r="I424" s="18"/>
      <c r="J424" s="18"/>
      <c r="K424" s="18"/>
      <c r="L424" s="16" t="str">
        <f aca="false">IF(OR(A424="",B424=""),"",SUMIFS('Registro por hora'!$H$5:$H$2004,'Registro por hora'!$A$5:$A$2004,A424,'Registro por hora'!$B$5:$B$2004,B424))</f>
        <v/>
      </c>
      <c r="M424" s="13" t="str">
        <f aca="false">IF(B424="","",IF(D424="","⚠ Falta estado",IF(AND(OR(D424="Ausente",D424="Medio día"),I424=""),"⚠ Falta motivo",IF(AND(OR(D424="Ausente",D424="Medio día"),J424=""),"⚠ Falta explicación",IF(D424="Ausente","✔ Ausencia justificada",IF(OR(E424="",F424=""),"⚠ Falta hora de entrada/salida",IF(K424="","⚠ Falta resumen del día",IF(N(L424)&lt;N(H424)-0.01,"⚠ Faltan "&amp;TEXT(N(H424)-N(L424),"0.0")&amp;" h por reportar","✔ OK"))))))))</f>
        <v/>
      </c>
    </row>
    <row r="425" customFormat="false" ht="15" hidden="false" customHeight="false" outlineLevel="0" collapsed="false">
      <c r="A425" s="17"/>
      <c r="B425" s="18"/>
      <c r="C425" s="13" t="str">
        <f aca="false">IF(B425="","",IFERROR(INDEX(Personal!$C$5:$C$104,MATCH(B425,Personal!$B$5:$B$104,0)),""))</f>
        <v/>
      </c>
      <c r="D425" s="18"/>
      <c r="E425" s="19"/>
      <c r="F425" s="19"/>
      <c r="G425" s="20"/>
      <c r="H425" s="16" t="str">
        <f aca="false">IF(OR(E425="",F425=""),"",ROUND(MOD(F425-E425,1)*24-N(G425),2))</f>
        <v/>
      </c>
      <c r="I425" s="18"/>
      <c r="J425" s="18"/>
      <c r="K425" s="18"/>
      <c r="L425" s="16" t="str">
        <f aca="false">IF(OR(A425="",B425=""),"",SUMIFS('Registro por hora'!$H$5:$H$2004,'Registro por hora'!$A$5:$A$2004,A425,'Registro por hora'!$B$5:$B$2004,B425))</f>
        <v/>
      </c>
      <c r="M425" s="13" t="str">
        <f aca="false">IF(B425="","",IF(D425="","⚠ Falta estado",IF(AND(OR(D425="Ausente",D425="Medio día"),I425=""),"⚠ Falta motivo",IF(AND(OR(D425="Ausente",D425="Medio día"),J425=""),"⚠ Falta explicación",IF(D425="Ausente","✔ Ausencia justificada",IF(OR(E425="",F425=""),"⚠ Falta hora de entrada/salida",IF(K425="","⚠ Falta resumen del día",IF(N(L425)&lt;N(H425)-0.01,"⚠ Faltan "&amp;TEXT(N(H425)-N(L425),"0.0")&amp;" h por reportar","✔ OK"))))))))</f>
        <v/>
      </c>
    </row>
    <row r="426" customFormat="false" ht="15" hidden="false" customHeight="false" outlineLevel="0" collapsed="false">
      <c r="A426" s="17"/>
      <c r="B426" s="18"/>
      <c r="C426" s="13" t="str">
        <f aca="false">IF(B426="","",IFERROR(INDEX(Personal!$C$5:$C$104,MATCH(B426,Personal!$B$5:$B$104,0)),""))</f>
        <v/>
      </c>
      <c r="D426" s="18"/>
      <c r="E426" s="19"/>
      <c r="F426" s="19"/>
      <c r="G426" s="20"/>
      <c r="H426" s="16" t="str">
        <f aca="false">IF(OR(E426="",F426=""),"",ROUND(MOD(F426-E426,1)*24-N(G426),2))</f>
        <v/>
      </c>
      <c r="I426" s="18"/>
      <c r="J426" s="18"/>
      <c r="K426" s="18"/>
      <c r="L426" s="16" t="str">
        <f aca="false">IF(OR(A426="",B426=""),"",SUMIFS('Registro por hora'!$H$5:$H$2004,'Registro por hora'!$A$5:$A$2004,A426,'Registro por hora'!$B$5:$B$2004,B426))</f>
        <v/>
      </c>
      <c r="M426" s="13" t="str">
        <f aca="false">IF(B426="","",IF(D426="","⚠ Falta estado",IF(AND(OR(D426="Ausente",D426="Medio día"),I426=""),"⚠ Falta motivo",IF(AND(OR(D426="Ausente",D426="Medio día"),J426=""),"⚠ Falta explicación",IF(D426="Ausente","✔ Ausencia justificada",IF(OR(E426="",F426=""),"⚠ Falta hora de entrada/salida",IF(K426="","⚠ Falta resumen del día",IF(N(L426)&lt;N(H426)-0.01,"⚠ Faltan "&amp;TEXT(N(H426)-N(L426),"0.0")&amp;" h por reportar","✔ OK"))))))))</f>
        <v/>
      </c>
    </row>
    <row r="427" customFormat="false" ht="15" hidden="false" customHeight="false" outlineLevel="0" collapsed="false">
      <c r="A427" s="17"/>
      <c r="B427" s="18"/>
      <c r="C427" s="13" t="str">
        <f aca="false">IF(B427="","",IFERROR(INDEX(Personal!$C$5:$C$104,MATCH(B427,Personal!$B$5:$B$104,0)),""))</f>
        <v/>
      </c>
      <c r="D427" s="18"/>
      <c r="E427" s="19"/>
      <c r="F427" s="19"/>
      <c r="G427" s="20"/>
      <c r="H427" s="16" t="str">
        <f aca="false">IF(OR(E427="",F427=""),"",ROUND(MOD(F427-E427,1)*24-N(G427),2))</f>
        <v/>
      </c>
      <c r="I427" s="18"/>
      <c r="J427" s="18"/>
      <c r="K427" s="18"/>
      <c r="L427" s="16" t="str">
        <f aca="false">IF(OR(A427="",B427=""),"",SUMIFS('Registro por hora'!$H$5:$H$2004,'Registro por hora'!$A$5:$A$2004,A427,'Registro por hora'!$B$5:$B$2004,B427))</f>
        <v/>
      </c>
      <c r="M427" s="13" t="str">
        <f aca="false">IF(B427="","",IF(D427="","⚠ Falta estado",IF(AND(OR(D427="Ausente",D427="Medio día"),I427=""),"⚠ Falta motivo",IF(AND(OR(D427="Ausente",D427="Medio día"),J427=""),"⚠ Falta explicación",IF(D427="Ausente","✔ Ausencia justificada",IF(OR(E427="",F427=""),"⚠ Falta hora de entrada/salida",IF(K427="","⚠ Falta resumen del día",IF(N(L427)&lt;N(H427)-0.01,"⚠ Faltan "&amp;TEXT(N(H427)-N(L427),"0.0")&amp;" h por reportar","✔ OK"))))))))</f>
        <v/>
      </c>
    </row>
    <row r="428" customFormat="false" ht="15" hidden="false" customHeight="false" outlineLevel="0" collapsed="false">
      <c r="A428" s="17"/>
      <c r="B428" s="18"/>
      <c r="C428" s="13" t="str">
        <f aca="false">IF(B428="","",IFERROR(INDEX(Personal!$C$5:$C$104,MATCH(B428,Personal!$B$5:$B$104,0)),""))</f>
        <v/>
      </c>
      <c r="D428" s="18"/>
      <c r="E428" s="19"/>
      <c r="F428" s="19"/>
      <c r="G428" s="20"/>
      <c r="H428" s="16" t="str">
        <f aca="false">IF(OR(E428="",F428=""),"",ROUND(MOD(F428-E428,1)*24-N(G428),2))</f>
        <v/>
      </c>
      <c r="I428" s="18"/>
      <c r="J428" s="18"/>
      <c r="K428" s="18"/>
      <c r="L428" s="16" t="str">
        <f aca="false">IF(OR(A428="",B428=""),"",SUMIFS('Registro por hora'!$H$5:$H$2004,'Registro por hora'!$A$5:$A$2004,A428,'Registro por hora'!$B$5:$B$2004,B428))</f>
        <v/>
      </c>
      <c r="M428" s="13" t="str">
        <f aca="false">IF(B428="","",IF(D428="","⚠ Falta estado",IF(AND(OR(D428="Ausente",D428="Medio día"),I428=""),"⚠ Falta motivo",IF(AND(OR(D428="Ausente",D428="Medio día"),J428=""),"⚠ Falta explicación",IF(D428="Ausente","✔ Ausencia justificada",IF(OR(E428="",F428=""),"⚠ Falta hora de entrada/salida",IF(K428="","⚠ Falta resumen del día",IF(N(L428)&lt;N(H428)-0.01,"⚠ Faltan "&amp;TEXT(N(H428)-N(L428),"0.0")&amp;" h por reportar","✔ OK"))))))))</f>
        <v/>
      </c>
    </row>
    <row r="429" customFormat="false" ht="15" hidden="false" customHeight="false" outlineLevel="0" collapsed="false">
      <c r="A429" s="17"/>
      <c r="B429" s="18"/>
      <c r="C429" s="13" t="str">
        <f aca="false">IF(B429="","",IFERROR(INDEX(Personal!$C$5:$C$104,MATCH(B429,Personal!$B$5:$B$104,0)),""))</f>
        <v/>
      </c>
      <c r="D429" s="18"/>
      <c r="E429" s="19"/>
      <c r="F429" s="19"/>
      <c r="G429" s="20"/>
      <c r="H429" s="16" t="str">
        <f aca="false">IF(OR(E429="",F429=""),"",ROUND(MOD(F429-E429,1)*24-N(G429),2))</f>
        <v/>
      </c>
      <c r="I429" s="18"/>
      <c r="J429" s="18"/>
      <c r="K429" s="18"/>
      <c r="L429" s="16" t="str">
        <f aca="false">IF(OR(A429="",B429=""),"",SUMIFS('Registro por hora'!$H$5:$H$2004,'Registro por hora'!$A$5:$A$2004,A429,'Registro por hora'!$B$5:$B$2004,B429))</f>
        <v/>
      </c>
      <c r="M429" s="13" t="str">
        <f aca="false">IF(B429="","",IF(D429="","⚠ Falta estado",IF(AND(OR(D429="Ausente",D429="Medio día"),I429=""),"⚠ Falta motivo",IF(AND(OR(D429="Ausente",D429="Medio día"),J429=""),"⚠ Falta explicación",IF(D429="Ausente","✔ Ausencia justificada",IF(OR(E429="",F429=""),"⚠ Falta hora de entrada/salida",IF(K429="","⚠ Falta resumen del día",IF(N(L429)&lt;N(H429)-0.01,"⚠ Faltan "&amp;TEXT(N(H429)-N(L429),"0.0")&amp;" h por reportar","✔ OK"))))))))</f>
        <v/>
      </c>
    </row>
    <row r="430" customFormat="false" ht="15" hidden="false" customHeight="false" outlineLevel="0" collapsed="false">
      <c r="A430" s="17"/>
      <c r="B430" s="18"/>
      <c r="C430" s="13" t="str">
        <f aca="false">IF(B430="","",IFERROR(INDEX(Personal!$C$5:$C$104,MATCH(B430,Personal!$B$5:$B$104,0)),""))</f>
        <v/>
      </c>
      <c r="D430" s="18"/>
      <c r="E430" s="19"/>
      <c r="F430" s="19"/>
      <c r="G430" s="20"/>
      <c r="H430" s="16" t="str">
        <f aca="false">IF(OR(E430="",F430=""),"",ROUND(MOD(F430-E430,1)*24-N(G430),2))</f>
        <v/>
      </c>
      <c r="I430" s="18"/>
      <c r="J430" s="18"/>
      <c r="K430" s="18"/>
      <c r="L430" s="16" t="str">
        <f aca="false">IF(OR(A430="",B430=""),"",SUMIFS('Registro por hora'!$H$5:$H$2004,'Registro por hora'!$A$5:$A$2004,A430,'Registro por hora'!$B$5:$B$2004,B430))</f>
        <v/>
      </c>
      <c r="M430" s="13" t="str">
        <f aca="false">IF(B430="","",IF(D430="","⚠ Falta estado",IF(AND(OR(D430="Ausente",D430="Medio día"),I430=""),"⚠ Falta motivo",IF(AND(OR(D430="Ausente",D430="Medio día"),J430=""),"⚠ Falta explicación",IF(D430="Ausente","✔ Ausencia justificada",IF(OR(E430="",F430=""),"⚠ Falta hora de entrada/salida",IF(K430="","⚠ Falta resumen del día",IF(N(L430)&lt;N(H430)-0.01,"⚠ Faltan "&amp;TEXT(N(H430)-N(L430),"0.0")&amp;" h por reportar","✔ OK"))))))))</f>
        <v/>
      </c>
    </row>
    <row r="431" customFormat="false" ht="15" hidden="false" customHeight="false" outlineLevel="0" collapsed="false">
      <c r="A431" s="17"/>
      <c r="B431" s="18"/>
      <c r="C431" s="13" t="str">
        <f aca="false">IF(B431="","",IFERROR(INDEX(Personal!$C$5:$C$104,MATCH(B431,Personal!$B$5:$B$104,0)),""))</f>
        <v/>
      </c>
      <c r="D431" s="18"/>
      <c r="E431" s="19"/>
      <c r="F431" s="19"/>
      <c r="G431" s="20"/>
      <c r="H431" s="16" t="str">
        <f aca="false">IF(OR(E431="",F431=""),"",ROUND(MOD(F431-E431,1)*24-N(G431),2))</f>
        <v/>
      </c>
      <c r="I431" s="18"/>
      <c r="J431" s="18"/>
      <c r="K431" s="18"/>
      <c r="L431" s="16" t="str">
        <f aca="false">IF(OR(A431="",B431=""),"",SUMIFS('Registro por hora'!$H$5:$H$2004,'Registro por hora'!$A$5:$A$2004,A431,'Registro por hora'!$B$5:$B$2004,B431))</f>
        <v/>
      </c>
      <c r="M431" s="13" t="str">
        <f aca="false">IF(B431="","",IF(D431="","⚠ Falta estado",IF(AND(OR(D431="Ausente",D431="Medio día"),I431=""),"⚠ Falta motivo",IF(AND(OR(D431="Ausente",D431="Medio día"),J431=""),"⚠ Falta explicación",IF(D431="Ausente","✔ Ausencia justificada",IF(OR(E431="",F431=""),"⚠ Falta hora de entrada/salida",IF(K431="","⚠ Falta resumen del día",IF(N(L431)&lt;N(H431)-0.01,"⚠ Faltan "&amp;TEXT(N(H431)-N(L431),"0.0")&amp;" h por reportar","✔ OK"))))))))</f>
        <v/>
      </c>
    </row>
    <row r="432" customFormat="false" ht="15" hidden="false" customHeight="false" outlineLevel="0" collapsed="false">
      <c r="A432" s="17"/>
      <c r="B432" s="18"/>
      <c r="C432" s="13" t="str">
        <f aca="false">IF(B432="","",IFERROR(INDEX(Personal!$C$5:$C$104,MATCH(B432,Personal!$B$5:$B$104,0)),""))</f>
        <v/>
      </c>
      <c r="D432" s="18"/>
      <c r="E432" s="19"/>
      <c r="F432" s="19"/>
      <c r="G432" s="20"/>
      <c r="H432" s="16" t="str">
        <f aca="false">IF(OR(E432="",F432=""),"",ROUND(MOD(F432-E432,1)*24-N(G432),2))</f>
        <v/>
      </c>
      <c r="I432" s="18"/>
      <c r="J432" s="18"/>
      <c r="K432" s="18"/>
      <c r="L432" s="16" t="str">
        <f aca="false">IF(OR(A432="",B432=""),"",SUMIFS('Registro por hora'!$H$5:$H$2004,'Registro por hora'!$A$5:$A$2004,A432,'Registro por hora'!$B$5:$B$2004,B432))</f>
        <v/>
      </c>
      <c r="M432" s="13" t="str">
        <f aca="false">IF(B432="","",IF(D432="","⚠ Falta estado",IF(AND(OR(D432="Ausente",D432="Medio día"),I432=""),"⚠ Falta motivo",IF(AND(OR(D432="Ausente",D432="Medio día"),J432=""),"⚠ Falta explicación",IF(D432="Ausente","✔ Ausencia justificada",IF(OR(E432="",F432=""),"⚠ Falta hora de entrada/salida",IF(K432="","⚠ Falta resumen del día",IF(N(L432)&lt;N(H432)-0.01,"⚠ Faltan "&amp;TEXT(N(H432)-N(L432),"0.0")&amp;" h por reportar","✔ OK"))))))))</f>
        <v/>
      </c>
    </row>
    <row r="433" customFormat="false" ht="15" hidden="false" customHeight="false" outlineLevel="0" collapsed="false">
      <c r="A433" s="17"/>
      <c r="B433" s="18"/>
      <c r="C433" s="13" t="str">
        <f aca="false">IF(B433="","",IFERROR(INDEX(Personal!$C$5:$C$104,MATCH(B433,Personal!$B$5:$B$104,0)),""))</f>
        <v/>
      </c>
      <c r="D433" s="18"/>
      <c r="E433" s="19"/>
      <c r="F433" s="19"/>
      <c r="G433" s="20"/>
      <c r="H433" s="16" t="str">
        <f aca="false">IF(OR(E433="",F433=""),"",ROUND(MOD(F433-E433,1)*24-N(G433),2))</f>
        <v/>
      </c>
      <c r="I433" s="18"/>
      <c r="J433" s="18"/>
      <c r="K433" s="18"/>
      <c r="L433" s="16" t="str">
        <f aca="false">IF(OR(A433="",B433=""),"",SUMIFS('Registro por hora'!$H$5:$H$2004,'Registro por hora'!$A$5:$A$2004,A433,'Registro por hora'!$B$5:$B$2004,B433))</f>
        <v/>
      </c>
      <c r="M433" s="13" t="str">
        <f aca="false">IF(B433="","",IF(D433="","⚠ Falta estado",IF(AND(OR(D433="Ausente",D433="Medio día"),I433=""),"⚠ Falta motivo",IF(AND(OR(D433="Ausente",D433="Medio día"),J433=""),"⚠ Falta explicación",IF(D433="Ausente","✔ Ausencia justificada",IF(OR(E433="",F433=""),"⚠ Falta hora de entrada/salida",IF(K433="","⚠ Falta resumen del día",IF(N(L433)&lt;N(H433)-0.01,"⚠ Faltan "&amp;TEXT(N(H433)-N(L433),"0.0")&amp;" h por reportar","✔ OK"))))))))</f>
        <v/>
      </c>
    </row>
    <row r="434" customFormat="false" ht="15" hidden="false" customHeight="false" outlineLevel="0" collapsed="false">
      <c r="A434" s="17"/>
      <c r="B434" s="18"/>
      <c r="C434" s="13" t="str">
        <f aca="false">IF(B434="","",IFERROR(INDEX(Personal!$C$5:$C$104,MATCH(B434,Personal!$B$5:$B$104,0)),""))</f>
        <v/>
      </c>
      <c r="D434" s="18"/>
      <c r="E434" s="19"/>
      <c r="F434" s="19"/>
      <c r="G434" s="20"/>
      <c r="H434" s="16" t="str">
        <f aca="false">IF(OR(E434="",F434=""),"",ROUND(MOD(F434-E434,1)*24-N(G434),2))</f>
        <v/>
      </c>
      <c r="I434" s="18"/>
      <c r="J434" s="18"/>
      <c r="K434" s="18"/>
      <c r="L434" s="16" t="str">
        <f aca="false">IF(OR(A434="",B434=""),"",SUMIFS('Registro por hora'!$H$5:$H$2004,'Registro por hora'!$A$5:$A$2004,A434,'Registro por hora'!$B$5:$B$2004,B434))</f>
        <v/>
      </c>
      <c r="M434" s="13" t="str">
        <f aca="false">IF(B434="","",IF(D434="","⚠ Falta estado",IF(AND(OR(D434="Ausente",D434="Medio día"),I434=""),"⚠ Falta motivo",IF(AND(OR(D434="Ausente",D434="Medio día"),J434=""),"⚠ Falta explicación",IF(D434="Ausente","✔ Ausencia justificada",IF(OR(E434="",F434=""),"⚠ Falta hora de entrada/salida",IF(K434="","⚠ Falta resumen del día",IF(N(L434)&lt;N(H434)-0.01,"⚠ Faltan "&amp;TEXT(N(H434)-N(L434),"0.0")&amp;" h por reportar","✔ OK"))))))))</f>
        <v/>
      </c>
    </row>
    <row r="435" customFormat="false" ht="15" hidden="false" customHeight="false" outlineLevel="0" collapsed="false">
      <c r="A435" s="17"/>
      <c r="B435" s="18"/>
      <c r="C435" s="13" t="str">
        <f aca="false">IF(B435="","",IFERROR(INDEX(Personal!$C$5:$C$104,MATCH(B435,Personal!$B$5:$B$104,0)),""))</f>
        <v/>
      </c>
      <c r="D435" s="18"/>
      <c r="E435" s="19"/>
      <c r="F435" s="19"/>
      <c r="G435" s="20"/>
      <c r="H435" s="16" t="str">
        <f aca="false">IF(OR(E435="",F435=""),"",ROUND(MOD(F435-E435,1)*24-N(G435),2))</f>
        <v/>
      </c>
      <c r="I435" s="18"/>
      <c r="J435" s="18"/>
      <c r="K435" s="18"/>
      <c r="L435" s="16" t="str">
        <f aca="false">IF(OR(A435="",B435=""),"",SUMIFS('Registro por hora'!$H$5:$H$2004,'Registro por hora'!$A$5:$A$2004,A435,'Registro por hora'!$B$5:$B$2004,B435))</f>
        <v/>
      </c>
      <c r="M435" s="13" t="str">
        <f aca="false">IF(B435="","",IF(D435="","⚠ Falta estado",IF(AND(OR(D435="Ausente",D435="Medio día"),I435=""),"⚠ Falta motivo",IF(AND(OR(D435="Ausente",D435="Medio día"),J435=""),"⚠ Falta explicación",IF(D435="Ausente","✔ Ausencia justificada",IF(OR(E435="",F435=""),"⚠ Falta hora de entrada/salida",IF(K435="","⚠ Falta resumen del día",IF(N(L435)&lt;N(H435)-0.01,"⚠ Faltan "&amp;TEXT(N(H435)-N(L435),"0.0")&amp;" h por reportar","✔ OK"))))))))</f>
        <v/>
      </c>
    </row>
    <row r="436" customFormat="false" ht="15" hidden="false" customHeight="false" outlineLevel="0" collapsed="false">
      <c r="A436" s="17"/>
      <c r="B436" s="18"/>
      <c r="C436" s="13" t="str">
        <f aca="false">IF(B436="","",IFERROR(INDEX(Personal!$C$5:$C$104,MATCH(B436,Personal!$B$5:$B$104,0)),""))</f>
        <v/>
      </c>
      <c r="D436" s="18"/>
      <c r="E436" s="19"/>
      <c r="F436" s="19"/>
      <c r="G436" s="20"/>
      <c r="H436" s="16" t="str">
        <f aca="false">IF(OR(E436="",F436=""),"",ROUND(MOD(F436-E436,1)*24-N(G436),2))</f>
        <v/>
      </c>
      <c r="I436" s="18"/>
      <c r="J436" s="18"/>
      <c r="K436" s="18"/>
      <c r="L436" s="16" t="str">
        <f aca="false">IF(OR(A436="",B436=""),"",SUMIFS('Registro por hora'!$H$5:$H$2004,'Registro por hora'!$A$5:$A$2004,A436,'Registro por hora'!$B$5:$B$2004,B436))</f>
        <v/>
      </c>
      <c r="M436" s="13" t="str">
        <f aca="false">IF(B436="","",IF(D436="","⚠ Falta estado",IF(AND(OR(D436="Ausente",D436="Medio día"),I436=""),"⚠ Falta motivo",IF(AND(OR(D436="Ausente",D436="Medio día"),J436=""),"⚠ Falta explicación",IF(D436="Ausente","✔ Ausencia justificada",IF(OR(E436="",F436=""),"⚠ Falta hora de entrada/salida",IF(K436="","⚠ Falta resumen del día",IF(N(L436)&lt;N(H436)-0.01,"⚠ Faltan "&amp;TEXT(N(H436)-N(L436),"0.0")&amp;" h por reportar","✔ OK"))))))))</f>
        <v/>
      </c>
    </row>
    <row r="437" customFormat="false" ht="15" hidden="false" customHeight="false" outlineLevel="0" collapsed="false">
      <c r="A437" s="17"/>
      <c r="B437" s="18"/>
      <c r="C437" s="13" t="str">
        <f aca="false">IF(B437="","",IFERROR(INDEX(Personal!$C$5:$C$104,MATCH(B437,Personal!$B$5:$B$104,0)),""))</f>
        <v/>
      </c>
      <c r="D437" s="18"/>
      <c r="E437" s="19"/>
      <c r="F437" s="19"/>
      <c r="G437" s="20"/>
      <c r="H437" s="16" t="str">
        <f aca="false">IF(OR(E437="",F437=""),"",ROUND(MOD(F437-E437,1)*24-N(G437),2))</f>
        <v/>
      </c>
      <c r="I437" s="18"/>
      <c r="J437" s="18"/>
      <c r="K437" s="18"/>
      <c r="L437" s="16" t="str">
        <f aca="false">IF(OR(A437="",B437=""),"",SUMIFS('Registro por hora'!$H$5:$H$2004,'Registro por hora'!$A$5:$A$2004,A437,'Registro por hora'!$B$5:$B$2004,B437))</f>
        <v/>
      </c>
      <c r="M437" s="13" t="str">
        <f aca="false">IF(B437="","",IF(D437="","⚠ Falta estado",IF(AND(OR(D437="Ausente",D437="Medio día"),I437=""),"⚠ Falta motivo",IF(AND(OR(D437="Ausente",D437="Medio día"),J437=""),"⚠ Falta explicación",IF(D437="Ausente","✔ Ausencia justificada",IF(OR(E437="",F437=""),"⚠ Falta hora de entrada/salida",IF(K437="","⚠ Falta resumen del día",IF(N(L437)&lt;N(H437)-0.01,"⚠ Faltan "&amp;TEXT(N(H437)-N(L437),"0.0")&amp;" h por reportar","✔ OK"))))))))</f>
        <v/>
      </c>
    </row>
    <row r="438" customFormat="false" ht="15" hidden="false" customHeight="false" outlineLevel="0" collapsed="false">
      <c r="A438" s="17"/>
      <c r="B438" s="18"/>
      <c r="C438" s="13" t="str">
        <f aca="false">IF(B438="","",IFERROR(INDEX(Personal!$C$5:$C$104,MATCH(B438,Personal!$B$5:$B$104,0)),""))</f>
        <v/>
      </c>
      <c r="D438" s="18"/>
      <c r="E438" s="19"/>
      <c r="F438" s="19"/>
      <c r="G438" s="20"/>
      <c r="H438" s="16" t="str">
        <f aca="false">IF(OR(E438="",F438=""),"",ROUND(MOD(F438-E438,1)*24-N(G438),2))</f>
        <v/>
      </c>
      <c r="I438" s="18"/>
      <c r="J438" s="18"/>
      <c r="K438" s="18"/>
      <c r="L438" s="16" t="str">
        <f aca="false">IF(OR(A438="",B438=""),"",SUMIFS('Registro por hora'!$H$5:$H$2004,'Registro por hora'!$A$5:$A$2004,A438,'Registro por hora'!$B$5:$B$2004,B438))</f>
        <v/>
      </c>
      <c r="M438" s="13" t="str">
        <f aca="false">IF(B438="","",IF(D438="","⚠ Falta estado",IF(AND(OR(D438="Ausente",D438="Medio día"),I438=""),"⚠ Falta motivo",IF(AND(OR(D438="Ausente",D438="Medio día"),J438=""),"⚠ Falta explicación",IF(D438="Ausente","✔ Ausencia justificada",IF(OR(E438="",F438=""),"⚠ Falta hora de entrada/salida",IF(K438="","⚠ Falta resumen del día",IF(N(L438)&lt;N(H438)-0.01,"⚠ Faltan "&amp;TEXT(N(H438)-N(L438),"0.0")&amp;" h por reportar","✔ OK"))))))))</f>
        <v/>
      </c>
    </row>
    <row r="439" customFormat="false" ht="15" hidden="false" customHeight="false" outlineLevel="0" collapsed="false">
      <c r="A439" s="17"/>
      <c r="B439" s="18"/>
      <c r="C439" s="13" t="str">
        <f aca="false">IF(B439="","",IFERROR(INDEX(Personal!$C$5:$C$104,MATCH(B439,Personal!$B$5:$B$104,0)),""))</f>
        <v/>
      </c>
      <c r="D439" s="18"/>
      <c r="E439" s="19"/>
      <c r="F439" s="19"/>
      <c r="G439" s="20"/>
      <c r="H439" s="16" t="str">
        <f aca="false">IF(OR(E439="",F439=""),"",ROUND(MOD(F439-E439,1)*24-N(G439),2))</f>
        <v/>
      </c>
      <c r="I439" s="18"/>
      <c r="J439" s="18"/>
      <c r="K439" s="18"/>
      <c r="L439" s="16" t="str">
        <f aca="false">IF(OR(A439="",B439=""),"",SUMIFS('Registro por hora'!$H$5:$H$2004,'Registro por hora'!$A$5:$A$2004,A439,'Registro por hora'!$B$5:$B$2004,B439))</f>
        <v/>
      </c>
      <c r="M439" s="13" t="str">
        <f aca="false">IF(B439="","",IF(D439="","⚠ Falta estado",IF(AND(OR(D439="Ausente",D439="Medio día"),I439=""),"⚠ Falta motivo",IF(AND(OR(D439="Ausente",D439="Medio día"),J439=""),"⚠ Falta explicación",IF(D439="Ausente","✔ Ausencia justificada",IF(OR(E439="",F439=""),"⚠ Falta hora de entrada/salida",IF(K439="","⚠ Falta resumen del día",IF(N(L439)&lt;N(H439)-0.01,"⚠ Faltan "&amp;TEXT(N(H439)-N(L439),"0.0")&amp;" h por reportar","✔ OK"))))))))</f>
        <v/>
      </c>
    </row>
    <row r="440" customFormat="false" ht="15" hidden="false" customHeight="false" outlineLevel="0" collapsed="false">
      <c r="A440" s="17"/>
      <c r="B440" s="18"/>
      <c r="C440" s="13" t="str">
        <f aca="false">IF(B440="","",IFERROR(INDEX(Personal!$C$5:$C$104,MATCH(B440,Personal!$B$5:$B$104,0)),""))</f>
        <v/>
      </c>
      <c r="D440" s="18"/>
      <c r="E440" s="19"/>
      <c r="F440" s="19"/>
      <c r="G440" s="20"/>
      <c r="H440" s="16" t="str">
        <f aca="false">IF(OR(E440="",F440=""),"",ROUND(MOD(F440-E440,1)*24-N(G440),2))</f>
        <v/>
      </c>
      <c r="I440" s="18"/>
      <c r="J440" s="18"/>
      <c r="K440" s="18"/>
      <c r="L440" s="16" t="str">
        <f aca="false">IF(OR(A440="",B440=""),"",SUMIFS('Registro por hora'!$H$5:$H$2004,'Registro por hora'!$A$5:$A$2004,A440,'Registro por hora'!$B$5:$B$2004,B440))</f>
        <v/>
      </c>
      <c r="M440" s="13" t="str">
        <f aca="false">IF(B440="","",IF(D440="","⚠ Falta estado",IF(AND(OR(D440="Ausente",D440="Medio día"),I440=""),"⚠ Falta motivo",IF(AND(OR(D440="Ausente",D440="Medio día"),J440=""),"⚠ Falta explicación",IF(D440="Ausente","✔ Ausencia justificada",IF(OR(E440="",F440=""),"⚠ Falta hora de entrada/salida",IF(K440="","⚠ Falta resumen del día",IF(N(L440)&lt;N(H440)-0.01,"⚠ Faltan "&amp;TEXT(N(H440)-N(L440),"0.0")&amp;" h por reportar","✔ OK"))))))))</f>
        <v/>
      </c>
    </row>
    <row r="441" customFormat="false" ht="15" hidden="false" customHeight="false" outlineLevel="0" collapsed="false">
      <c r="A441" s="17"/>
      <c r="B441" s="18"/>
      <c r="C441" s="13" t="str">
        <f aca="false">IF(B441="","",IFERROR(INDEX(Personal!$C$5:$C$104,MATCH(B441,Personal!$B$5:$B$104,0)),""))</f>
        <v/>
      </c>
      <c r="D441" s="18"/>
      <c r="E441" s="19"/>
      <c r="F441" s="19"/>
      <c r="G441" s="20"/>
      <c r="H441" s="16" t="str">
        <f aca="false">IF(OR(E441="",F441=""),"",ROUND(MOD(F441-E441,1)*24-N(G441),2))</f>
        <v/>
      </c>
      <c r="I441" s="18"/>
      <c r="J441" s="18"/>
      <c r="K441" s="18"/>
      <c r="L441" s="16" t="str">
        <f aca="false">IF(OR(A441="",B441=""),"",SUMIFS('Registro por hora'!$H$5:$H$2004,'Registro por hora'!$A$5:$A$2004,A441,'Registro por hora'!$B$5:$B$2004,B441))</f>
        <v/>
      </c>
      <c r="M441" s="13" t="str">
        <f aca="false">IF(B441="","",IF(D441="","⚠ Falta estado",IF(AND(OR(D441="Ausente",D441="Medio día"),I441=""),"⚠ Falta motivo",IF(AND(OR(D441="Ausente",D441="Medio día"),J441=""),"⚠ Falta explicación",IF(D441="Ausente","✔ Ausencia justificada",IF(OR(E441="",F441=""),"⚠ Falta hora de entrada/salida",IF(K441="","⚠ Falta resumen del día",IF(N(L441)&lt;N(H441)-0.01,"⚠ Faltan "&amp;TEXT(N(H441)-N(L441),"0.0")&amp;" h por reportar","✔ OK"))))))))</f>
        <v/>
      </c>
    </row>
    <row r="442" customFormat="false" ht="15" hidden="false" customHeight="false" outlineLevel="0" collapsed="false">
      <c r="A442" s="17"/>
      <c r="B442" s="18"/>
      <c r="C442" s="13" t="str">
        <f aca="false">IF(B442="","",IFERROR(INDEX(Personal!$C$5:$C$104,MATCH(B442,Personal!$B$5:$B$104,0)),""))</f>
        <v/>
      </c>
      <c r="D442" s="18"/>
      <c r="E442" s="19"/>
      <c r="F442" s="19"/>
      <c r="G442" s="20"/>
      <c r="H442" s="16" t="str">
        <f aca="false">IF(OR(E442="",F442=""),"",ROUND(MOD(F442-E442,1)*24-N(G442),2))</f>
        <v/>
      </c>
      <c r="I442" s="18"/>
      <c r="J442" s="18"/>
      <c r="K442" s="18"/>
      <c r="L442" s="16" t="str">
        <f aca="false">IF(OR(A442="",B442=""),"",SUMIFS('Registro por hora'!$H$5:$H$2004,'Registro por hora'!$A$5:$A$2004,A442,'Registro por hora'!$B$5:$B$2004,B442))</f>
        <v/>
      </c>
      <c r="M442" s="13" t="str">
        <f aca="false">IF(B442="","",IF(D442="","⚠ Falta estado",IF(AND(OR(D442="Ausente",D442="Medio día"),I442=""),"⚠ Falta motivo",IF(AND(OR(D442="Ausente",D442="Medio día"),J442=""),"⚠ Falta explicación",IF(D442="Ausente","✔ Ausencia justificada",IF(OR(E442="",F442=""),"⚠ Falta hora de entrada/salida",IF(K442="","⚠ Falta resumen del día",IF(N(L442)&lt;N(H442)-0.01,"⚠ Faltan "&amp;TEXT(N(H442)-N(L442),"0.0")&amp;" h por reportar","✔ OK"))))))))</f>
        <v/>
      </c>
    </row>
    <row r="443" customFormat="false" ht="15" hidden="false" customHeight="false" outlineLevel="0" collapsed="false">
      <c r="A443" s="17"/>
      <c r="B443" s="18"/>
      <c r="C443" s="13" t="str">
        <f aca="false">IF(B443="","",IFERROR(INDEX(Personal!$C$5:$C$104,MATCH(B443,Personal!$B$5:$B$104,0)),""))</f>
        <v/>
      </c>
      <c r="D443" s="18"/>
      <c r="E443" s="19"/>
      <c r="F443" s="19"/>
      <c r="G443" s="20"/>
      <c r="H443" s="16" t="str">
        <f aca="false">IF(OR(E443="",F443=""),"",ROUND(MOD(F443-E443,1)*24-N(G443),2))</f>
        <v/>
      </c>
      <c r="I443" s="18"/>
      <c r="J443" s="18"/>
      <c r="K443" s="18"/>
      <c r="L443" s="16" t="str">
        <f aca="false">IF(OR(A443="",B443=""),"",SUMIFS('Registro por hora'!$H$5:$H$2004,'Registro por hora'!$A$5:$A$2004,A443,'Registro por hora'!$B$5:$B$2004,B443))</f>
        <v/>
      </c>
      <c r="M443" s="13" t="str">
        <f aca="false">IF(B443="","",IF(D443="","⚠ Falta estado",IF(AND(OR(D443="Ausente",D443="Medio día"),I443=""),"⚠ Falta motivo",IF(AND(OR(D443="Ausente",D443="Medio día"),J443=""),"⚠ Falta explicación",IF(D443="Ausente","✔ Ausencia justificada",IF(OR(E443="",F443=""),"⚠ Falta hora de entrada/salida",IF(K443="","⚠ Falta resumen del día",IF(N(L443)&lt;N(H443)-0.01,"⚠ Faltan "&amp;TEXT(N(H443)-N(L443),"0.0")&amp;" h por reportar","✔ OK"))))))))</f>
        <v/>
      </c>
    </row>
    <row r="444" customFormat="false" ht="15" hidden="false" customHeight="false" outlineLevel="0" collapsed="false">
      <c r="A444" s="17"/>
      <c r="B444" s="18"/>
      <c r="C444" s="13" t="str">
        <f aca="false">IF(B444="","",IFERROR(INDEX(Personal!$C$5:$C$104,MATCH(B444,Personal!$B$5:$B$104,0)),""))</f>
        <v/>
      </c>
      <c r="D444" s="18"/>
      <c r="E444" s="19"/>
      <c r="F444" s="19"/>
      <c r="G444" s="20"/>
      <c r="H444" s="16" t="str">
        <f aca="false">IF(OR(E444="",F444=""),"",ROUND(MOD(F444-E444,1)*24-N(G444),2))</f>
        <v/>
      </c>
      <c r="I444" s="18"/>
      <c r="J444" s="18"/>
      <c r="K444" s="18"/>
      <c r="L444" s="16" t="str">
        <f aca="false">IF(OR(A444="",B444=""),"",SUMIFS('Registro por hora'!$H$5:$H$2004,'Registro por hora'!$A$5:$A$2004,A444,'Registro por hora'!$B$5:$B$2004,B444))</f>
        <v/>
      </c>
      <c r="M444" s="13" t="str">
        <f aca="false">IF(B444="","",IF(D444="","⚠ Falta estado",IF(AND(OR(D444="Ausente",D444="Medio día"),I444=""),"⚠ Falta motivo",IF(AND(OR(D444="Ausente",D444="Medio día"),J444=""),"⚠ Falta explicación",IF(D444="Ausente","✔ Ausencia justificada",IF(OR(E444="",F444=""),"⚠ Falta hora de entrada/salida",IF(K444="","⚠ Falta resumen del día",IF(N(L444)&lt;N(H444)-0.01,"⚠ Faltan "&amp;TEXT(N(H444)-N(L444),"0.0")&amp;" h por reportar","✔ OK"))))))))</f>
        <v/>
      </c>
    </row>
    <row r="445" customFormat="false" ht="15" hidden="false" customHeight="false" outlineLevel="0" collapsed="false">
      <c r="A445" s="17"/>
      <c r="B445" s="18"/>
      <c r="C445" s="13" t="str">
        <f aca="false">IF(B445="","",IFERROR(INDEX(Personal!$C$5:$C$104,MATCH(B445,Personal!$B$5:$B$104,0)),""))</f>
        <v/>
      </c>
      <c r="D445" s="18"/>
      <c r="E445" s="19"/>
      <c r="F445" s="19"/>
      <c r="G445" s="20"/>
      <c r="H445" s="16" t="str">
        <f aca="false">IF(OR(E445="",F445=""),"",ROUND(MOD(F445-E445,1)*24-N(G445),2))</f>
        <v/>
      </c>
      <c r="I445" s="18"/>
      <c r="J445" s="18"/>
      <c r="K445" s="18"/>
      <c r="L445" s="16" t="str">
        <f aca="false">IF(OR(A445="",B445=""),"",SUMIFS('Registro por hora'!$H$5:$H$2004,'Registro por hora'!$A$5:$A$2004,A445,'Registro por hora'!$B$5:$B$2004,B445))</f>
        <v/>
      </c>
      <c r="M445" s="13" t="str">
        <f aca="false">IF(B445="","",IF(D445="","⚠ Falta estado",IF(AND(OR(D445="Ausente",D445="Medio día"),I445=""),"⚠ Falta motivo",IF(AND(OR(D445="Ausente",D445="Medio día"),J445=""),"⚠ Falta explicación",IF(D445="Ausente","✔ Ausencia justificada",IF(OR(E445="",F445=""),"⚠ Falta hora de entrada/salida",IF(K445="","⚠ Falta resumen del día",IF(N(L445)&lt;N(H445)-0.01,"⚠ Faltan "&amp;TEXT(N(H445)-N(L445),"0.0")&amp;" h por reportar","✔ OK"))))))))</f>
        <v/>
      </c>
    </row>
    <row r="446" customFormat="false" ht="15" hidden="false" customHeight="false" outlineLevel="0" collapsed="false">
      <c r="A446" s="17"/>
      <c r="B446" s="18"/>
      <c r="C446" s="13" t="str">
        <f aca="false">IF(B446="","",IFERROR(INDEX(Personal!$C$5:$C$104,MATCH(B446,Personal!$B$5:$B$104,0)),""))</f>
        <v/>
      </c>
      <c r="D446" s="18"/>
      <c r="E446" s="19"/>
      <c r="F446" s="19"/>
      <c r="G446" s="20"/>
      <c r="H446" s="16" t="str">
        <f aca="false">IF(OR(E446="",F446=""),"",ROUND(MOD(F446-E446,1)*24-N(G446),2))</f>
        <v/>
      </c>
      <c r="I446" s="18"/>
      <c r="J446" s="18"/>
      <c r="K446" s="18"/>
      <c r="L446" s="16" t="str">
        <f aca="false">IF(OR(A446="",B446=""),"",SUMIFS('Registro por hora'!$H$5:$H$2004,'Registro por hora'!$A$5:$A$2004,A446,'Registro por hora'!$B$5:$B$2004,B446))</f>
        <v/>
      </c>
      <c r="M446" s="13" t="str">
        <f aca="false">IF(B446="","",IF(D446="","⚠ Falta estado",IF(AND(OR(D446="Ausente",D446="Medio día"),I446=""),"⚠ Falta motivo",IF(AND(OR(D446="Ausente",D446="Medio día"),J446=""),"⚠ Falta explicación",IF(D446="Ausente","✔ Ausencia justificada",IF(OR(E446="",F446=""),"⚠ Falta hora de entrada/salida",IF(K446="","⚠ Falta resumen del día",IF(N(L446)&lt;N(H446)-0.01,"⚠ Faltan "&amp;TEXT(N(H446)-N(L446),"0.0")&amp;" h por reportar","✔ OK"))))))))</f>
        <v/>
      </c>
    </row>
    <row r="447" customFormat="false" ht="15" hidden="false" customHeight="false" outlineLevel="0" collapsed="false">
      <c r="A447" s="17"/>
      <c r="B447" s="18"/>
      <c r="C447" s="13" t="str">
        <f aca="false">IF(B447="","",IFERROR(INDEX(Personal!$C$5:$C$104,MATCH(B447,Personal!$B$5:$B$104,0)),""))</f>
        <v/>
      </c>
      <c r="D447" s="18"/>
      <c r="E447" s="19"/>
      <c r="F447" s="19"/>
      <c r="G447" s="20"/>
      <c r="H447" s="16" t="str">
        <f aca="false">IF(OR(E447="",F447=""),"",ROUND(MOD(F447-E447,1)*24-N(G447),2))</f>
        <v/>
      </c>
      <c r="I447" s="18"/>
      <c r="J447" s="18"/>
      <c r="K447" s="18"/>
      <c r="L447" s="16" t="str">
        <f aca="false">IF(OR(A447="",B447=""),"",SUMIFS('Registro por hora'!$H$5:$H$2004,'Registro por hora'!$A$5:$A$2004,A447,'Registro por hora'!$B$5:$B$2004,B447))</f>
        <v/>
      </c>
      <c r="M447" s="13" t="str">
        <f aca="false">IF(B447="","",IF(D447="","⚠ Falta estado",IF(AND(OR(D447="Ausente",D447="Medio día"),I447=""),"⚠ Falta motivo",IF(AND(OR(D447="Ausente",D447="Medio día"),J447=""),"⚠ Falta explicación",IF(D447="Ausente","✔ Ausencia justificada",IF(OR(E447="",F447=""),"⚠ Falta hora de entrada/salida",IF(K447="","⚠ Falta resumen del día",IF(N(L447)&lt;N(H447)-0.01,"⚠ Faltan "&amp;TEXT(N(H447)-N(L447),"0.0")&amp;" h por reportar","✔ OK"))))))))</f>
        <v/>
      </c>
    </row>
    <row r="448" customFormat="false" ht="15" hidden="false" customHeight="false" outlineLevel="0" collapsed="false">
      <c r="A448" s="17"/>
      <c r="B448" s="18"/>
      <c r="C448" s="13" t="str">
        <f aca="false">IF(B448="","",IFERROR(INDEX(Personal!$C$5:$C$104,MATCH(B448,Personal!$B$5:$B$104,0)),""))</f>
        <v/>
      </c>
      <c r="D448" s="18"/>
      <c r="E448" s="19"/>
      <c r="F448" s="19"/>
      <c r="G448" s="20"/>
      <c r="H448" s="16" t="str">
        <f aca="false">IF(OR(E448="",F448=""),"",ROUND(MOD(F448-E448,1)*24-N(G448),2))</f>
        <v/>
      </c>
      <c r="I448" s="18"/>
      <c r="J448" s="18"/>
      <c r="K448" s="18"/>
      <c r="L448" s="16" t="str">
        <f aca="false">IF(OR(A448="",B448=""),"",SUMIFS('Registro por hora'!$H$5:$H$2004,'Registro por hora'!$A$5:$A$2004,A448,'Registro por hora'!$B$5:$B$2004,B448))</f>
        <v/>
      </c>
      <c r="M448" s="13" t="str">
        <f aca="false">IF(B448="","",IF(D448="","⚠ Falta estado",IF(AND(OR(D448="Ausente",D448="Medio día"),I448=""),"⚠ Falta motivo",IF(AND(OR(D448="Ausente",D448="Medio día"),J448=""),"⚠ Falta explicación",IF(D448="Ausente","✔ Ausencia justificada",IF(OR(E448="",F448=""),"⚠ Falta hora de entrada/salida",IF(K448="","⚠ Falta resumen del día",IF(N(L448)&lt;N(H448)-0.01,"⚠ Faltan "&amp;TEXT(N(H448)-N(L448),"0.0")&amp;" h por reportar","✔ OK"))))))))</f>
        <v/>
      </c>
    </row>
    <row r="449" customFormat="false" ht="15" hidden="false" customHeight="false" outlineLevel="0" collapsed="false">
      <c r="A449" s="17"/>
      <c r="B449" s="18"/>
      <c r="C449" s="13" t="str">
        <f aca="false">IF(B449="","",IFERROR(INDEX(Personal!$C$5:$C$104,MATCH(B449,Personal!$B$5:$B$104,0)),""))</f>
        <v/>
      </c>
      <c r="D449" s="18"/>
      <c r="E449" s="19"/>
      <c r="F449" s="19"/>
      <c r="G449" s="20"/>
      <c r="H449" s="16" t="str">
        <f aca="false">IF(OR(E449="",F449=""),"",ROUND(MOD(F449-E449,1)*24-N(G449),2))</f>
        <v/>
      </c>
      <c r="I449" s="18"/>
      <c r="J449" s="18"/>
      <c r="K449" s="18"/>
      <c r="L449" s="16" t="str">
        <f aca="false">IF(OR(A449="",B449=""),"",SUMIFS('Registro por hora'!$H$5:$H$2004,'Registro por hora'!$A$5:$A$2004,A449,'Registro por hora'!$B$5:$B$2004,B449))</f>
        <v/>
      </c>
      <c r="M449" s="13" t="str">
        <f aca="false">IF(B449="","",IF(D449="","⚠ Falta estado",IF(AND(OR(D449="Ausente",D449="Medio día"),I449=""),"⚠ Falta motivo",IF(AND(OR(D449="Ausente",D449="Medio día"),J449=""),"⚠ Falta explicación",IF(D449="Ausente","✔ Ausencia justificada",IF(OR(E449="",F449=""),"⚠ Falta hora de entrada/salida",IF(K449="","⚠ Falta resumen del día",IF(N(L449)&lt;N(H449)-0.01,"⚠ Faltan "&amp;TEXT(N(H449)-N(L449),"0.0")&amp;" h por reportar","✔ OK"))))))))</f>
        <v/>
      </c>
    </row>
    <row r="450" customFormat="false" ht="15" hidden="false" customHeight="false" outlineLevel="0" collapsed="false">
      <c r="A450" s="17"/>
      <c r="B450" s="18"/>
      <c r="C450" s="13" t="str">
        <f aca="false">IF(B450="","",IFERROR(INDEX(Personal!$C$5:$C$104,MATCH(B450,Personal!$B$5:$B$104,0)),""))</f>
        <v/>
      </c>
      <c r="D450" s="18"/>
      <c r="E450" s="19"/>
      <c r="F450" s="19"/>
      <c r="G450" s="20"/>
      <c r="H450" s="16" t="str">
        <f aca="false">IF(OR(E450="",F450=""),"",ROUND(MOD(F450-E450,1)*24-N(G450),2))</f>
        <v/>
      </c>
      <c r="I450" s="18"/>
      <c r="J450" s="18"/>
      <c r="K450" s="18"/>
      <c r="L450" s="16" t="str">
        <f aca="false">IF(OR(A450="",B450=""),"",SUMIFS('Registro por hora'!$H$5:$H$2004,'Registro por hora'!$A$5:$A$2004,A450,'Registro por hora'!$B$5:$B$2004,B450))</f>
        <v/>
      </c>
      <c r="M450" s="13" t="str">
        <f aca="false">IF(B450="","",IF(D450="","⚠ Falta estado",IF(AND(OR(D450="Ausente",D450="Medio día"),I450=""),"⚠ Falta motivo",IF(AND(OR(D450="Ausente",D450="Medio día"),J450=""),"⚠ Falta explicación",IF(D450="Ausente","✔ Ausencia justificada",IF(OR(E450="",F450=""),"⚠ Falta hora de entrada/salida",IF(K450="","⚠ Falta resumen del día",IF(N(L450)&lt;N(H450)-0.01,"⚠ Faltan "&amp;TEXT(N(H450)-N(L450),"0.0")&amp;" h por reportar","✔ OK"))))))))</f>
        <v/>
      </c>
    </row>
    <row r="451" customFormat="false" ht="15" hidden="false" customHeight="false" outlineLevel="0" collapsed="false">
      <c r="A451" s="17"/>
      <c r="B451" s="18"/>
      <c r="C451" s="13" t="str">
        <f aca="false">IF(B451="","",IFERROR(INDEX(Personal!$C$5:$C$104,MATCH(B451,Personal!$B$5:$B$104,0)),""))</f>
        <v/>
      </c>
      <c r="D451" s="18"/>
      <c r="E451" s="19"/>
      <c r="F451" s="19"/>
      <c r="G451" s="20"/>
      <c r="H451" s="16" t="str">
        <f aca="false">IF(OR(E451="",F451=""),"",ROUND(MOD(F451-E451,1)*24-N(G451),2))</f>
        <v/>
      </c>
      <c r="I451" s="18"/>
      <c r="J451" s="18"/>
      <c r="K451" s="18"/>
      <c r="L451" s="16" t="str">
        <f aca="false">IF(OR(A451="",B451=""),"",SUMIFS('Registro por hora'!$H$5:$H$2004,'Registro por hora'!$A$5:$A$2004,A451,'Registro por hora'!$B$5:$B$2004,B451))</f>
        <v/>
      </c>
      <c r="M451" s="13" t="str">
        <f aca="false">IF(B451="","",IF(D451="","⚠ Falta estado",IF(AND(OR(D451="Ausente",D451="Medio día"),I451=""),"⚠ Falta motivo",IF(AND(OR(D451="Ausente",D451="Medio día"),J451=""),"⚠ Falta explicación",IF(D451="Ausente","✔ Ausencia justificada",IF(OR(E451="",F451=""),"⚠ Falta hora de entrada/salida",IF(K451="","⚠ Falta resumen del día",IF(N(L451)&lt;N(H451)-0.01,"⚠ Faltan "&amp;TEXT(N(H451)-N(L451),"0.0")&amp;" h por reportar","✔ OK"))))))))</f>
        <v/>
      </c>
    </row>
    <row r="452" customFormat="false" ht="15" hidden="false" customHeight="false" outlineLevel="0" collapsed="false">
      <c r="A452" s="17"/>
      <c r="B452" s="18"/>
      <c r="C452" s="13" t="str">
        <f aca="false">IF(B452="","",IFERROR(INDEX(Personal!$C$5:$C$104,MATCH(B452,Personal!$B$5:$B$104,0)),""))</f>
        <v/>
      </c>
      <c r="D452" s="18"/>
      <c r="E452" s="19"/>
      <c r="F452" s="19"/>
      <c r="G452" s="20"/>
      <c r="H452" s="16" t="str">
        <f aca="false">IF(OR(E452="",F452=""),"",ROUND(MOD(F452-E452,1)*24-N(G452),2))</f>
        <v/>
      </c>
      <c r="I452" s="18"/>
      <c r="J452" s="18"/>
      <c r="K452" s="18"/>
      <c r="L452" s="16" t="str">
        <f aca="false">IF(OR(A452="",B452=""),"",SUMIFS('Registro por hora'!$H$5:$H$2004,'Registro por hora'!$A$5:$A$2004,A452,'Registro por hora'!$B$5:$B$2004,B452))</f>
        <v/>
      </c>
      <c r="M452" s="13" t="str">
        <f aca="false">IF(B452="","",IF(D452="","⚠ Falta estado",IF(AND(OR(D452="Ausente",D452="Medio día"),I452=""),"⚠ Falta motivo",IF(AND(OR(D452="Ausente",D452="Medio día"),J452=""),"⚠ Falta explicación",IF(D452="Ausente","✔ Ausencia justificada",IF(OR(E452="",F452=""),"⚠ Falta hora de entrada/salida",IF(K452="","⚠ Falta resumen del día",IF(N(L452)&lt;N(H452)-0.01,"⚠ Faltan "&amp;TEXT(N(H452)-N(L452),"0.0")&amp;" h por reportar","✔ OK"))))))))</f>
        <v/>
      </c>
    </row>
    <row r="453" customFormat="false" ht="15" hidden="false" customHeight="false" outlineLevel="0" collapsed="false">
      <c r="A453" s="17"/>
      <c r="B453" s="18"/>
      <c r="C453" s="13" t="str">
        <f aca="false">IF(B453="","",IFERROR(INDEX(Personal!$C$5:$C$104,MATCH(B453,Personal!$B$5:$B$104,0)),""))</f>
        <v/>
      </c>
      <c r="D453" s="18"/>
      <c r="E453" s="19"/>
      <c r="F453" s="19"/>
      <c r="G453" s="20"/>
      <c r="H453" s="16" t="str">
        <f aca="false">IF(OR(E453="",F453=""),"",ROUND(MOD(F453-E453,1)*24-N(G453),2))</f>
        <v/>
      </c>
      <c r="I453" s="18"/>
      <c r="J453" s="18"/>
      <c r="K453" s="18"/>
      <c r="L453" s="16" t="str">
        <f aca="false">IF(OR(A453="",B453=""),"",SUMIFS('Registro por hora'!$H$5:$H$2004,'Registro por hora'!$A$5:$A$2004,A453,'Registro por hora'!$B$5:$B$2004,B453))</f>
        <v/>
      </c>
      <c r="M453" s="13" t="str">
        <f aca="false">IF(B453="","",IF(D453="","⚠ Falta estado",IF(AND(OR(D453="Ausente",D453="Medio día"),I453=""),"⚠ Falta motivo",IF(AND(OR(D453="Ausente",D453="Medio día"),J453=""),"⚠ Falta explicación",IF(D453="Ausente","✔ Ausencia justificada",IF(OR(E453="",F453=""),"⚠ Falta hora de entrada/salida",IF(K453="","⚠ Falta resumen del día",IF(N(L453)&lt;N(H453)-0.01,"⚠ Faltan "&amp;TEXT(N(H453)-N(L453),"0.0")&amp;" h por reportar","✔ OK"))))))))</f>
        <v/>
      </c>
    </row>
    <row r="454" customFormat="false" ht="15" hidden="false" customHeight="false" outlineLevel="0" collapsed="false">
      <c r="A454" s="17"/>
      <c r="B454" s="18"/>
      <c r="C454" s="13" t="str">
        <f aca="false">IF(B454="","",IFERROR(INDEX(Personal!$C$5:$C$104,MATCH(B454,Personal!$B$5:$B$104,0)),""))</f>
        <v/>
      </c>
      <c r="D454" s="18"/>
      <c r="E454" s="19"/>
      <c r="F454" s="19"/>
      <c r="G454" s="20"/>
      <c r="H454" s="16" t="str">
        <f aca="false">IF(OR(E454="",F454=""),"",ROUND(MOD(F454-E454,1)*24-N(G454),2))</f>
        <v/>
      </c>
      <c r="I454" s="18"/>
      <c r="J454" s="18"/>
      <c r="K454" s="18"/>
      <c r="L454" s="16" t="str">
        <f aca="false">IF(OR(A454="",B454=""),"",SUMIFS('Registro por hora'!$H$5:$H$2004,'Registro por hora'!$A$5:$A$2004,A454,'Registro por hora'!$B$5:$B$2004,B454))</f>
        <v/>
      </c>
      <c r="M454" s="13" t="str">
        <f aca="false">IF(B454="","",IF(D454="","⚠ Falta estado",IF(AND(OR(D454="Ausente",D454="Medio día"),I454=""),"⚠ Falta motivo",IF(AND(OR(D454="Ausente",D454="Medio día"),J454=""),"⚠ Falta explicación",IF(D454="Ausente","✔ Ausencia justificada",IF(OR(E454="",F454=""),"⚠ Falta hora de entrada/salida",IF(K454="","⚠ Falta resumen del día",IF(N(L454)&lt;N(H454)-0.01,"⚠ Faltan "&amp;TEXT(N(H454)-N(L454),"0.0")&amp;" h por reportar","✔ OK"))))))))</f>
        <v/>
      </c>
    </row>
    <row r="455" customFormat="false" ht="15" hidden="false" customHeight="false" outlineLevel="0" collapsed="false">
      <c r="A455" s="17"/>
      <c r="B455" s="18"/>
      <c r="C455" s="13" t="str">
        <f aca="false">IF(B455="","",IFERROR(INDEX(Personal!$C$5:$C$104,MATCH(B455,Personal!$B$5:$B$104,0)),""))</f>
        <v/>
      </c>
      <c r="D455" s="18"/>
      <c r="E455" s="19"/>
      <c r="F455" s="19"/>
      <c r="G455" s="20"/>
      <c r="H455" s="16" t="str">
        <f aca="false">IF(OR(E455="",F455=""),"",ROUND(MOD(F455-E455,1)*24-N(G455),2))</f>
        <v/>
      </c>
      <c r="I455" s="18"/>
      <c r="J455" s="18"/>
      <c r="K455" s="18"/>
      <c r="L455" s="16" t="str">
        <f aca="false">IF(OR(A455="",B455=""),"",SUMIFS('Registro por hora'!$H$5:$H$2004,'Registro por hora'!$A$5:$A$2004,A455,'Registro por hora'!$B$5:$B$2004,B455))</f>
        <v/>
      </c>
      <c r="M455" s="13" t="str">
        <f aca="false">IF(B455="","",IF(D455="","⚠ Falta estado",IF(AND(OR(D455="Ausente",D455="Medio día"),I455=""),"⚠ Falta motivo",IF(AND(OR(D455="Ausente",D455="Medio día"),J455=""),"⚠ Falta explicación",IF(D455="Ausente","✔ Ausencia justificada",IF(OR(E455="",F455=""),"⚠ Falta hora de entrada/salida",IF(K455="","⚠ Falta resumen del día",IF(N(L455)&lt;N(H455)-0.01,"⚠ Faltan "&amp;TEXT(N(H455)-N(L455),"0.0")&amp;" h por reportar","✔ OK"))))))))</f>
        <v/>
      </c>
    </row>
    <row r="456" customFormat="false" ht="15" hidden="false" customHeight="false" outlineLevel="0" collapsed="false">
      <c r="A456" s="17"/>
      <c r="B456" s="18"/>
      <c r="C456" s="13" t="str">
        <f aca="false">IF(B456="","",IFERROR(INDEX(Personal!$C$5:$C$104,MATCH(B456,Personal!$B$5:$B$104,0)),""))</f>
        <v/>
      </c>
      <c r="D456" s="18"/>
      <c r="E456" s="19"/>
      <c r="F456" s="19"/>
      <c r="G456" s="20"/>
      <c r="H456" s="16" t="str">
        <f aca="false">IF(OR(E456="",F456=""),"",ROUND(MOD(F456-E456,1)*24-N(G456),2))</f>
        <v/>
      </c>
      <c r="I456" s="18"/>
      <c r="J456" s="18"/>
      <c r="K456" s="18"/>
      <c r="L456" s="16" t="str">
        <f aca="false">IF(OR(A456="",B456=""),"",SUMIFS('Registro por hora'!$H$5:$H$2004,'Registro por hora'!$A$5:$A$2004,A456,'Registro por hora'!$B$5:$B$2004,B456))</f>
        <v/>
      </c>
      <c r="M456" s="13" t="str">
        <f aca="false">IF(B456="","",IF(D456="","⚠ Falta estado",IF(AND(OR(D456="Ausente",D456="Medio día"),I456=""),"⚠ Falta motivo",IF(AND(OR(D456="Ausente",D456="Medio día"),J456=""),"⚠ Falta explicación",IF(D456="Ausente","✔ Ausencia justificada",IF(OR(E456="",F456=""),"⚠ Falta hora de entrada/salida",IF(K456="","⚠ Falta resumen del día",IF(N(L456)&lt;N(H456)-0.01,"⚠ Faltan "&amp;TEXT(N(H456)-N(L456),"0.0")&amp;" h por reportar","✔ OK"))))))))</f>
        <v/>
      </c>
    </row>
    <row r="457" customFormat="false" ht="15" hidden="false" customHeight="false" outlineLevel="0" collapsed="false">
      <c r="A457" s="17"/>
      <c r="B457" s="18"/>
      <c r="C457" s="13" t="str">
        <f aca="false">IF(B457="","",IFERROR(INDEX(Personal!$C$5:$C$104,MATCH(B457,Personal!$B$5:$B$104,0)),""))</f>
        <v/>
      </c>
      <c r="D457" s="18"/>
      <c r="E457" s="19"/>
      <c r="F457" s="19"/>
      <c r="G457" s="20"/>
      <c r="H457" s="16" t="str">
        <f aca="false">IF(OR(E457="",F457=""),"",ROUND(MOD(F457-E457,1)*24-N(G457),2))</f>
        <v/>
      </c>
      <c r="I457" s="18"/>
      <c r="J457" s="18"/>
      <c r="K457" s="18"/>
      <c r="L457" s="16" t="str">
        <f aca="false">IF(OR(A457="",B457=""),"",SUMIFS('Registro por hora'!$H$5:$H$2004,'Registro por hora'!$A$5:$A$2004,A457,'Registro por hora'!$B$5:$B$2004,B457))</f>
        <v/>
      </c>
      <c r="M457" s="13" t="str">
        <f aca="false">IF(B457="","",IF(D457="","⚠ Falta estado",IF(AND(OR(D457="Ausente",D457="Medio día"),I457=""),"⚠ Falta motivo",IF(AND(OR(D457="Ausente",D457="Medio día"),J457=""),"⚠ Falta explicación",IF(D457="Ausente","✔ Ausencia justificada",IF(OR(E457="",F457=""),"⚠ Falta hora de entrada/salida",IF(K457="","⚠ Falta resumen del día",IF(N(L457)&lt;N(H457)-0.01,"⚠ Faltan "&amp;TEXT(N(H457)-N(L457),"0.0")&amp;" h por reportar","✔ OK"))))))))</f>
        <v/>
      </c>
    </row>
    <row r="458" customFormat="false" ht="15" hidden="false" customHeight="false" outlineLevel="0" collapsed="false">
      <c r="A458" s="17"/>
      <c r="B458" s="18"/>
      <c r="C458" s="13" t="str">
        <f aca="false">IF(B458="","",IFERROR(INDEX(Personal!$C$5:$C$104,MATCH(B458,Personal!$B$5:$B$104,0)),""))</f>
        <v/>
      </c>
      <c r="D458" s="18"/>
      <c r="E458" s="19"/>
      <c r="F458" s="19"/>
      <c r="G458" s="20"/>
      <c r="H458" s="16" t="str">
        <f aca="false">IF(OR(E458="",F458=""),"",ROUND(MOD(F458-E458,1)*24-N(G458),2))</f>
        <v/>
      </c>
      <c r="I458" s="18"/>
      <c r="J458" s="18"/>
      <c r="K458" s="18"/>
      <c r="L458" s="16" t="str">
        <f aca="false">IF(OR(A458="",B458=""),"",SUMIFS('Registro por hora'!$H$5:$H$2004,'Registro por hora'!$A$5:$A$2004,A458,'Registro por hora'!$B$5:$B$2004,B458))</f>
        <v/>
      </c>
      <c r="M458" s="13" t="str">
        <f aca="false">IF(B458="","",IF(D458="","⚠ Falta estado",IF(AND(OR(D458="Ausente",D458="Medio día"),I458=""),"⚠ Falta motivo",IF(AND(OR(D458="Ausente",D458="Medio día"),J458=""),"⚠ Falta explicación",IF(D458="Ausente","✔ Ausencia justificada",IF(OR(E458="",F458=""),"⚠ Falta hora de entrada/salida",IF(K458="","⚠ Falta resumen del día",IF(N(L458)&lt;N(H458)-0.01,"⚠ Faltan "&amp;TEXT(N(H458)-N(L458),"0.0")&amp;" h por reportar","✔ OK"))))))))</f>
        <v/>
      </c>
    </row>
    <row r="459" customFormat="false" ht="15" hidden="false" customHeight="false" outlineLevel="0" collapsed="false">
      <c r="A459" s="17"/>
      <c r="B459" s="18"/>
      <c r="C459" s="13" t="str">
        <f aca="false">IF(B459="","",IFERROR(INDEX(Personal!$C$5:$C$104,MATCH(B459,Personal!$B$5:$B$104,0)),""))</f>
        <v/>
      </c>
      <c r="D459" s="18"/>
      <c r="E459" s="19"/>
      <c r="F459" s="19"/>
      <c r="G459" s="20"/>
      <c r="H459" s="16" t="str">
        <f aca="false">IF(OR(E459="",F459=""),"",ROUND(MOD(F459-E459,1)*24-N(G459),2))</f>
        <v/>
      </c>
      <c r="I459" s="18"/>
      <c r="J459" s="18"/>
      <c r="K459" s="18"/>
      <c r="L459" s="16" t="str">
        <f aca="false">IF(OR(A459="",B459=""),"",SUMIFS('Registro por hora'!$H$5:$H$2004,'Registro por hora'!$A$5:$A$2004,A459,'Registro por hora'!$B$5:$B$2004,B459))</f>
        <v/>
      </c>
      <c r="M459" s="13" t="str">
        <f aca="false">IF(B459="","",IF(D459="","⚠ Falta estado",IF(AND(OR(D459="Ausente",D459="Medio día"),I459=""),"⚠ Falta motivo",IF(AND(OR(D459="Ausente",D459="Medio día"),J459=""),"⚠ Falta explicación",IF(D459="Ausente","✔ Ausencia justificada",IF(OR(E459="",F459=""),"⚠ Falta hora de entrada/salida",IF(K459="","⚠ Falta resumen del día",IF(N(L459)&lt;N(H459)-0.01,"⚠ Faltan "&amp;TEXT(N(H459)-N(L459),"0.0")&amp;" h por reportar","✔ OK"))))))))</f>
        <v/>
      </c>
    </row>
    <row r="460" customFormat="false" ht="15" hidden="false" customHeight="false" outlineLevel="0" collapsed="false">
      <c r="A460" s="17"/>
      <c r="B460" s="18"/>
      <c r="C460" s="13" t="str">
        <f aca="false">IF(B460="","",IFERROR(INDEX(Personal!$C$5:$C$104,MATCH(B460,Personal!$B$5:$B$104,0)),""))</f>
        <v/>
      </c>
      <c r="D460" s="18"/>
      <c r="E460" s="19"/>
      <c r="F460" s="19"/>
      <c r="G460" s="20"/>
      <c r="H460" s="16" t="str">
        <f aca="false">IF(OR(E460="",F460=""),"",ROUND(MOD(F460-E460,1)*24-N(G460),2))</f>
        <v/>
      </c>
      <c r="I460" s="18"/>
      <c r="J460" s="18"/>
      <c r="K460" s="18"/>
      <c r="L460" s="16" t="str">
        <f aca="false">IF(OR(A460="",B460=""),"",SUMIFS('Registro por hora'!$H$5:$H$2004,'Registro por hora'!$A$5:$A$2004,A460,'Registro por hora'!$B$5:$B$2004,B460))</f>
        <v/>
      </c>
      <c r="M460" s="13" t="str">
        <f aca="false">IF(B460="","",IF(D460="","⚠ Falta estado",IF(AND(OR(D460="Ausente",D460="Medio día"),I460=""),"⚠ Falta motivo",IF(AND(OR(D460="Ausente",D460="Medio día"),J460=""),"⚠ Falta explicación",IF(D460="Ausente","✔ Ausencia justificada",IF(OR(E460="",F460=""),"⚠ Falta hora de entrada/salida",IF(K460="","⚠ Falta resumen del día",IF(N(L460)&lt;N(H460)-0.01,"⚠ Faltan "&amp;TEXT(N(H460)-N(L460),"0.0")&amp;" h por reportar","✔ OK"))))))))</f>
        <v/>
      </c>
    </row>
    <row r="461" customFormat="false" ht="15" hidden="false" customHeight="false" outlineLevel="0" collapsed="false">
      <c r="A461" s="17"/>
      <c r="B461" s="18"/>
      <c r="C461" s="13" t="str">
        <f aca="false">IF(B461="","",IFERROR(INDEX(Personal!$C$5:$C$104,MATCH(B461,Personal!$B$5:$B$104,0)),""))</f>
        <v/>
      </c>
      <c r="D461" s="18"/>
      <c r="E461" s="19"/>
      <c r="F461" s="19"/>
      <c r="G461" s="20"/>
      <c r="H461" s="16" t="str">
        <f aca="false">IF(OR(E461="",F461=""),"",ROUND(MOD(F461-E461,1)*24-N(G461),2))</f>
        <v/>
      </c>
      <c r="I461" s="18"/>
      <c r="J461" s="18"/>
      <c r="K461" s="18"/>
      <c r="L461" s="16" t="str">
        <f aca="false">IF(OR(A461="",B461=""),"",SUMIFS('Registro por hora'!$H$5:$H$2004,'Registro por hora'!$A$5:$A$2004,A461,'Registro por hora'!$B$5:$B$2004,B461))</f>
        <v/>
      </c>
      <c r="M461" s="13" t="str">
        <f aca="false">IF(B461="","",IF(D461="","⚠ Falta estado",IF(AND(OR(D461="Ausente",D461="Medio día"),I461=""),"⚠ Falta motivo",IF(AND(OR(D461="Ausente",D461="Medio día"),J461=""),"⚠ Falta explicación",IF(D461="Ausente","✔ Ausencia justificada",IF(OR(E461="",F461=""),"⚠ Falta hora de entrada/salida",IF(K461="","⚠ Falta resumen del día",IF(N(L461)&lt;N(H461)-0.01,"⚠ Faltan "&amp;TEXT(N(H461)-N(L461),"0.0")&amp;" h por reportar","✔ OK"))))))))</f>
        <v/>
      </c>
    </row>
    <row r="462" customFormat="false" ht="15" hidden="false" customHeight="false" outlineLevel="0" collapsed="false">
      <c r="A462" s="17"/>
      <c r="B462" s="18"/>
      <c r="C462" s="13" t="str">
        <f aca="false">IF(B462="","",IFERROR(INDEX(Personal!$C$5:$C$104,MATCH(B462,Personal!$B$5:$B$104,0)),""))</f>
        <v/>
      </c>
      <c r="D462" s="18"/>
      <c r="E462" s="19"/>
      <c r="F462" s="19"/>
      <c r="G462" s="20"/>
      <c r="H462" s="16" t="str">
        <f aca="false">IF(OR(E462="",F462=""),"",ROUND(MOD(F462-E462,1)*24-N(G462),2))</f>
        <v/>
      </c>
      <c r="I462" s="18"/>
      <c r="J462" s="18"/>
      <c r="K462" s="18"/>
      <c r="L462" s="16" t="str">
        <f aca="false">IF(OR(A462="",B462=""),"",SUMIFS('Registro por hora'!$H$5:$H$2004,'Registro por hora'!$A$5:$A$2004,A462,'Registro por hora'!$B$5:$B$2004,B462))</f>
        <v/>
      </c>
      <c r="M462" s="13" t="str">
        <f aca="false">IF(B462="","",IF(D462="","⚠ Falta estado",IF(AND(OR(D462="Ausente",D462="Medio día"),I462=""),"⚠ Falta motivo",IF(AND(OR(D462="Ausente",D462="Medio día"),J462=""),"⚠ Falta explicación",IF(D462="Ausente","✔ Ausencia justificada",IF(OR(E462="",F462=""),"⚠ Falta hora de entrada/salida",IF(K462="","⚠ Falta resumen del día",IF(N(L462)&lt;N(H462)-0.01,"⚠ Faltan "&amp;TEXT(N(H462)-N(L462),"0.0")&amp;" h por reportar","✔ OK"))))))))</f>
        <v/>
      </c>
    </row>
    <row r="463" customFormat="false" ht="15" hidden="false" customHeight="false" outlineLevel="0" collapsed="false">
      <c r="A463" s="17"/>
      <c r="B463" s="18"/>
      <c r="C463" s="13" t="str">
        <f aca="false">IF(B463="","",IFERROR(INDEX(Personal!$C$5:$C$104,MATCH(B463,Personal!$B$5:$B$104,0)),""))</f>
        <v/>
      </c>
      <c r="D463" s="18"/>
      <c r="E463" s="19"/>
      <c r="F463" s="19"/>
      <c r="G463" s="20"/>
      <c r="H463" s="16" t="str">
        <f aca="false">IF(OR(E463="",F463=""),"",ROUND(MOD(F463-E463,1)*24-N(G463),2))</f>
        <v/>
      </c>
      <c r="I463" s="18"/>
      <c r="J463" s="18"/>
      <c r="K463" s="18"/>
      <c r="L463" s="16" t="str">
        <f aca="false">IF(OR(A463="",B463=""),"",SUMIFS('Registro por hora'!$H$5:$H$2004,'Registro por hora'!$A$5:$A$2004,A463,'Registro por hora'!$B$5:$B$2004,B463))</f>
        <v/>
      </c>
      <c r="M463" s="13" t="str">
        <f aca="false">IF(B463="","",IF(D463="","⚠ Falta estado",IF(AND(OR(D463="Ausente",D463="Medio día"),I463=""),"⚠ Falta motivo",IF(AND(OR(D463="Ausente",D463="Medio día"),J463=""),"⚠ Falta explicación",IF(D463="Ausente","✔ Ausencia justificada",IF(OR(E463="",F463=""),"⚠ Falta hora de entrada/salida",IF(K463="","⚠ Falta resumen del día",IF(N(L463)&lt;N(H463)-0.01,"⚠ Faltan "&amp;TEXT(N(H463)-N(L463),"0.0")&amp;" h por reportar","✔ OK"))))))))</f>
        <v/>
      </c>
    </row>
    <row r="464" customFormat="false" ht="15" hidden="false" customHeight="false" outlineLevel="0" collapsed="false">
      <c r="A464" s="17"/>
      <c r="B464" s="18"/>
      <c r="C464" s="13" t="str">
        <f aca="false">IF(B464="","",IFERROR(INDEX(Personal!$C$5:$C$104,MATCH(B464,Personal!$B$5:$B$104,0)),""))</f>
        <v/>
      </c>
      <c r="D464" s="18"/>
      <c r="E464" s="19"/>
      <c r="F464" s="19"/>
      <c r="G464" s="20"/>
      <c r="H464" s="16" t="str">
        <f aca="false">IF(OR(E464="",F464=""),"",ROUND(MOD(F464-E464,1)*24-N(G464),2))</f>
        <v/>
      </c>
      <c r="I464" s="18"/>
      <c r="J464" s="18"/>
      <c r="K464" s="18"/>
      <c r="L464" s="16" t="str">
        <f aca="false">IF(OR(A464="",B464=""),"",SUMIFS('Registro por hora'!$H$5:$H$2004,'Registro por hora'!$A$5:$A$2004,A464,'Registro por hora'!$B$5:$B$2004,B464))</f>
        <v/>
      </c>
      <c r="M464" s="13" t="str">
        <f aca="false">IF(B464="","",IF(D464="","⚠ Falta estado",IF(AND(OR(D464="Ausente",D464="Medio día"),I464=""),"⚠ Falta motivo",IF(AND(OR(D464="Ausente",D464="Medio día"),J464=""),"⚠ Falta explicación",IF(D464="Ausente","✔ Ausencia justificada",IF(OR(E464="",F464=""),"⚠ Falta hora de entrada/salida",IF(K464="","⚠ Falta resumen del día",IF(N(L464)&lt;N(H464)-0.01,"⚠ Faltan "&amp;TEXT(N(H464)-N(L464),"0.0")&amp;" h por reportar","✔ OK"))))))))</f>
        <v/>
      </c>
    </row>
    <row r="465" customFormat="false" ht="15" hidden="false" customHeight="false" outlineLevel="0" collapsed="false">
      <c r="A465" s="17"/>
      <c r="B465" s="18"/>
      <c r="C465" s="13" t="str">
        <f aca="false">IF(B465="","",IFERROR(INDEX(Personal!$C$5:$C$104,MATCH(B465,Personal!$B$5:$B$104,0)),""))</f>
        <v/>
      </c>
      <c r="D465" s="18"/>
      <c r="E465" s="19"/>
      <c r="F465" s="19"/>
      <c r="G465" s="20"/>
      <c r="H465" s="16" t="str">
        <f aca="false">IF(OR(E465="",F465=""),"",ROUND(MOD(F465-E465,1)*24-N(G465),2))</f>
        <v/>
      </c>
      <c r="I465" s="18"/>
      <c r="J465" s="18"/>
      <c r="K465" s="18"/>
      <c r="L465" s="16" t="str">
        <f aca="false">IF(OR(A465="",B465=""),"",SUMIFS('Registro por hora'!$H$5:$H$2004,'Registro por hora'!$A$5:$A$2004,A465,'Registro por hora'!$B$5:$B$2004,B465))</f>
        <v/>
      </c>
      <c r="M465" s="13" t="str">
        <f aca="false">IF(B465="","",IF(D465="","⚠ Falta estado",IF(AND(OR(D465="Ausente",D465="Medio día"),I465=""),"⚠ Falta motivo",IF(AND(OR(D465="Ausente",D465="Medio día"),J465=""),"⚠ Falta explicación",IF(D465="Ausente","✔ Ausencia justificada",IF(OR(E465="",F465=""),"⚠ Falta hora de entrada/salida",IF(K465="","⚠ Falta resumen del día",IF(N(L465)&lt;N(H465)-0.01,"⚠ Faltan "&amp;TEXT(N(H465)-N(L465),"0.0")&amp;" h por reportar","✔ OK"))))))))</f>
        <v/>
      </c>
    </row>
    <row r="466" customFormat="false" ht="15" hidden="false" customHeight="false" outlineLevel="0" collapsed="false">
      <c r="A466" s="17"/>
      <c r="B466" s="18"/>
      <c r="C466" s="13" t="str">
        <f aca="false">IF(B466="","",IFERROR(INDEX(Personal!$C$5:$C$104,MATCH(B466,Personal!$B$5:$B$104,0)),""))</f>
        <v/>
      </c>
      <c r="D466" s="18"/>
      <c r="E466" s="19"/>
      <c r="F466" s="19"/>
      <c r="G466" s="20"/>
      <c r="H466" s="16" t="str">
        <f aca="false">IF(OR(E466="",F466=""),"",ROUND(MOD(F466-E466,1)*24-N(G466),2))</f>
        <v/>
      </c>
      <c r="I466" s="18"/>
      <c r="J466" s="18"/>
      <c r="K466" s="18"/>
      <c r="L466" s="16" t="str">
        <f aca="false">IF(OR(A466="",B466=""),"",SUMIFS('Registro por hora'!$H$5:$H$2004,'Registro por hora'!$A$5:$A$2004,A466,'Registro por hora'!$B$5:$B$2004,B466))</f>
        <v/>
      </c>
      <c r="M466" s="13" t="str">
        <f aca="false">IF(B466="","",IF(D466="","⚠ Falta estado",IF(AND(OR(D466="Ausente",D466="Medio día"),I466=""),"⚠ Falta motivo",IF(AND(OR(D466="Ausente",D466="Medio día"),J466=""),"⚠ Falta explicación",IF(D466="Ausente","✔ Ausencia justificada",IF(OR(E466="",F466=""),"⚠ Falta hora de entrada/salida",IF(K466="","⚠ Falta resumen del día",IF(N(L466)&lt;N(H466)-0.01,"⚠ Faltan "&amp;TEXT(N(H466)-N(L466),"0.0")&amp;" h por reportar","✔ OK"))))))))</f>
        <v/>
      </c>
    </row>
    <row r="467" customFormat="false" ht="15" hidden="false" customHeight="false" outlineLevel="0" collapsed="false">
      <c r="A467" s="17"/>
      <c r="B467" s="18"/>
      <c r="C467" s="13" t="str">
        <f aca="false">IF(B467="","",IFERROR(INDEX(Personal!$C$5:$C$104,MATCH(B467,Personal!$B$5:$B$104,0)),""))</f>
        <v/>
      </c>
      <c r="D467" s="18"/>
      <c r="E467" s="19"/>
      <c r="F467" s="19"/>
      <c r="G467" s="20"/>
      <c r="H467" s="16" t="str">
        <f aca="false">IF(OR(E467="",F467=""),"",ROUND(MOD(F467-E467,1)*24-N(G467),2))</f>
        <v/>
      </c>
      <c r="I467" s="18"/>
      <c r="J467" s="18"/>
      <c r="K467" s="18"/>
      <c r="L467" s="16" t="str">
        <f aca="false">IF(OR(A467="",B467=""),"",SUMIFS('Registro por hora'!$H$5:$H$2004,'Registro por hora'!$A$5:$A$2004,A467,'Registro por hora'!$B$5:$B$2004,B467))</f>
        <v/>
      </c>
      <c r="M467" s="13" t="str">
        <f aca="false">IF(B467="","",IF(D467="","⚠ Falta estado",IF(AND(OR(D467="Ausente",D467="Medio día"),I467=""),"⚠ Falta motivo",IF(AND(OR(D467="Ausente",D467="Medio día"),J467=""),"⚠ Falta explicación",IF(D467="Ausente","✔ Ausencia justificada",IF(OR(E467="",F467=""),"⚠ Falta hora de entrada/salida",IF(K467="","⚠ Falta resumen del día",IF(N(L467)&lt;N(H467)-0.01,"⚠ Faltan "&amp;TEXT(N(H467)-N(L467),"0.0")&amp;" h por reportar","✔ OK"))))))))</f>
        <v/>
      </c>
    </row>
    <row r="468" customFormat="false" ht="15" hidden="false" customHeight="false" outlineLevel="0" collapsed="false">
      <c r="A468" s="17"/>
      <c r="B468" s="18"/>
      <c r="C468" s="13" t="str">
        <f aca="false">IF(B468="","",IFERROR(INDEX(Personal!$C$5:$C$104,MATCH(B468,Personal!$B$5:$B$104,0)),""))</f>
        <v/>
      </c>
      <c r="D468" s="18"/>
      <c r="E468" s="19"/>
      <c r="F468" s="19"/>
      <c r="G468" s="20"/>
      <c r="H468" s="16" t="str">
        <f aca="false">IF(OR(E468="",F468=""),"",ROUND(MOD(F468-E468,1)*24-N(G468),2))</f>
        <v/>
      </c>
      <c r="I468" s="18"/>
      <c r="J468" s="18"/>
      <c r="K468" s="18"/>
      <c r="L468" s="16" t="str">
        <f aca="false">IF(OR(A468="",B468=""),"",SUMIFS('Registro por hora'!$H$5:$H$2004,'Registro por hora'!$A$5:$A$2004,A468,'Registro por hora'!$B$5:$B$2004,B468))</f>
        <v/>
      </c>
      <c r="M468" s="13" t="str">
        <f aca="false">IF(B468="","",IF(D468="","⚠ Falta estado",IF(AND(OR(D468="Ausente",D468="Medio día"),I468=""),"⚠ Falta motivo",IF(AND(OR(D468="Ausente",D468="Medio día"),J468=""),"⚠ Falta explicación",IF(D468="Ausente","✔ Ausencia justificada",IF(OR(E468="",F468=""),"⚠ Falta hora de entrada/salida",IF(K468="","⚠ Falta resumen del día",IF(N(L468)&lt;N(H468)-0.01,"⚠ Faltan "&amp;TEXT(N(H468)-N(L468),"0.0")&amp;" h por reportar","✔ OK"))))))))</f>
        <v/>
      </c>
    </row>
    <row r="469" customFormat="false" ht="15" hidden="false" customHeight="false" outlineLevel="0" collapsed="false">
      <c r="A469" s="17"/>
      <c r="B469" s="18"/>
      <c r="C469" s="13" t="str">
        <f aca="false">IF(B469="","",IFERROR(INDEX(Personal!$C$5:$C$104,MATCH(B469,Personal!$B$5:$B$104,0)),""))</f>
        <v/>
      </c>
      <c r="D469" s="18"/>
      <c r="E469" s="19"/>
      <c r="F469" s="19"/>
      <c r="G469" s="20"/>
      <c r="H469" s="16" t="str">
        <f aca="false">IF(OR(E469="",F469=""),"",ROUND(MOD(F469-E469,1)*24-N(G469),2))</f>
        <v/>
      </c>
      <c r="I469" s="18"/>
      <c r="J469" s="18"/>
      <c r="K469" s="18"/>
      <c r="L469" s="16" t="str">
        <f aca="false">IF(OR(A469="",B469=""),"",SUMIFS('Registro por hora'!$H$5:$H$2004,'Registro por hora'!$A$5:$A$2004,A469,'Registro por hora'!$B$5:$B$2004,B469))</f>
        <v/>
      </c>
      <c r="M469" s="13" t="str">
        <f aca="false">IF(B469="","",IF(D469="","⚠ Falta estado",IF(AND(OR(D469="Ausente",D469="Medio día"),I469=""),"⚠ Falta motivo",IF(AND(OR(D469="Ausente",D469="Medio día"),J469=""),"⚠ Falta explicación",IF(D469="Ausente","✔ Ausencia justificada",IF(OR(E469="",F469=""),"⚠ Falta hora de entrada/salida",IF(K469="","⚠ Falta resumen del día",IF(N(L469)&lt;N(H469)-0.01,"⚠ Faltan "&amp;TEXT(N(H469)-N(L469),"0.0")&amp;" h por reportar","✔ OK"))))))))</f>
        <v/>
      </c>
    </row>
    <row r="470" customFormat="false" ht="15" hidden="false" customHeight="false" outlineLevel="0" collapsed="false">
      <c r="A470" s="17"/>
      <c r="B470" s="18"/>
      <c r="C470" s="13" t="str">
        <f aca="false">IF(B470="","",IFERROR(INDEX(Personal!$C$5:$C$104,MATCH(B470,Personal!$B$5:$B$104,0)),""))</f>
        <v/>
      </c>
      <c r="D470" s="18"/>
      <c r="E470" s="19"/>
      <c r="F470" s="19"/>
      <c r="G470" s="20"/>
      <c r="H470" s="16" t="str">
        <f aca="false">IF(OR(E470="",F470=""),"",ROUND(MOD(F470-E470,1)*24-N(G470),2))</f>
        <v/>
      </c>
      <c r="I470" s="18"/>
      <c r="J470" s="18"/>
      <c r="K470" s="18"/>
      <c r="L470" s="16" t="str">
        <f aca="false">IF(OR(A470="",B470=""),"",SUMIFS('Registro por hora'!$H$5:$H$2004,'Registro por hora'!$A$5:$A$2004,A470,'Registro por hora'!$B$5:$B$2004,B470))</f>
        <v/>
      </c>
      <c r="M470" s="13" t="str">
        <f aca="false">IF(B470="","",IF(D470="","⚠ Falta estado",IF(AND(OR(D470="Ausente",D470="Medio día"),I470=""),"⚠ Falta motivo",IF(AND(OR(D470="Ausente",D470="Medio día"),J470=""),"⚠ Falta explicación",IF(D470="Ausente","✔ Ausencia justificada",IF(OR(E470="",F470=""),"⚠ Falta hora de entrada/salida",IF(K470="","⚠ Falta resumen del día",IF(N(L470)&lt;N(H470)-0.01,"⚠ Faltan "&amp;TEXT(N(H470)-N(L470),"0.0")&amp;" h por reportar","✔ OK"))))))))</f>
        <v/>
      </c>
    </row>
    <row r="471" customFormat="false" ht="15" hidden="false" customHeight="false" outlineLevel="0" collapsed="false">
      <c r="A471" s="17"/>
      <c r="B471" s="18"/>
      <c r="C471" s="13" t="str">
        <f aca="false">IF(B471="","",IFERROR(INDEX(Personal!$C$5:$C$104,MATCH(B471,Personal!$B$5:$B$104,0)),""))</f>
        <v/>
      </c>
      <c r="D471" s="18"/>
      <c r="E471" s="19"/>
      <c r="F471" s="19"/>
      <c r="G471" s="20"/>
      <c r="H471" s="16" t="str">
        <f aca="false">IF(OR(E471="",F471=""),"",ROUND(MOD(F471-E471,1)*24-N(G471),2))</f>
        <v/>
      </c>
      <c r="I471" s="18"/>
      <c r="J471" s="18"/>
      <c r="K471" s="18"/>
      <c r="L471" s="16" t="str">
        <f aca="false">IF(OR(A471="",B471=""),"",SUMIFS('Registro por hora'!$H$5:$H$2004,'Registro por hora'!$A$5:$A$2004,A471,'Registro por hora'!$B$5:$B$2004,B471))</f>
        <v/>
      </c>
      <c r="M471" s="13" t="str">
        <f aca="false">IF(B471="","",IF(D471="","⚠ Falta estado",IF(AND(OR(D471="Ausente",D471="Medio día"),I471=""),"⚠ Falta motivo",IF(AND(OR(D471="Ausente",D471="Medio día"),J471=""),"⚠ Falta explicación",IF(D471="Ausente","✔ Ausencia justificada",IF(OR(E471="",F471=""),"⚠ Falta hora de entrada/salida",IF(K471="","⚠ Falta resumen del día",IF(N(L471)&lt;N(H471)-0.01,"⚠ Faltan "&amp;TEXT(N(H471)-N(L471),"0.0")&amp;" h por reportar","✔ OK"))))))))</f>
        <v/>
      </c>
    </row>
    <row r="472" customFormat="false" ht="15" hidden="false" customHeight="false" outlineLevel="0" collapsed="false">
      <c r="A472" s="17"/>
      <c r="B472" s="18"/>
      <c r="C472" s="13" t="str">
        <f aca="false">IF(B472="","",IFERROR(INDEX(Personal!$C$5:$C$104,MATCH(B472,Personal!$B$5:$B$104,0)),""))</f>
        <v/>
      </c>
      <c r="D472" s="18"/>
      <c r="E472" s="19"/>
      <c r="F472" s="19"/>
      <c r="G472" s="20"/>
      <c r="H472" s="16" t="str">
        <f aca="false">IF(OR(E472="",F472=""),"",ROUND(MOD(F472-E472,1)*24-N(G472),2))</f>
        <v/>
      </c>
      <c r="I472" s="18"/>
      <c r="J472" s="18"/>
      <c r="K472" s="18"/>
      <c r="L472" s="16" t="str">
        <f aca="false">IF(OR(A472="",B472=""),"",SUMIFS('Registro por hora'!$H$5:$H$2004,'Registro por hora'!$A$5:$A$2004,A472,'Registro por hora'!$B$5:$B$2004,B472))</f>
        <v/>
      </c>
      <c r="M472" s="13" t="str">
        <f aca="false">IF(B472="","",IF(D472="","⚠ Falta estado",IF(AND(OR(D472="Ausente",D472="Medio día"),I472=""),"⚠ Falta motivo",IF(AND(OR(D472="Ausente",D472="Medio día"),J472=""),"⚠ Falta explicación",IF(D472="Ausente","✔ Ausencia justificada",IF(OR(E472="",F472=""),"⚠ Falta hora de entrada/salida",IF(K472="","⚠ Falta resumen del día",IF(N(L472)&lt;N(H472)-0.01,"⚠ Faltan "&amp;TEXT(N(H472)-N(L472),"0.0")&amp;" h por reportar","✔ OK"))))))))</f>
        <v/>
      </c>
    </row>
    <row r="473" customFormat="false" ht="15" hidden="false" customHeight="false" outlineLevel="0" collapsed="false">
      <c r="A473" s="17"/>
      <c r="B473" s="18"/>
      <c r="C473" s="13" t="str">
        <f aca="false">IF(B473="","",IFERROR(INDEX(Personal!$C$5:$C$104,MATCH(B473,Personal!$B$5:$B$104,0)),""))</f>
        <v/>
      </c>
      <c r="D473" s="18"/>
      <c r="E473" s="19"/>
      <c r="F473" s="19"/>
      <c r="G473" s="20"/>
      <c r="H473" s="16" t="str">
        <f aca="false">IF(OR(E473="",F473=""),"",ROUND(MOD(F473-E473,1)*24-N(G473),2))</f>
        <v/>
      </c>
      <c r="I473" s="18"/>
      <c r="J473" s="18"/>
      <c r="K473" s="18"/>
      <c r="L473" s="16" t="str">
        <f aca="false">IF(OR(A473="",B473=""),"",SUMIFS('Registro por hora'!$H$5:$H$2004,'Registro por hora'!$A$5:$A$2004,A473,'Registro por hora'!$B$5:$B$2004,B473))</f>
        <v/>
      </c>
      <c r="M473" s="13" t="str">
        <f aca="false">IF(B473="","",IF(D473="","⚠ Falta estado",IF(AND(OR(D473="Ausente",D473="Medio día"),I473=""),"⚠ Falta motivo",IF(AND(OR(D473="Ausente",D473="Medio día"),J473=""),"⚠ Falta explicación",IF(D473="Ausente","✔ Ausencia justificada",IF(OR(E473="",F473=""),"⚠ Falta hora de entrada/salida",IF(K473="","⚠ Falta resumen del día",IF(N(L473)&lt;N(H473)-0.01,"⚠ Faltan "&amp;TEXT(N(H473)-N(L473),"0.0")&amp;" h por reportar","✔ OK"))))))))</f>
        <v/>
      </c>
    </row>
    <row r="474" customFormat="false" ht="15" hidden="false" customHeight="false" outlineLevel="0" collapsed="false">
      <c r="A474" s="17"/>
      <c r="B474" s="18"/>
      <c r="C474" s="13" t="str">
        <f aca="false">IF(B474="","",IFERROR(INDEX(Personal!$C$5:$C$104,MATCH(B474,Personal!$B$5:$B$104,0)),""))</f>
        <v/>
      </c>
      <c r="D474" s="18"/>
      <c r="E474" s="19"/>
      <c r="F474" s="19"/>
      <c r="G474" s="20"/>
      <c r="H474" s="16" t="str">
        <f aca="false">IF(OR(E474="",F474=""),"",ROUND(MOD(F474-E474,1)*24-N(G474),2))</f>
        <v/>
      </c>
      <c r="I474" s="18"/>
      <c r="J474" s="18"/>
      <c r="K474" s="18"/>
      <c r="L474" s="16" t="str">
        <f aca="false">IF(OR(A474="",B474=""),"",SUMIFS('Registro por hora'!$H$5:$H$2004,'Registro por hora'!$A$5:$A$2004,A474,'Registro por hora'!$B$5:$B$2004,B474))</f>
        <v/>
      </c>
      <c r="M474" s="13" t="str">
        <f aca="false">IF(B474="","",IF(D474="","⚠ Falta estado",IF(AND(OR(D474="Ausente",D474="Medio día"),I474=""),"⚠ Falta motivo",IF(AND(OR(D474="Ausente",D474="Medio día"),J474=""),"⚠ Falta explicación",IF(D474="Ausente","✔ Ausencia justificada",IF(OR(E474="",F474=""),"⚠ Falta hora de entrada/salida",IF(K474="","⚠ Falta resumen del día",IF(N(L474)&lt;N(H474)-0.01,"⚠ Faltan "&amp;TEXT(N(H474)-N(L474),"0.0")&amp;" h por reportar","✔ OK"))))))))</f>
        <v/>
      </c>
    </row>
    <row r="475" customFormat="false" ht="15" hidden="false" customHeight="false" outlineLevel="0" collapsed="false">
      <c r="A475" s="17"/>
      <c r="B475" s="18"/>
      <c r="C475" s="13" t="str">
        <f aca="false">IF(B475="","",IFERROR(INDEX(Personal!$C$5:$C$104,MATCH(B475,Personal!$B$5:$B$104,0)),""))</f>
        <v/>
      </c>
      <c r="D475" s="18"/>
      <c r="E475" s="19"/>
      <c r="F475" s="19"/>
      <c r="G475" s="20"/>
      <c r="H475" s="16" t="str">
        <f aca="false">IF(OR(E475="",F475=""),"",ROUND(MOD(F475-E475,1)*24-N(G475),2))</f>
        <v/>
      </c>
      <c r="I475" s="18"/>
      <c r="J475" s="18"/>
      <c r="K475" s="18"/>
      <c r="L475" s="16" t="str">
        <f aca="false">IF(OR(A475="",B475=""),"",SUMIFS('Registro por hora'!$H$5:$H$2004,'Registro por hora'!$A$5:$A$2004,A475,'Registro por hora'!$B$5:$B$2004,B475))</f>
        <v/>
      </c>
      <c r="M475" s="13" t="str">
        <f aca="false">IF(B475="","",IF(D475="","⚠ Falta estado",IF(AND(OR(D475="Ausente",D475="Medio día"),I475=""),"⚠ Falta motivo",IF(AND(OR(D475="Ausente",D475="Medio día"),J475=""),"⚠ Falta explicación",IF(D475="Ausente","✔ Ausencia justificada",IF(OR(E475="",F475=""),"⚠ Falta hora de entrada/salida",IF(K475="","⚠ Falta resumen del día",IF(N(L475)&lt;N(H475)-0.01,"⚠ Faltan "&amp;TEXT(N(H475)-N(L475),"0.0")&amp;" h por reportar","✔ OK"))))))))</f>
        <v/>
      </c>
    </row>
    <row r="476" customFormat="false" ht="15" hidden="false" customHeight="false" outlineLevel="0" collapsed="false">
      <c r="A476" s="17"/>
      <c r="B476" s="18"/>
      <c r="C476" s="13" t="str">
        <f aca="false">IF(B476="","",IFERROR(INDEX(Personal!$C$5:$C$104,MATCH(B476,Personal!$B$5:$B$104,0)),""))</f>
        <v/>
      </c>
      <c r="D476" s="18"/>
      <c r="E476" s="19"/>
      <c r="F476" s="19"/>
      <c r="G476" s="20"/>
      <c r="H476" s="16" t="str">
        <f aca="false">IF(OR(E476="",F476=""),"",ROUND(MOD(F476-E476,1)*24-N(G476),2))</f>
        <v/>
      </c>
      <c r="I476" s="18"/>
      <c r="J476" s="18"/>
      <c r="K476" s="18"/>
      <c r="L476" s="16" t="str">
        <f aca="false">IF(OR(A476="",B476=""),"",SUMIFS('Registro por hora'!$H$5:$H$2004,'Registro por hora'!$A$5:$A$2004,A476,'Registro por hora'!$B$5:$B$2004,B476))</f>
        <v/>
      </c>
      <c r="M476" s="13" t="str">
        <f aca="false">IF(B476="","",IF(D476="","⚠ Falta estado",IF(AND(OR(D476="Ausente",D476="Medio día"),I476=""),"⚠ Falta motivo",IF(AND(OR(D476="Ausente",D476="Medio día"),J476=""),"⚠ Falta explicación",IF(D476="Ausente","✔ Ausencia justificada",IF(OR(E476="",F476=""),"⚠ Falta hora de entrada/salida",IF(K476="","⚠ Falta resumen del día",IF(N(L476)&lt;N(H476)-0.01,"⚠ Faltan "&amp;TEXT(N(H476)-N(L476),"0.0")&amp;" h por reportar","✔ OK"))))))))</f>
        <v/>
      </c>
    </row>
    <row r="477" customFormat="false" ht="15" hidden="false" customHeight="false" outlineLevel="0" collapsed="false">
      <c r="A477" s="17"/>
      <c r="B477" s="18"/>
      <c r="C477" s="13" t="str">
        <f aca="false">IF(B477="","",IFERROR(INDEX(Personal!$C$5:$C$104,MATCH(B477,Personal!$B$5:$B$104,0)),""))</f>
        <v/>
      </c>
      <c r="D477" s="18"/>
      <c r="E477" s="19"/>
      <c r="F477" s="19"/>
      <c r="G477" s="20"/>
      <c r="H477" s="16" t="str">
        <f aca="false">IF(OR(E477="",F477=""),"",ROUND(MOD(F477-E477,1)*24-N(G477),2))</f>
        <v/>
      </c>
      <c r="I477" s="18"/>
      <c r="J477" s="18"/>
      <c r="K477" s="18"/>
      <c r="L477" s="16" t="str">
        <f aca="false">IF(OR(A477="",B477=""),"",SUMIFS('Registro por hora'!$H$5:$H$2004,'Registro por hora'!$A$5:$A$2004,A477,'Registro por hora'!$B$5:$B$2004,B477))</f>
        <v/>
      </c>
      <c r="M477" s="13" t="str">
        <f aca="false">IF(B477="","",IF(D477="","⚠ Falta estado",IF(AND(OR(D477="Ausente",D477="Medio día"),I477=""),"⚠ Falta motivo",IF(AND(OR(D477="Ausente",D477="Medio día"),J477=""),"⚠ Falta explicación",IF(D477="Ausente","✔ Ausencia justificada",IF(OR(E477="",F477=""),"⚠ Falta hora de entrada/salida",IF(K477="","⚠ Falta resumen del día",IF(N(L477)&lt;N(H477)-0.01,"⚠ Faltan "&amp;TEXT(N(H477)-N(L477),"0.0")&amp;" h por reportar","✔ OK"))))))))</f>
        <v/>
      </c>
    </row>
    <row r="478" customFormat="false" ht="15" hidden="false" customHeight="false" outlineLevel="0" collapsed="false">
      <c r="A478" s="17"/>
      <c r="B478" s="18"/>
      <c r="C478" s="13" t="str">
        <f aca="false">IF(B478="","",IFERROR(INDEX(Personal!$C$5:$C$104,MATCH(B478,Personal!$B$5:$B$104,0)),""))</f>
        <v/>
      </c>
      <c r="D478" s="18"/>
      <c r="E478" s="19"/>
      <c r="F478" s="19"/>
      <c r="G478" s="20"/>
      <c r="H478" s="16" t="str">
        <f aca="false">IF(OR(E478="",F478=""),"",ROUND(MOD(F478-E478,1)*24-N(G478),2))</f>
        <v/>
      </c>
      <c r="I478" s="18"/>
      <c r="J478" s="18"/>
      <c r="K478" s="18"/>
      <c r="L478" s="16" t="str">
        <f aca="false">IF(OR(A478="",B478=""),"",SUMIFS('Registro por hora'!$H$5:$H$2004,'Registro por hora'!$A$5:$A$2004,A478,'Registro por hora'!$B$5:$B$2004,B478))</f>
        <v/>
      </c>
      <c r="M478" s="13" t="str">
        <f aca="false">IF(B478="","",IF(D478="","⚠ Falta estado",IF(AND(OR(D478="Ausente",D478="Medio día"),I478=""),"⚠ Falta motivo",IF(AND(OR(D478="Ausente",D478="Medio día"),J478=""),"⚠ Falta explicación",IF(D478="Ausente","✔ Ausencia justificada",IF(OR(E478="",F478=""),"⚠ Falta hora de entrada/salida",IF(K478="","⚠ Falta resumen del día",IF(N(L478)&lt;N(H478)-0.01,"⚠ Faltan "&amp;TEXT(N(H478)-N(L478),"0.0")&amp;" h por reportar","✔ OK"))))))))</f>
        <v/>
      </c>
    </row>
    <row r="479" customFormat="false" ht="15" hidden="false" customHeight="false" outlineLevel="0" collapsed="false">
      <c r="A479" s="17"/>
      <c r="B479" s="18"/>
      <c r="C479" s="13" t="str">
        <f aca="false">IF(B479="","",IFERROR(INDEX(Personal!$C$5:$C$104,MATCH(B479,Personal!$B$5:$B$104,0)),""))</f>
        <v/>
      </c>
      <c r="D479" s="18"/>
      <c r="E479" s="19"/>
      <c r="F479" s="19"/>
      <c r="G479" s="20"/>
      <c r="H479" s="16" t="str">
        <f aca="false">IF(OR(E479="",F479=""),"",ROUND(MOD(F479-E479,1)*24-N(G479),2))</f>
        <v/>
      </c>
      <c r="I479" s="18"/>
      <c r="J479" s="18"/>
      <c r="K479" s="18"/>
      <c r="L479" s="16" t="str">
        <f aca="false">IF(OR(A479="",B479=""),"",SUMIFS('Registro por hora'!$H$5:$H$2004,'Registro por hora'!$A$5:$A$2004,A479,'Registro por hora'!$B$5:$B$2004,B479))</f>
        <v/>
      </c>
      <c r="M479" s="13" t="str">
        <f aca="false">IF(B479="","",IF(D479="","⚠ Falta estado",IF(AND(OR(D479="Ausente",D479="Medio día"),I479=""),"⚠ Falta motivo",IF(AND(OR(D479="Ausente",D479="Medio día"),J479=""),"⚠ Falta explicación",IF(D479="Ausente","✔ Ausencia justificada",IF(OR(E479="",F479=""),"⚠ Falta hora de entrada/salida",IF(K479="","⚠ Falta resumen del día",IF(N(L479)&lt;N(H479)-0.01,"⚠ Faltan "&amp;TEXT(N(H479)-N(L479),"0.0")&amp;" h por reportar","✔ OK"))))))))</f>
        <v/>
      </c>
    </row>
    <row r="480" customFormat="false" ht="15" hidden="false" customHeight="false" outlineLevel="0" collapsed="false">
      <c r="A480" s="17"/>
      <c r="B480" s="18"/>
      <c r="C480" s="13" t="str">
        <f aca="false">IF(B480="","",IFERROR(INDEX(Personal!$C$5:$C$104,MATCH(B480,Personal!$B$5:$B$104,0)),""))</f>
        <v/>
      </c>
      <c r="D480" s="18"/>
      <c r="E480" s="19"/>
      <c r="F480" s="19"/>
      <c r="G480" s="20"/>
      <c r="H480" s="16" t="str">
        <f aca="false">IF(OR(E480="",F480=""),"",ROUND(MOD(F480-E480,1)*24-N(G480),2))</f>
        <v/>
      </c>
      <c r="I480" s="18"/>
      <c r="J480" s="18"/>
      <c r="K480" s="18"/>
      <c r="L480" s="16" t="str">
        <f aca="false">IF(OR(A480="",B480=""),"",SUMIFS('Registro por hora'!$H$5:$H$2004,'Registro por hora'!$A$5:$A$2004,A480,'Registro por hora'!$B$5:$B$2004,B480))</f>
        <v/>
      </c>
      <c r="M480" s="13" t="str">
        <f aca="false">IF(B480="","",IF(D480="","⚠ Falta estado",IF(AND(OR(D480="Ausente",D480="Medio día"),I480=""),"⚠ Falta motivo",IF(AND(OR(D480="Ausente",D480="Medio día"),J480=""),"⚠ Falta explicación",IF(D480="Ausente","✔ Ausencia justificada",IF(OR(E480="",F480=""),"⚠ Falta hora de entrada/salida",IF(K480="","⚠ Falta resumen del día",IF(N(L480)&lt;N(H480)-0.01,"⚠ Faltan "&amp;TEXT(N(H480)-N(L480),"0.0")&amp;" h por reportar","✔ OK"))))))))</f>
        <v/>
      </c>
    </row>
    <row r="481" customFormat="false" ht="15" hidden="false" customHeight="false" outlineLevel="0" collapsed="false">
      <c r="A481" s="17"/>
      <c r="B481" s="18"/>
      <c r="C481" s="13" t="str">
        <f aca="false">IF(B481="","",IFERROR(INDEX(Personal!$C$5:$C$104,MATCH(B481,Personal!$B$5:$B$104,0)),""))</f>
        <v/>
      </c>
      <c r="D481" s="18"/>
      <c r="E481" s="19"/>
      <c r="F481" s="19"/>
      <c r="G481" s="20"/>
      <c r="H481" s="16" t="str">
        <f aca="false">IF(OR(E481="",F481=""),"",ROUND(MOD(F481-E481,1)*24-N(G481),2))</f>
        <v/>
      </c>
      <c r="I481" s="18"/>
      <c r="J481" s="18"/>
      <c r="K481" s="18"/>
      <c r="L481" s="16" t="str">
        <f aca="false">IF(OR(A481="",B481=""),"",SUMIFS('Registro por hora'!$H$5:$H$2004,'Registro por hora'!$A$5:$A$2004,A481,'Registro por hora'!$B$5:$B$2004,B481))</f>
        <v/>
      </c>
      <c r="M481" s="13" t="str">
        <f aca="false">IF(B481="","",IF(D481="","⚠ Falta estado",IF(AND(OR(D481="Ausente",D481="Medio día"),I481=""),"⚠ Falta motivo",IF(AND(OR(D481="Ausente",D481="Medio día"),J481=""),"⚠ Falta explicación",IF(D481="Ausente","✔ Ausencia justificada",IF(OR(E481="",F481=""),"⚠ Falta hora de entrada/salida",IF(K481="","⚠ Falta resumen del día",IF(N(L481)&lt;N(H481)-0.01,"⚠ Faltan "&amp;TEXT(N(H481)-N(L481),"0.0")&amp;" h por reportar","✔ OK"))))))))</f>
        <v/>
      </c>
    </row>
    <row r="482" customFormat="false" ht="15" hidden="false" customHeight="false" outlineLevel="0" collapsed="false">
      <c r="A482" s="17"/>
      <c r="B482" s="18"/>
      <c r="C482" s="13" t="str">
        <f aca="false">IF(B482="","",IFERROR(INDEX(Personal!$C$5:$C$104,MATCH(B482,Personal!$B$5:$B$104,0)),""))</f>
        <v/>
      </c>
      <c r="D482" s="18"/>
      <c r="E482" s="19"/>
      <c r="F482" s="19"/>
      <c r="G482" s="20"/>
      <c r="H482" s="16" t="str">
        <f aca="false">IF(OR(E482="",F482=""),"",ROUND(MOD(F482-E482,1)*24-N(G482),2))</f>
        <v/>
      </c>
      <c r="I482" s="18"/>
      <c r="J482" s="18"/>
      <c r="K482" s="18"/>
      <c r="L482" s="16" t="str">
        <f aca="false">IF(OR(A482="",B482=""),"",SUMIFS('Registro por hora'!$H$5:$H$2004,'Registro por hora'!$A$5:$A$2004,A482,'Registro por hora'!$B$5:$B$2004,B482))</f>
        <v/>
      </c>
      <c r="M482" s="13" t="str">
        <f aca="false">IF(B482="","",IF(D482="","⚠ Falta estado",IF(AND(OR(D482="Ausente",D482="Medio día"),I482=""),"⚠ Falta motivo",IF(AND(OR(D482="Ausente",D482="Medio día"),J482=""),"⚠ Falta explicación",IF(D482="Ausente","✔ Ausencia justificada",IF(OR(E482="",F482=""),"⚠ Falta hora de entrada/salida",IF(K482="","⚠ Falta resumen del día",IF(N(L482)&lt;N(H482)-0.01,"⚠ Faltan "&amp;TEXT(N(H482)-N(L482),"0.0")&amp;" h por reportar","✔ OK"))))))))</f>
        <v/>
      </c>
    </row>
    <row r="483" customFormat="false" ht="15" hidden="false" customHeight="false" outlineLevel="0" collapsed="false">
      <c r="A483" s="17"/>
      <c r="B483" s="18"/>
      <c r="C483" s="13" t="str">
        <f aca="false">IF(B483="","",IFERROR(INDEX(Personal!$C$5:$C$104,MATCH(B483,Personal!$B$5:$B$104,0)),""))</f>
        <v/>
      </c>
      <c r="D483" s="18"/>
      <c r="E483" s="19"/>
      <c r="F483" s="19"/>
      <c r="G483" s="20"/>
      <c r="H483" s="16" t="str">
        <f aca="false">IF(OR(E483="",F483=""),"",ROUND(MOD(F483-E483,1)*24-N(G483),2))</f>
        <v/>
      </c>
      <c r="I483" s="18"/>
      <c r="J483" s="18"/>
      <c r="K483" s="18"/>
      <c r="L483" s="16" t="str">
        <f aca="false">IF(OR(A483="",B483=""),"",SUMIFS('Registro por hora'!$H$5:$H$2004,'Registro por hora'!$A$5:$A$2004,A483,'Registro por hora'!$B$5:$B$2004,B483))</f>
        <v/>
      </c>
      <c r="M483" s="13" t="str">
        <f aca="false">IF(B483="","",IF(D483="","⚠ Falta estado",IF(AND(OR(D483="Ausente",D483="Medio día"),I483=""),"⚠ Falta motivo",IF(AND(OR(D483="Ausente",D483="Medio día"),J483=""),"⚠ Falta explicación",IF(D483="Ausente","✔ Ausencia justificada",IF(OR(E483="",F483=""),"⚠ Falta hora de entrada/salida",IF(K483="","⚠ Falta resumen del día",IF(N(L483)&lt;N(H483)-0.01,"⚠ Faltan "&amp;TEXT(N(H483)-N(L483),"0.0")&amp;" h por reportar","✔ OK"))))))))</f>
        <v/>
      </c>
    </row>
    <row r="484" customFormat="false" ht="15" hidden="false" customHeight="false" outlineLevel="0" collapsed="false">
      <c r="A484" s="17"/>
      <c r="B484" s="18"/>
      <c r="C484" s="13" t="str">
        <f aca="false">IF(B484="","",IFERROR(INDEX(Personal!$C$5:$C$104,MATCH(B484,Personal!$B$5:$B$104,0)),""))</f>
        <v/>
      </c>
      <c r="D484" s="18"/>
      <c r="E484" s="19"/>
      <c r="F484" s="19"/>
      <c r="G484" s="20"/>
      <c r="H484" s="16" t="str">
        <f aca="false">IF(OR(E484="",F484=""),"",ROUND(MOD(F484-E484,1)*24-N(G484),2))</f>
        <v/>
      </c>
      <c r="I484" s="18"/>
      <c r="J484" s="18"/>
      <c r="K484" s="18"/>
      <c r="L484" s="16" t="str">
        <f aca="false">IF(OR(A484="",B484=""),"",SUMIFS('Registro por hora'!$H$5:$H$2004,'Registro por hora'!$A$5:$A$2004,A484,'Registro por hora'!$B$5:$B$2004,B484))</f>
        <v/>
      </c>
      <c r="M484" s="13" t="str">
        <f aca="false">IF(B484="","",IF(D484="","⚠ Falta estado",IF(AND(OR(D484="Ausente",D484="Medio día"),I484=""),"⚠ Falta motivo",IF(AND(OR(D484="Ausente",D484="Medio día"),J484=""),"⚠ Falta explicación",IF(D484="Ausente","✔ Ausencia justificada",IF(OR(E484="",F484=""),"⚠ Falta hora de entrada/salida",IF(K484="","⚠ Falta resumen del día",IF(N(L484)&lt;N(H484)-0.01,"⚠ Faltan "&amp;TEXT(N(H484)-N(L484),"0.0")&amp;" h por reportar","✔ OK"))))))))</f>
        <v/>
      </c>
    </row>
    <row r="485" customFormat="false" ht="15" hidden="false" customHeight="false" outlineLevel="0" collapsed="false">
      <c r="A485" s="17"/>
      <c r="B485" s="18"/>
      <c r="C485" s="13" t="str">
        <f aca="false">IF(B485="","",IFERROR(INDEX(Personal!$C$5:$C$104,MATCH(B485,Personal!$B$5:$B$104,0)),""))</f>
        <v/>
      </c>
      <c r="D485" s="18"/>
      <c r="E485" s="19"/>
      <c r="F485" s="19"/>
      <c r="G485" s="20"/>
      <c r="H485" s="16" t="str">
        <f aca="false">IF(OR(E485="",F485=""),"",ROUND(MOD(F485-E485,1)*24-N(G485),2))</f>
        <v/>
      </c>
      <c r="I485" s="18"/>
      <c r="J485" s="18"/>
      <c r="K485" s="18"/>
      <c r="L485" s="16" t="str">
        <f aca="false">IF(OR(A485="",B485=""),"",SUMIFS('Registro por hora'!$H$5:$H$2004,'Registro por hora'!$A$5:$A$2004,A485,'Registro por hora'!$B$5:$B$2004,B485))</f>
        <v/>
      </c>
      <c r="M485" s="13" t="str">
        <f aca="false">IF(B485="","",IF(D485="","⚠ Falta estado",IF(AND(OR(D485="Ausente",D485="Medio día"),I485=""),"⚠ Falta motivo",IF(AND(OR(D485="Ausente",D485="Medio día"),J485=""),"⚠ Falta explicación",IF(D485="Ausente","✔ Ausencia justificada",IF(OR(E485="",F485=""),"⚠ Falta hora de entrada/salida",IF(K485="","⚠ Falta resumen del día",IF(N(L485)&lt;N(H485)-0.01,"⚠ Faltan "&amp;TEXT(N(H485)-N(L485),"0.0")&amp;" h por reportar","✔ OK"))))))))</f>
        <v/>
      </c>
    </row>
    <row r="486" customFormat="false" ht="15" hidden="false" customHeight="false" outlineLevel="0" collapsed="false">
      <c r="A486" s="17"/>
      <c r="B486" s="18"/>
      <c r="C486" s="13" t="str">
        <f aca="false">IF(B486="","",IFERROR(INDEX(Personal!$C$5:$C$104,MATCH(B486,Personal!$B$5:$B$104,0)),""))</f>
        <v/>
      </c>
      <c r="D486" s="18"/>
      <c r="E486" s="19"/>
      <c r="F486" s="19"/>
      <c r="G486" s="20"/>
      <c r="H486" s="16" t="str">
        <f aca="false">IF(OR(E486="",F486=""),"",ROUND(MOD(F486-E486,1)*24-N(G486),2))</f>
        <v/>
      </c>
      <c r="I486" s="18"/>
      <c r="J486" s="18"/>
      <c r="K486" s="18"/>
      <c r="L486" s="16" t="str">
        <f aca="false">IF(OR(A486="",B486=""),"",SUMIFS('Registro por hora'!$H$5:$H$2004,'Registro por hora'!$A$5:$A$2004,A486,'Registro por hora'!$B$5:$B$2004,B486))</f>
        <v/>
      </c>
      <c r="M486" s="13" t="str">
        <f aca="false">IF(B486="","",IF(D486="","⚠ Falta estado",IF(AND(OR(D486="Ausente",D486="Medio día"),I486=""),"⚠ Falta motivo",IF(AND(OR(D486="Ausente",D486="Medio día"),J486=""),"⚠ Falta explicación",IF(D486="Ausente","✔ Ausencia justificada",IF(OR(E486="",F486=""),"⚠ Falta hora de entrada/salida",IF(K486="","⚠ Falta resumen del día",IF(N(L486)&lt;N(H486)-0.01,"⚠ Faltan "&amp;TEXT(N(H486)-N(L486),"0.0")&amp;" h por reportar","✔ OK"))))))))</f>
        <v/>
      </c>
    </row>
    <row r="487" customFormat="false" ht="15" hidden="false" customHeight="false" outlineLevel="0" collapsed="false">
      <c r="A487" s="17"/>
      <c r="B487" s="18"/>
      <c r="C487" s="13" t="str">
        <f aca="false">IF(B487="","",IFERROR(INDEX(Personal!$C$5:$C$104,MATCH(B487,Personal!$B$5:$B$104,0)),""))</f>
        <v/>
      </c>
      <c r="D487" s="18"/>
      <c r="E487" s="19"/>
      <c r="F487" s="19"/>
      <c r="G487" s="20"/>
      <c r="H487" s="16" t="str">
        <f aca="false">IF(OR(E487="",F487=""),"",ROUND(MOD(F487-E487,1)*24-N(G487),2))</f>
        <v/>
      </c>
      <c r="I487" s="18"/>
      <c r="J487" s="18"/>
      <c r="K487" s="18"/>
      <c r="L487" s="16" t="str">
        <f aca="false">IF(OR(A487="",B487=""),"",SUMIFS('Registro por hora'!$H$5:$H$2004,'Registro por hora'!$A$5:$A$2004,A487,'Registro por hora'!$B$5:$B$2004,B487))</f>
        <v/>
      </c>
      <c r="M487" s="13" t="str">
        <f aca="false">IF(B487="","",IF(D487="","⚠ Falta estado",IF(AND(OR(D487="Ausente",D487="Medio día"),I487=""),"⚠ Falta motivo",IF(AND(OR(D487="Ausente",D487="Medio día"),J487=""),"⚠ Falta explicación",IF(D487="Ausente","✔ Ausencia justificada",IF(OR(E487="",F487=""),"⚠ Falta hora de entrada/salida",IF(K487="","⚠ Falta resumen del día",IF(N(L487)&lt;N(H487)-0.01,"⚠ Faltan "&amp;TEXT(N(H487)-N(L487),"0.0")&amp;" h por reportar","✔ OK"))))))))</f>
        <v/>
      </c>
    </row>
    <row r="488" customFormat="false" ht="15" hidden="false" customHeight="false" outlineLevel="0" collapsed="false">
      <c r="A488" s="17"/>
      <c r="B488" s="18"/>
      <c r="C488" s="13" t="str">
        <f aca="false">IF(B488="","",IFERROR(INDEX(Personal!$C$5:$C$104,MATCH(B488,Personal!$B$5:$B$104,0)),""))</f>
        <v/>
      </c>
      <c r="D488" s="18"/>
      <c r="E488" s="19"/>
      <c r="F488" s="19"/>
      <c r="G488" s="20"/>
      <c r="H488" s="16" t="str">
        <f aca="false">IF(OR(E488="",F488=""),"",ROUND(MOD(F488-E488,1)*24-N(G488),2))</f>
        <v/>
      </c>
      <c r="I488" s="18"/>
      <c r="J488" s="18"/>
      <c r="K488" s="18"/>
      <c r="L488" s="16" t="str">
        <f aca="false">IF(OR(A488="",B488=""),"",SUMIFS('Registro por hora'!$H$5:$H$2004,'Registro por hora'!$A$5:$A$2004,A488,'Registro por hora'!$B$5:$B$2004,B488))</f>
        <v/>
      </c>
      <c r="M488" s="13" t="str">
        <f aca="false">IF(B488="","",IF(D488="","⚠ Falta estado",IF(AND(OR(D488="Ausente",D488="Medio día"),I488=""),"⚠ Falta motivo",IF(AND(OR(D488="Ausente",D488="Medio día"),J488=""),"⚠ Falta explicación",IF(D488="Ausente","✔ Ausencia justificada",IF(OR(E488="",F488=""),"⚠ Falta hora de entrada/salida",IF(K488="","⚠ Falta resumen del día",IF(N(L488)&lt;N(H488)-0.01,"⚠ Faltan "&amp;TEXT(N(H488)-N(L488),"0.0")&amp;" h por reportar","✔ OK"))))))))</f>
        <v/>
      </c>
    </row>
    <row r="489" customFormat="false" ht="15" hidden="false" customHeight="false" outlineLevel="0" collapsed="false">
      <c r="A489" s="17"/>
      <c r="B489" s="18"/>
      <c r="C489" s="13" t="str">
        <f aca="false">IF(B489="","",IFERROR(INDEX(Personal!$C$5:$C$104,MATCH(B489,Personal!$B$5:$B$104,0)),""))</f>
        <v/>
      </c>
      <c r="D489" s="18"/>
      <c r="E489" s="19"/>
      <c r="F489" s="19"/>
      <c r="G489" s="20"/>
      <c r="H489" s="16" t="str">
        <f aca="false">IF(OR(E489="",F489=""),"",ROUND(MOD(F489-E489,1)*24-N(G489),2))</f>
        <v/>
      </c>
      <c r="I489" s="18"/>
      <c r="J489" s="18"/>
      <c r="K489" s="18"/>
      <c r="L489" s="16" t="str">
        <f aca="false">IF(OR(A489="",B489=""),"",SUMIFS('Registro por hora'!$H$5:$H$2004,'Registro por hora'!$A$5:$A$2004,A489,'Registro por hora'!$B$5:$B$2004,B489))</f>
        <v/>
      </c>
      <c r="M489" s="13" t="str">
        <f aca="false">IF(B489="","",IF(D489="","⚠ Falta estado",IF(AND(OR(D489="Ausente",D489="Medio día"),I489=""),"⚠ Falta motivo",IF(AND(OR(D489="Ausente",D489="Medio día"),J489=""),"⚠ Falta explicación",IF(D489="Ausente","✔ Ausencia justificada",IF(OR(E489="",F489=""),"⚠ Falta hora de entrada/salida",IF(K489="","⚠ Falta resumen del día",IF(N(L489)&lt;N(H489)-0.01,"⚠ Faltan "&amp;TEXT(N(H489)-N(L489),"0.0")&amp;" h por reportar","✔ OK"))))))))</f>
        <v/>
      </c>
    </row>
    <row r="490" customFormat="false" ht="15" hidden="false" customHeight="false" outlineLevel="0" collapsed="false">
      <c r="A490" s="17"/>
      <c r="B490" s="18"/>
      <c r="C490" s="13" t="str">
        <f aca="false">IF(B490="","",IFERROR(INDEX(Personal!$C$5:$C$104,MATCH(B490,Personal!$B$5:$B$104,0)),""))</f>
        <v/>
      </c>
      <c r="D490" s="18"/>
      <c r="E490" s="19"/>
      <c r="F490" s="19"/>
      <c r="G490" s="20"/>
      <c r="H490" s="16" t="str">
        <f aca="false">IF(OR(E490="",F490=""),"",ROUND(MOD(F490-E490,1)*24-N(G490),2))</f>
        <v/>
      </c>
      <c r="I490" s="18"/>
      <c r="J490" s="18"/>
      <c r="K490" s="18"/>
      <c r="L490" s="16" t="str">
        <f aca="false">IF(OR(A490="",B490=""),"",SUMIFS('Registro por hora'!$H$5:$H$2004,'Registro por hora'!$A$5:$A$2004,A490,'Registro por hora'!$B$5:$B$2004,B490))</f>
        <v/>
      </c>
      <c r="M490" s="13" t="str">
        <f aca="false">IF(B490="","",IF(D490="","⚠ Falta estado",IF(AND(OR(D490="Ausente",D490="Medio día"),I490=""),"⚠ Falta motivo",IF(AND(OR(D490="Ausente",D490="Medio día"),J490=""),"⚠ Falta explicación",IF(D490="Ausente","✔ Ausencia justificada",IF(OR(E490="",F490=""),"⚠ Falta hora de entrada/salida",IF(K490="","⚠ Falta resumen del día",IF(N(L490)&lt;N(H490)-0.01,"⚠ Faltan "&amp;TEXT(N(H490)-N(L490),"0.0")&amp;" h por reportar","✔ OK"))))))))</f>
        <v/>
      </c>
    </row>
    <row r="491" customFormat="false" ht="15" hidden="false" customHeight="false" outlineLevel="0" collapsed="false">
      <c r="A491" s="17"/>
      <c r="B491" s="18"/>
      <c r="C491" s="13" t="str">
        <f aca="false">IF(B491="","",IFERROR(INDEX(Personal!$C$5:$C$104,MATCH(B491,Personal!$B$5:$B$104,0)),""))</f>
        <v/>
      </c>
      <c r="D491" s="18"/>
      <c r="E491" s="19"/>
      <c r="F491" s="19"/>
      <c r="G491" s="20"/>
      <c r="H491" s="16" t="str">
        <f aca="false">IF(OR(E491="",F491=""),"",ROUND(MOD(F491-E491,1)*24-N(G491),2))</f>
        <v/>
      </c>
      <c r="I491" s="18"/>
      <c r="J491" s="18"/>
      <c r="K491" s="18"/>
      <c r="L491" s="16" t="str">
        <f aca="false">IF(OR(A491="",B491=""),"",SUMIFS('Registro por hora'!$H$5:$H$2004,'Registro por hora'!$A$5:$A$2004,A491,'Registro por hora'!$B$5:$B$2004,B491))</f>
        <v/>
      </c>
      <c r="M491" s="13" t="str">
        <f aca="false">IF(B491="","",IF(D491="","⚠ Falta estado",IF(AND(OR(D491="Ausente",D491="Medio día"),I491=""),"⚠ Falta motivo",IF(AND(OR(D491="Ausente",D491="Medio día"),J491=""),"⚠ Falta explicación",IF(D491="Ausente","✔ Ausencia justificada",IF(OR(E491="",F491=""),"⚠ Falta hora de entrada/salida",IF(K491="","⚠ Falta resumen del día",IF(N(L491)&lt;N(H491)-0.01,"⚠ Faltan "&amp;TEXT(N(H491)-N(L491),"0.0")&amp;" h por reportar","✔ OK"))))))))</f>
        <v/>
      </c>
    </row>
    <row r="492" customFormat="false" ht="15" hidden="false" customHeight="false" outlineLevel="0" collapsed="false">
      <c r="A492" s="17"/>
      <c r="B492" s="18"/>
      <c r="C492" s="13" t="str">
        <f aca="false">IF(B492="","",IFERROR(INDEX(Personal!$C$5:$C$104,MATCH(B492,Personal!$B$5:$B$104,0)),""))</f>
        <v/>
      </c>
      <c r="D492" s="18"/>
      <c r="E492" s="19"/>
      <c r="F492" s="19"/>
      <c r="G492" s="20"/>
      <c r="H492" s="16" t="str">
        <f aca="false">IF(OR(E492="",F492=""),"",ROUND(MOD(F492-E492,1)*24-N(G492),2))</f>
        <v/>
      </c>
      <c r="I492" s="18"/>
      <c r="J492" s="18"/>
      <c r="K492" s="18"/>
      <c r="L492" s="16" t="str">
        <f aca="false">IF(OR(A492="",B492=""),"",SUMIFS('Registro por hora'!$H$5:$H$2004,'Registro por hora'!$A$5:$A$2004,A492,'Registro por hora'!$B$5:$B$2004,B492))</f>
        <v/>
      </c>
      <c r="M492" s="13" t="str">
        <f aca="false">IF(B492="","",IF(D492="","⚠ Falta estado",IF(AND(OR(D492="Ausente",D492="Medio día"),I492=""),"⚠ Falta motivo",IF(AND(OR(D492="Ausente",D492="Medio día"),J492=""),"⚠ Falta explicación",IF(D492="Ausente","✔ Ausencia justificada",IF(OR(E492="",F492=""),"⚠ Falta hora de entrada/salida",IF(K492="","⚠ Falta resumen del día",IF(N(L492)&lt;N(H492)-0.01,"⚠ Faltan "&amp;TEXT(N(H492)-N(L492),"0.0")&amp;" h por reportar","✔ OK"))))))))</f>
        <v/>
      </c>
    </row>
    <row r="493" customFormat="false" ht="15" hidden="false" customHeight="false" outlineLevel="0" collapsed="false">
      <c r="A493" s="17"/>
      <c r="B493" s="18"/>
      <c r="C493" s="13" t="str">
        <f aca="false">IF(B493="","",IFERROR(INDEX(Personal!$C$5:$C$104,MATCH(B493,Personal!$B$5:$B$104,0)),""))</f>
        <v/>
      </c>
      <c r="D493" s="18"/>
      <c r="E493" s="19"/>
      <c r="F493" s="19"/>
      <c r="G493" s="20"/>
      <c r="H493" s="16" t="str">
        <f aca="false">IF(OR(E493="",F493=""),"",ROUND(MOD(F493-E493,1)*24-N(G493),2))</f>
        <v/>
      </c>
      <c r="I493" s="18"/>
      <c r="J493" s="18"/>
      <c r="K493" s="18"/>
      <c r="L493" s="16" t="str">
        <f aca="false">IF(OR(A493="",B493=""),"",SUMIFS('Registro por hora'!$H$5:$H$2004,'Registro por hora'!$A$5:$A$2004,A493,'Registro por hora'!$B$5:$B$2004,B493))</f>
        <v/>
      </c>
      <c r="M493" s="13" t="str">
        <f aca="false">IF(B493="","",IF(D493="","⚠ Falta estado",IF(AND(OR(D493="Ausente",D493="Medio día"),I493=""),"⚠ Falta motivo",IF(AND(OR(D493="Ausente",D493="Medio día"),J493=""),"⚠ Falta explicación",IF(D493="Ausente","✔ Ausencia justificada",IF(OR(E493="",F493=""),"⚠ Falta hora de entrada/salida",IF(K493="","⚠ Falta resumen del día",IF(N(L493)&lt;N(H493)-0.01,"⚠ Faltan "&amp;TEXT(N(H493)-N(L493),"0.0")&amp;" h por reportar","✔ OK"))))))))</f>
        <v/>
      </c>
    </row>
    <row r="494" customFormat="false" ht="15" hidden="false" customHeight="false" outlineLevel="0" collapsed="false">
      <c r="A494" s="17"/>
      <c r="B494" s="18"/>
      <c r="C494" s="13" t="str">
        <f aca="false">IF(B494="","",IFERROR(INDEX(Personal!$C$5:$C$104,MATCH(B494,Personal!$B$5:$B$104,0)),""))</f>
        <v/>
      </c>
      <c r="D494" s="18"/>
      <c r="E494" s="19"/>
      <c r="F494" s="19"/>
      <c r="G494" s="20"/>
      <c r="H494" s="16" t="str">
        <f aca="false">IF(OR(E494="",F494=""),"",ROUND(MOD(F494-E494,1)*24-N(G494),2))</f>
        <v/>
      </c>
      <c r="I494" s="18"/>
      <c r="J494" s="18"/>
      <c r="K494" s="18"/>
      <c r="L494" s="16" t="str">
        <f aca="false">IF(OR(A494="",B494=""),"",SUMIFS('Registro por hora'!$H$5:$H$2004,'Registro por hora'!$A$5:$A$2004,A494,'Registro por hora'!$B$5:$B$2004,B494))</f>
        <v/>
      </c>
      <c r="M494" s="13" t="str">
        <f aca="false">IF(B494="","",IF(D494="","⚠ Falta estado",IF(AND(OR(D494="Ausente",D494="Medio día"),I494=""),"⚠ Falta motivo",IF(AND(OR(D494="Ausente",D494="Medio día"),J494=""),"⚠ Falta explicación",IF(D494="Ausente","✔ Ausencia justificada",IF(OR(E494="",F494=""),"⚠ Falta hora de entrada/salida",IF(K494="","⚠ Falta resumen del día",IF(N(L494)&lt;N(H494)-0.01,"⚠ Faltan "&amp;TEXT(N(H494)-N(L494),"0.0")&amp;" h por reportar","✔ OK"))))))))</f>
        <v/>
      </c>
    </row>
    <row r="495" customFormat="false" ht="15" hidden="false" customHeight="false" outlineLevel="0" collapsed="false">
      <c r="A495" s="17"/>
      <c r="B495" s="18"/>
      <c r="C495" s="13" t="str">
        <f aca="false">IF(B495="","",IFERROR(INDEX(Personal!$C$5:$C$104,MATCH(B495,Personal!$B$5:$B$104,0)),""))</f>
        <v/>
      </c>
      <c r="D495" s="18"/>
      <c r="E495" s="19"/>
      <c r="F495" s="19"/>
      <c r="G495" s="20"/>
      <c r="H495" s="16" t="str">
        <f aca="false">IF(OR(E495="",F495=""),"",ROUND(MOD(F495-E495,1)*24-N(G495),2))</f>
        <v/>
      </c>
      <c r="I495" s="18"/>
      <c r="J495" s="18"/>
      <c r="K495" s="18"/>
      <c r="L495" s="16" t="str">
        <f aca="false">IF(OR(A495="",B495=""),"",SUMIFS('Registro por hora'!$H$5:$H$2004,'Registro por hora'!$A$5:$A$2004,A495,'Registro por hora'!$B$5:$B$2004,B495))</f>
        <v/>
      </c>
      <c r="M495" s="13" t="str">
        <f aca="false">IF(B495="","",IF(D495="","⚠ Falta estado",IF(AND(OR(D495="Ausente",D495="Medio día"),I495=""),"⚠ Falta motivo",IF(AND(OR(D495="Ausente",D495="Medio día"),J495=""),"⚠ Falta explicación",IF(D495="Ausente","✔ Ausencia justificada",IF(OR(E495="",F495=""),"⚠ Falta hora de entrada/salida",IF(K495="","⚠ Falta resumen del día",IF(N(L495)&lt;N(H495)-0.01,"⚠ Faltan "&amp;TEXT(N(H495)-N(L495),"0.0")&amp;" h por reportar","✔ OK"))))))))</f>
        <v/>
      </c>
    </row>
    <row r="496" customFormat="false" ht="15" hidden="false" customHeight="false" outlineLevel="0" collapsed="false">
      <c r="A496" s="17"/>
      <c r="B496" s="18"/>
      <c r="C496" s="13" t="str">
        <f aca="false">IF(B496="","",IFERROR(INDEX(Personal!$C$5:$C$104,MATCH(B496,Personal!$B$5:$B$104,0)),""))</f>
        <v/>
      </c>
      <c r="D496" s="18"/>
      <c r="E496" s="19"/>
      <c r="F496" s="19"/>
      <c r="G496" s="20"/>
      <c r="H496" s="16" t="str">
        <f aca="false">IF(OR(E496="",F496=""),"",ROUND(MOD(F496-E496,1)*24-N(G496),2))</f>
        <v/>
      </c>
      <c r="I496" s="18"/>
      <c r="J496" s="18"/>
      <c r="K496" s="18"/>
      <c r="L496" s="16" t="str">
        <f aca="false">IF(OR(A496="",B496=""),"",SUMIFS('Registro por hora'!$H$5:$H$2004,'Registro por hora'!$A$5:$A$2004,A496,'Registro por hora'!$B$5:$B$2004,B496))</f>
        <v/>
      </c>
      <c r="M496" s="13" t="str">
        <f aca="false">IF(B496="","",IF(D496="","⚠ Falta estado",IF(AND(OR(D496="Ausente",D496="Medio día"),I496=""),"⚠ Falta motivo",IF(AND(OR(D496="Ausente",D496="Medio día"),J496=""),"⚠ Falta explicación",IF(D496="Ausente","✔ Ausencia justificada",IF(OR(E496="",F496=""),"⚠ Falta hora de entrada/salida",IF(K496="","⚠ Falta resumen del día",IF(N(L496)&lt;N(H496)-0.01,"⚠ Faltan "&amp;TEXT(N(H496)-N(L496),"0.0")&amp;" h por reportar","✔ OK"))))))))</f>
        <v/>
      </c>
    </row>
    <row r="497" customFormat="false" ht="15" hidden="false" customHeight="false" outlineLevel="0" collapsed="false">
      <c r="A497" s="17"/>
      <c r="B497" s="18"/>
      <c r="C497" s="13" t="str">
        <f aca="false">IF(B497="","",IFERROR(INDEX(Personal!$C$5:$C$104,MATCH(B497,Personal!$B$5:$B$104,0)),""))</f>
        <v/>
      </c>
      <c r="D497" s="18"/>
      <c r="E497" s="19"/>
      <c r="F497" s="19"/>
      <c r="G497" s="20"/>
      <c r="H497" s="16" t="str">
        <f aca="false">IF(OR(E497="",F497=""),"",ROUND(MOD(F497-E497,1)*24-N(G497),2))</f>
        <v/>
      </c>
      <c r="I497" s="18"/>
      <c r="J497" s="18"/>
      <c r="K497" s="18"/>
      <c r="L497" s="16" t="str">
        <f aca="false">IF(OR(A497="",B497=""),"",SUMIFS('Registro por hora'!$H$5:$H$2004,'Registro por hora'!$A$5:$A$2004,A497,'Registro por hora'!$B$5:$B$2004,B497))</f>
        <v/>
      </c>
      <c r="M497" s="13" t="str">
        <f aca="false">IF(B497="","",IF(D497="","⚠ Falta estado",IF(AND(OR(D497="Ausente",D497="Medio día"),I497=""),"⚠ Falta motivo",IF(AND(OR(D497="Ausente",D497="Medio día"),J497=""),"⚠ Falta explicación",IF(D497="Ausente","✔ Ausencia justificada",IF(OR(E497="",F497=""),"⚠ Falta hora de entrada/salida",IF(K497="","⚠ Falta resumen del día",IF(N(L497)&lt;N(H497)-0.01,"⚠ Faltan "&amp;TEXT(N(H497)-N(L497),"0.0")&amp;" h por reportar","✔ OK"))))))))</f>
        <v/>
      </c>
    </row>
    <row r="498" customFormat="false" ht="15" hidden="false" customHeight="false" outlineLevel="0" collapsed="false">
      <c r="A498" s="17"/>
      <c r="B498" s="18"/>
      <c r="C498" s="13" t="str">
        <f aca="false">IF(B498="","",IFERROR(INDEX(Personal!$C$5:$C$104,MATCH(B498,Personal!$B$5:$B$104,0)),""))</f>
        <v/>
      </c>
      <c r="D498" s="18"/>
      <c r="E498" s="19"/>
      <c r="F498" s="19"/>
      <c r="G498" s="20"/>
      <c r="H498" s="16" t="str">
        <f aca="false">IF(OR(E498="",F498=""),"",ROUND(MOD(F498-E498,1)*24-N(G498),2))</f>
        <v/>
      </c>
      <c r="I498" s="18"/>
      <c r="J498" s="18"/>
      <c r="K498" s="18"/>
      <c r="L498" s="16" t="str">
        <f aca="false">IF(OR(A498="",B498=""),"",SUMIFS('Registro por hora'!$H$5:$H$2004,'Registro por hora'!$A$5:$A$2004,A498,'Registro por hora'!$B$5:$B$2004,B498))</f>
        <v/>
      </c>
      <c r="M498" s="13" t="str">
        <f aca="false">IF(B498="","",IF(D498="","⚠ Falta estado",IF(AND(OR(D498="Ausente",D498="Medio día"),I498=""),"⚠ Falta motivo",IF(AND(OR(D498="Ausente",D498="Medio día"),J498=""),"⚠ Falta explicación",IF(D498="Ausente","✔ Ausencia justificada",IF(OR(E498="",F498=""),"⚠ Falta hora de entrada/salida",IF(K498="","⚠ Falta resumen del día",IF(N(L498)&lt;N(H498)-0.01,"⚠ Faltan "&amp;TEXT(N(H498)-N(L498),"0.0")&amp;" h por reportar","✔ OK"))))))))</f>
        <v/>
      </c>
    </row>
    <row r="499" customFormat="false" ht="15" hidden="false" customHeight="false" outlineLevel="0" collapsed="false">
      <c r="A499" s="17"/>
      <c r="B499" s="18"/>
      <c r="C499" s="13" t="str">
        <f aca="false">IF(B499="","",IFERROR(INDEX(Personal!$C$5:$C$104,MATCH(B499,Personal!$B$5:$B$104,0)),""))</f>
        <v/>
      </c>
      <c r="D499" s="18"/>
      <c r="E499" s="19"/>
      <c r="F499" s="19"/>
      <c r="G499" s="20"/>
      <c r="H499" s="16" t="str">
        <f aca="false">IF(OR(E499="",F499=""),"",ROUND(MOD(F499-E499,1)*24-N(G499),2))</f>
        <v/>
      </c>
      <c r="I499" s="18"/>
      <c r="J499" s="18"/>
      <c r="K499" s="18"/>
      <c r="L499" s="16" t="str">
        <f aca="false">IF(OR(A499="",B499=""),"",SUMIFS('Registro por hora'!$H$5:$H$2004,'Registro por hora'!$A$5:$A$2004,A499,'Registro por hora'!$B$5:$B$2004,B499))</f>
        <v/>
      </c>
      <c r="M499" s="13" t="str">
        <f aca="false">IF(B499="","",IF(D499="","⚠ Falta estado",IF(AND(OR(D499="Ausente",D499="Medio día"),I499=""),"⚠ Falta motivo",IF(AND(OR(D499="Ausente",D499="Medio día"),J499=""),"⚠ Falta explicación",IF(D499="Ausente","✔ Ausencia justificada",IF(OR(E499="",F499=""),"⚠ Falta hora de entrada/salida",IF(K499="","⚠ Falta resumen del día",IF(N(L499)&lt;N(H499)-0.01,"⚠ Faltan "&amp;TEXT(N(H499)-N(L499),"0.0")&amp;" h por reportar","✔ OK"))))))))</f>
        <v/>
      </c>
    </row>
    <row r="500" customFormat="false" ht="15" hidden="false" customHeight="false" outlineLevel="0" collapsed="false">
      <c r="A500" s="17"/>
      <c r="B500" s="18"/>
      <c r="C500" s="13" t="str">
        <f aca="false">IF(B500="","",IFERROR(INDEX(Personal!$C$5:$C$104,MATCH(B500,Personal!$B$5:$B$104,0)),""))</f>
        <v/>
      </c>
      <c r="D500" s="18"/>
      <c r="E500" s="19"/>
      <c r="F500" s="19"/>
      <c r="G500" s="20"/>
      <c r="H500" s="16" t="str">
        <f aca="false">IF(OR(E500="",F500=""),"",ROUND(MOD(F500-E500,1)*24-N(G500),2))</f>
        <v/>
      </c>
      <c r="I500" s="18"/>
      <c r="J500" s="18"/>
      <c r="K500" s="18"/>
      <c r="L500" s="16" t="str">
        <f aca="false">IF(OR(A500="",B500=""),"",SUMIFS('Registro por hora'!$H$5:$H$2004,'Registro por hora'!$A$5:$A$2004,A500,'Registro por hora'!$B$5:$B$2004,B500))</f>
        <v/>
      </c>
      <c r="M500" s="13" t="str">
        <f aca="false">IF(B500="","",IF(D500="","⚠ Falta estado",IF(AND(OR(D500="Ausente",D500="Medio día"),I500=""),"⚠ Falta motivo",IF(AND(OR(D500="Ausente",D500="Medio día"),J500=""),"⚠ Falta explicación",IF(D500="Ausente","✔ Ausencia justificada",IF(OR(E500="",F500=""),"⚠ Falta hora de entrada/salida",IF(K500="","⚠ Falta resumen del día",IF(N(L500)&lt;N(H500)-0.01,"⚠ Faltan "&amp;TEXT(N(H500)-N(L500),"0.0")&amp;" h por reportar","✔ OK"))))))))</f>
        <v/>
      </c>
    </row>
    <row r="501" customFormat="false" ht="15" hidden="false" customHeight="false" outlineLevel="0" collapsed="false">
      <c r="A501" s="17"/>
      <c r="B501" s="18"/>
      <c r="C501" s="13" t="str">
        <f aca="false">IF(B501="","",IFERROR(INDEX(Personal!$C$5:$C$104,MATCH(B501,Personal!$B$5:$B$104,0)),""))</f>
        <v/>
      </c>
      <c r="D501" s="18"/>
      <c r="E501" s="19"/>
      <c r="F501" s="19"/>
      <c r="G501" s="20"/>
      <c r="H501" s="16" t="str">
        <f aca="false">IF(OR(E501="",F501=""),"",ROUND(MOD(F501-E501,1)*24-N(G501),2))</f>
        <v/>
      </c>
      <c r="I501" s="18"/>
      <c r="J501" s="18"/>
      <c r="K501" s="18"/>
      <c r="L501" s="16" t="str">
        <f aca="false">IF(OR(A501="",B501=""),"",SUMIFS('Registro por hora'!$H$5:$H$2004,'Registro por hora'!$A$5:$A$2004,A501,'Registro por hora'!$B$5:$B$2004,B501))</f>
        <v/>
      </c>
      <c r="M501" s="13" t="str">
        <f aca="false">IF(B501="","",IF(D501="","⚠ Falta estado",IF(AND(OR(D501="Ausente",D501="Medio día"),I501=""),"⚠ Falta motivo",IF(AND(OR(D501="Ausente",D501="Medio día"),J501=""),"⚠ Falta explicación",IF(D501="Ausente","✔ Ausencia justificada",IF(OR(E501="",F501=""),"⚠ Falta hora de entrada/salida",IF(K501="","⚠ Falta resumen del día",IF(N(L501)&lt;N(H501)-0.01,"⚠ Faltan "&amp;TEXT(N(H501)-N(L501),"0.0")&amp;" h por reportar","✔ OK"))))))))</f>
        <v/>
      </c>
    </row>
    <row r="502" customFormat="false" ht="15" hidden="false" customHeight="false" outlineLevel="0" collapsed="false">
      <c r="A502" s="17"/>
      <c r="B502" s="18"/>
      <c r="C502" s="13" t="str">
        <f aca="false">IF(B502="","",IFERROR(INDEX(Personal!$C$5:$C$104,MATCH(B502,Personal!$B$5:$B$104,0)),""))</f>
        <v/>
      </c>
      <c r="D502" s="18"/>
      <c r="E502" s="19"/>
      <c r="F502" s="19"/>
      <c r="G502" s="20"/>
      <c r="H502" s="16" t="str">
        <f aca="false">IF(OR(E502="",F502=""),"",ROUND(MOD(F502-E502,1)*24-N(G502),2))</f>
        <v/>
      </c>
      <c r="I502" s="18"/>
      <c r="J502" s="18"/>
      <c r="K502" s="18"/>
      <c r="L502" s="16" t="str">
        <f aca="false">IF(OR(A502="",B502=""),"",SUMIFS('Registro por hora'!$H$5:$H$2004,'Registro por hora'!$A$5:$A$2004,A502,'Registro por hora'!$B$5:$B$2004,B502))</f>
        <v/>
      </c>
      <c r="M502" s="13" t="str">
        <f aca="false">IF(B502="","",IF(D502="","⚠ Falta estado",IF(AND(OR(D502="Ausente",D502="Medio día"),I502=""),"⚠ Falta motivo",IF(AND(OR(D502="Ausente",D502="Medio día"),J502=""),"⚠ Falta explicación",IF(D502="Ausente","✔ Ausencia justificada",IF(OR(E502="",F502=""),"⚠ Falta hora de entrada/salida",IF(K502="","⚠ Falta resumen del día",IF(N(L502)&lt;N(H502)-0.01,"⚠ Faltan "&amp;TEXT(N(H502)-N(L502),"0.0")&amp;" h por reportar","✔ OK"))))))))</f>
        <v/>
      </c>
    </row>
    <row r="503" customFormat="false" ht="15" hidden="false" customHeight="false" outlineLevel="0" collapsed="false">
      <c r="A503" s="17"/>
      <c r="B503" s="18"/>
      <c r="C503" s="13" t="str">
        <f aca="false">IF(B503="","",IFERROR(INDEX(Personal!$C$5:$C$104,MATCH(B503,Personal!$B$5:$B$104,0)),""))</f>
        <v/>
      </c>
      <c r="D503" s="18"/>
      <c r="E503" s="19"/>
      <c r="F503" s="19"/>
      <c r="G503" s="20"/>
      <c r="H503" s="16" t="str">
        <f aca="false">IF(OR(E503="",F503=""),"",ROUND(MOD(F503-E503,1)*24-N(G503),2))</f>
        <v/>
      </c>
      <c r="I503" s="18"/>
      <c r="J503" s="18"/>
      <c r="K503" s="18"/>
      <c r="L503" s="16" t="str">
        <f aca="false">IF(OR(A503="",B503=""),"",SUMIFS('Registro por hora'!$H$5:$H$2004,'Registro por hora'!$A$5:$A$2004,A503,'Registro por hora'!$B$5:$B$2004,B503))</f>
        <v/>
      </c>
      <c r="M503" s="13" t="str">
        <f aca="false">IF(B503="","",IF(D503="","⚠ Falta estado",IF(AND(OR(D503="Ausente",D503="Medio día"),I503=""),"⚠ Falta motivo",IF(AND(OR(D503="Ausente",D503="Medio día"),J503=""),"⚠ Falta explicación",IF(D503="Ausente","✔ Ausencia justificada",IF(OR(E503="",F503=""),"⚠ Falta hora de entrada/salida",IF(K503="","⚠ Falta resumen del día",IF(N(L503)&lt;N(H503)-0.01,"⚠ Faltan "&amp;TEXT(N(H503)-N(L503),"0.0")&amp;" h por reportar","✔ OK"))))))))</f>
        <v/>
      </c>
    </row>
    <row r="504" customFormat="false" ht="15" hidden="false" customHeight="false" outlineLevel="0" collapsed="false">
      <c r="A504" s="17"/>
      <c r="B504" s="18"/>
      <c r="C504" s="13" t="str">
        <f aca="false">IF(B504="","",IFERROR(INDEX(Personal!$C$5:$C$104,MATCH(B504,Personal!$B$5:$B$104,0)),""))</f>
        <v/>
      </c>
      <c r="D504" s="18"/>
      <c r="E504" s="19"/>
      <c r="F504" s="19"/>
      <c r="G504" s="20"/>
      <c r="H504" s="16" t="str">
        <f aca="false">IF(OR(E504="",F504=""),"",ROUND(MOD(F504-E504,1)*24-N(G504),2))</f>
        <v/>
      </c>
      <c r="I504" s="18"/>
      <c r="J504" s="18"/>
      <c r="K504" s="18"/>
      <c r="L504" s="16" t="str">
        <f aca="false">IF(OR(A504="",B504=""),"",SUMIFS('Registro por hora'!$H$5:$H$2004,'Registro por hora'!$A$5:$A$2004,A504,'Registro por hora'!$B$5:$B$2004,B504))</f>
        <v/>
      </c>
      <c r="M504" s="13" t="str">
        <f aca="false">IF(B504="","",IF(D504="","⚠ Falta estado",IF(AND(OR(D504="Ausente",D504="Medio día"),I504=""),"⚠ Falta motivo",IF(AND(OR(D504="Ausente",D504="Medio día"),J504=""),"⚠ Falta explicación",IF(D504="Ausente","✔ Ausencia justificada",IF(OR(E504="",F504=""),"⚠ Falta hora de entrada/salida",IF(K504="","⚠ Falta resumen del día",IF(N(L504)&lt;N(H504)-0.01,"⚠ Faltan "&amp;TEXT(N(H504)-N(L504),"0.0")&amp;" h por reportar","✔ OK"))))))))</f>
        <v/>
      </c>
    </row>
  </sheetData>
  <autoFilter ref="A4:M504"/>
  <conditionalFormatting sqref="M5:M504">
    <cfRule type="expression" priority="2" aboveAverage="0" equalAverage="0" bottom="0" percent="0" rank="0" text="" dxfId="10">
      <formula>LEFT(M5,1)="⚠"</formula>
    </cfRule>
    <cfRule type="expression" priority="3" aboveAverage="0" equalAverage="0" bottom="0" percent="0" rank="0" text="" dxfId="11">
      <formula>LEFT(M5,1)="✔"</formula>
    </cfRule>
  </conditionalFormatting>
  <conditionalFormatting sqref="D5:D504">
    <cfRule type="expression" priority="4" aboveAverage="0" equalAverage="0" bottom="0" percent="0" rank="0" text="" dxfId="12">
      <formula>D5="Ausente"</formula>
    </cfRule>
  </conditionalFormatting>
  <conditionalFormatting sqref="I5:J504">
    <cfRule type="expression" priority="5" aboveAverage="0" equalAverage="0" bottom="0" percent="0" rank="0" text="" dxfId="13">
      <formula>AND(OR($D5="Ausente",$D5="Medio día"),I5="")</formula>
    </cfRule>
  </conditionalFormatting>
  <dataValidations count="4">
    <dataValidation allowBlank="true" error="Elige un colaborador de la lista (pestaña Personal)." errorStyle="stop" errorTitle="Valor no válido" operator="between" showDropDown="false" showErrorMessage="true" showInputMessage="false" sqref="B5:B504" type="list">
      <formula1>Personal!$B$5:$B$104</formula1>
      <formula2>0</formula2>
    </dataValidation>
    <dataValidation allowBlank="true" error="Elige un estado de la lista." errorStyle="stop" errorTitle="Valor no válido" operator="between" showDropDown="false" showErrorMessage="true" showInputMessage="false" sqref="D5:D504" type="list">
      <formula1>Catálogos!$A$5:$A$20</formula1>
      <formula2>0</formula2>
    </dataValidation>
    <dataValidation allowBlank="true" errorStyle="warning" operator="between" showDropDown="false" showErrorMessage="true" showInputMessage="false" sqref="I5:I504" type="list">
      <formula1>Catálogos!$B$5:$B$30</formula1>
      <formula2>0</formula2>
    </dataValidation>
    <dataValidation allowBlank="true" errorStyle="warning" operator="between" showDropDown="false" showErrorMessage="true" showInputMessage="false" sqref="E5:F504" type="list">
      <formula1>Catálogos!$D$5:$D$39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44"/>
    <col collapsed="false" customWidth="true" hidden="false" outlineLevel="0" max="6" min="6" style="0" width="9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9" t="s">
        <v>27</v>
      </c>
      <c r="B4" s="9" t="s">
        <v>28</v>
      </c>
      <c r="C4" s="9" t="s">
        <v>49</v>
      </c>
      <c r="D4" s="9" t="s">
        <v>50</v>
      </c>
      <c r="E4" s="9" t="s">
        <v>51</v>
      </c>
      <c r="F4" s="9" t="s">
        <v>52</v>
      </c>
      <c r="G4" s="10" t="s">
        <v>53</v>
      </c>
      <c r="H4" s="10" t="s">
        <v>54</v>
      </c>
      <c r="I4" s="9" t="s">
        <v>55</v>
      </c>
      <c r="J4" s="9" t="s">
        <v>56</v>
      </c>
      <c r="K4" s="9" t="s">
        <v>57</v>
      </c>
    </row>
    <row r="5" customFormat="false" ht="23.85" hidden="false" customHeight="false" outlineLevel="0" collapsed="false">
      <c r="A5" s="11" t="n">
        <v>46301</v>
      </c>
      <c r="B5" s="12" t="s">
        <v>40</v>
      </c>
      <c r="C5" s="14" t="n">
        <v>0.375</v>
      </c>
      <c r="D5" s="14" t="n">
        <v>0.416666666666667</v>
      </c>
      <c r="E5" s="12" t="s">
        <v>58</v>
      </c>
      <c r="F5" s="12" t="s">
        <v>59</v>
      </c>
      <c r="G5" s="13" t="str">
        <f aca="false">IF(F5="","",IFERROR(INDEX(Metas!$B$5:$B$54,MATCH(F5,Metas!$A$5:$A$54,0)),"⚠ ID de meta no existe"))</f>
        <v>Incrementar ventas 15% en el año</v>
      </c>
      <c r="H5" s="16" t="n">
        <f aca="false">IF(OR(C5="",D5=""),"",ROUND(MOD(D5-C5,1)*24,2))</f>
        <v>1</v>
      </c>
      <c r="I5" s="12" t="s">
        <v>60</v>
      </c>
      <c r="J5" s="12" t="s">
        <v>61</v>
      </c>
      <c r="K5" s="12"/>
    </row>
    <row r="6" customFormat="false" ht="15" hidden="false" customHeight="false" outlineLevel="0" collapsed="false">
      <c r="A6" s="11" t="n">
        <v>46301</v>
      </c>
      <c r="B6" s="12" t="s">
        <v>40</v>
      </c>
      <c r="C6" s="14" t="n">
        <v>0.416666666666667</v>
      </c>
      <c r="D6" s="14" t="n">
        <v>0.458333333333333</v>
      </c>
      <c r="E6" s="12" t="s">
        <v>62</v>
      </c>
      <c r="F6" s="12" t="s">
        <v>59</v>
      </c>
      <c r="G6" s="13" t="str">
        <f aca="false">IF(F6="","",IFERROR(INDEX(Metas!$B$5:$B$54,MATCH(F6,Metas!$A$5:$A$54,0)),"⚠ ID de meta no existe"))</f>
        <v>Incrementar ventas 15% en el año</v>
      </c>
      <c r="H6" s="16" t="n">
        <f aca="false">IF(OR(C6="",D6=""),"",ROUND(MOD(D6-C6,1)*24,2))</f>
        <v>1</v>
      </c>
      <c r="I6" s="12" t="s">
        <v>63</v>
      </c>
      <c r="J6" s="12" t="s">
        <v>61</v>
      </c>
      <c r="K6" s="12"/>
    </row>
    <row r="7" customFormat="false" ht="15" hidden="false" customHeight="false" outlineLevel="0" collapsed="false">
      <c r="A7" s="11" t="n">
        <v>46301</v>
      </c>
      <c r="B7" s="12" t="s">
        <v>40</v>
      </c>
      <c r="C7" s="14" t="n">
        <v>0.458333333333333</v>
      </c>
      <c r="D7" s="14" t="n">
        <v>0.5</v>
      </c>
      <c r="E7" s="12" t="s">
        <v>64</v>
      </c>
      <c r="F7" s="12" t="s">
        <v>59</v>
      </c>
      <c r="G7" s="13" t="str">
        <f aca="false">IF(F7="","",IFERROR(INDEX(Metas!$B$5:$B$54,MATCH(F7,Metas!$A$5:$A$54,0)),"⚠ ID de meta no existe"))</f>
        <v>Incrementar ventas 15% en el año</v>
      </c>
      <c r="H7" s="16" t="n">
        <f aca="false">IF(OR(C7="",D7=""),"",ROUND(MOD(D7-C7,1)*24,2))</f>
        <v>1</v>
      </c>
      <c r="I7" s="12" t="s">
        <v>65</v>
      </c>
      <c r="J7" s="12" t="s">
        <v>61</v>
      </c>
      <c r="K7" s="12"/>
    </row>
    <row r="8" customFormat="false" ht="15" hidden="false" customHeight="false" outlineLevel="0" collapsed="false">
      <c r="A8" s="11" t="n">
        <v>46301</v>
      </c>
      <c r="B8" s="12" t="s">
        <v>40</v>
      </c>
      <c r="C8" s="14" t="n">
        <v>0.5</v>
      </c>
      <c r="D8" s="14" t="n">
        <v>0.541666666666667</v>
      </c>
      <c r="E8" s="12" t="s">
        <v>66</v>
      </c>
      <c r="F8" s="12" t="s">
        <v>59</v>
      </c>
      <c r="G8" s="13" t="str">
        <f aca="false">IF(F8="","",IFERROR(INDEX(Metas!$B$5:$B$54,MATCH(F8,Metas!$A$5:$A$54,0)),"⚠ ID de meta no existe"))</f>
        <v>Incrementar ventas 15% en el año</v>
      </c>
      <c r="H8" s="16" t="n">
        <f aca="false">IF(OR(C8="",D8=""),"",ROUND(MOD(D8-C8,1)*24,2))</f>
        <v>1</v>
      </c>
      <c r="I8" s="12" t="s">
        <v>67</v>
      </c>
      <c r="J8" s="12" t="s">
        <v>68</v>
      </c>
      <c r="K8" s="12" t="s">
        <v>69</v>
      </c>
    </row>
    <row r="9" customFormat="false" ht="15" hidden="false" customHeight="false" outlineLevel="0" collapsed="false">
      <c r="A9" s="11" t="n">
        <v>46301</v>
      </c>
      <c r="B9" s="12" t="s">
        <v>40</v>
      </c>
      <c r="C9" s="14" t="n">
        <v>0.583333333333333</v>
      </c>
      <c r="D9" s="14" t="n">
        <v>0.625</v>
      </c>
      <c r="E9" s="12" t="s">
        <v>70</v>
      </c>
      <c r="F9" s="12" t="s">
        <v>71</v>
      </c>
      <c r="G9" s="13" t="str">
        <f aca="false">IF(F9="","",IFERROR(INDEX(Metas!$B$5:$B$54,MATCH(F9,Metas!$A$5:$A$54,0)),"⚠ ID de meta no existe"))</f>
        <v>Mejorar satisfacción del cliente</v>
      </c>
      <c r="H9" s="16" t="n">
        <f aca="false">IF(OR(C9="",D9=""),"",ROUND(MOD(D9-C9,1)*24,2))</f>
        <v>1</v>
      </c>
      <c r="I9" s="12" t="s">
        <v>72</v>
      </c>
      <c r="J9" s="12" t="s">
        <v>61</v>
      </c>
      <c r="K9" s="12"/>
    </row>
    <row r="10" customFormat="false" ht="15" hidden="false" customHeight="false" outlineLevel="0" collapsed="false">
      <c r="A10" s="11" t="n">
        <v>46301</v>
      </c>
      <c r="B10" s="12" t="s">
        <v>40</v>
      </c>
      <c r="C10" s="14" t="n">
        <v>0.625</v>
      </c>
      <c r="D10" s="14" t="n">
        <v>0.666666666666667</v>
      </c>
      <c r="E10" s="12" t="s">
        <v>73</v>
      </c>
      <c r="F10" s="12" t="s">
        <v>74</v>
      </c>
      <c r="G10" s="13" t="str">
        <f aca="false">IF(F10="","",IFERROR(INDEX(Metas!$B$5:$B$54,MATCH(F10,Metas!$A$5:$A$54,0)),"⚠ ID de meta no existe"))</f>
        <v>Administrativo / soporte general</v>
      </c>
      <c r="H10" s="16" t="n">
        <f aca="false">IF(OR(C10="",D10=""),"",ROUND(MOD(D10-C10,1)*24,2))</f>
        <v>1</v>
      </c>
      <c r="I10" s="12" t="s">
        <v>75</v>
      </c>
      <c r="J10" s="12" t="s">
        <v>61</v>
      </c>
      <c r="K10" s="12"/>
    </row>
    <row r="11" customFormat="false" ht="15" hidden="false" customHeight="false" outlineLevel="0" collapsed="false">
      <c r="A11" s="11" t="n">
        <v>46301</v>
      </c>
      <c r="B11" s="12" t="s">
        <v>40</v>
      </c>
      <c r="C11" s="14" t="n">
        <v>0.666666666666667</v>
      </c>
      <c r="D11" s="14" t="n">
        <v>0.708333333333333</v>
      </c>
      <c r="E11" s="12" t="s">
        <v>76</v>
      </c>
      <c r="F11" s="12" t="s">
        <v>77</v>
      </c>
      <c r="G11" s="13" t="str">
        <f aca="false">IF(F11="","",IFERROR(INDEX(Metas!$B$5:$B$54,MATCH(F11,Metas!$A$5:$A$54,0)),"⚠ ID de meta no existe"))</f>
        <v>Capacitación y desarrollo del equipo</v>
      </c>
      <c r="H11" s="16" t="n">
        <f aca="false">IF(OR(C11="",D11=""),"",ROUND(MOD(D11-C11,1)*24,2))</f>
        <v>1</v>
      </c>
      <c r="I11" s="12" t="s">
        <v>78</v>
      </c>
      <c r="J11" s="12" t="s">
        <v>61</v>
      </c>
      <c r="K11" s="12"/>
    </row>
    <row r="12" customFormat="false" ht="15" hidden="false" customHeight="false" outlineLevel="0" collapsed="false">
      <c r="A12" s="11" t="n">
        <v>46301</v>
      </c>
      <c r="B12" s="12" t="s">
        <v>40</v>
      </c>
      <c r="C12" s="14" t="n">
        <v>0.708333333333333</v>
      </c>
      <c r="D12" s="14" t="n">
        <v>0.75</v>
      </c>
      <c r="E12" s="12" t="s">
        <v>79</v>
      </c>
      <c r="F12" s="12" t="s">
        <v>59</v>
      </c>
      <c r="G12" s="13" t="str">
        <f aca="false">IF(F12="","",IFERROR(INDEX(Metas!$B$5:$B$54,MATCH(F12,Metas!$A$5:$A$54,0)),"⚠ ID de meta no existe"))</f>
        <v>Incrementar ventas 15% en el año</v>
      </c>
      <c r="H12" s="16" t="n">
        <f aca="false">IF(OR(C12="",D12=""),"",ROUND(MOD(D12-C12,1)*24,2))</f>
        <v>1</v>
      </c>
      <c r="I12" s="12" t="s">
        <v>80</v>
      </c>
      <c r="J12" s="12" t="s">
        <v>61</v>
      </c>
      <c r="K12" s="12"/>
    </row>
    <row r="13" customFormat="false" ht="15" hidden="false" customHeight="false" outlineLevel="0" collapsed="false">
      <c r="A13" s="17"/>
      <c r="B13" s="18"/>
      <c r="C13" s="19"/>
      <c r="D13" s="19"/>
      <c r="E13" s="18"/>
      <c r="F13" s="18"/>
      <c r="G13" s="13" t="str">
        <f aca="false">IF(F13="","",IFERROR(INDEX(Metas!$B$5:$B$54,MATCH(F13,Metas!$A$5:$A$54,0)),"⚠ ID de meta no existe"))</f>
        <v/>
      </c>
      <c r="H13" s="16" t="str">
        <f aca="false">IF(OR(C13="",D13=""),"",ROUND(MOD(D13-C13,1)*24,2))</f>
        <v/>
      </c>
      <c r="I13" s="18"/>
      <c r="J13" s="18"/>
      <c r="K13" s="18"/>
    </row>
    <row r="14" customFormat="false" ht="15" hidden="false" customHeight="false" outlineLevel="0" collapsed="false">
      <c r="A14" s="17"/>
      <c r="B14" s="18"/>
      <c r="C14" s="19"/>
      <c r="D14" s="19"/>
      <c r="E14" s="18"/>
      <c r="F14" s="18"/>
      <c r="G14" s="13" t="str">
        <f aca="false">IF(F14="","",IFERROR(INDEX(Metas!$B$5:$B$54,MATCH(F14,Metas!$A$5:$A$54,0)),"⚠ ID de meta no existe"))</f>
        <v/>
      </c>
      <c r="H14" s="16" t="str">
        <f aca="false">IF(OR(C14="",D14=""),"",ROUND(MOD(D14-C14,1)*24,2))</f>
        <v/>
      </c>
      <c r="I14" s="18"/>
      <c r="J14" s="18"/>
      <c r="K14" s="18"/>
    </row>
    <row r="15" customFormat="false" ht="15" hidden="false" customHeight="false" outlineLevel="0" collapsed="false">
      <c r="A15" s="17"/>
      <c r="B15" s="18"/>
      <c r="C15" s="19"/>
      <c r="D15" s="19"/>
      <c r="E15" s="18"/>
      <c r="F15" s="18"/>
      <c r="G15" s="13" t="str">
        <f aca="false">IF(F15="","",IFERROR(INDEX(Metas!$B$5:$B$54,MATCH(F15,Metas!$A$5:$A$54,0)),"⚠ ID de meta no existe"))</f>
        <v/>
      </c>
      <c r="H15" s="16" t="str">
        <f aca="false">IF(OR(C15="",D15=""),"",ROUND(MOD(D15-C15,1)*24,2))</f>
        <v/>
      </c>
      <c r="I15" s="18"/>
      <c r="J15" s="18"/>
      <c r="K15" s="18"/>
    </row>
    <row r="16" customFormat="false" ht="15" hidden="false" customHeight="false" outlineLevel="0" collapsed="false">
      <c r="A16" s="17"/>
      <c r="B16" s="18"/>
      <c r="C16" s="19"/>
      <c r="D16" s="19"/>
      <c r="E16" s="18"/>
      <c r="F16" s="18"/>
      <c r="G16" s="13" t="str">
        <f aca="false">IF(F16="","",IFERROR(INDEX(Metas!$B$5:$B$54,MATCH(F16,Metas!$A$5:$A$54,0)),"⚠ ID de meta no existe"))</f>
        <v/>
      </c>
      <c r="H16" s="16" t="str">
        <f aca="false">IF(OR(C16="",D16=""),"",ROUND(MOD(D16-C16,1)*24,2))</f>
        <v/>
      </c>
      <c r="I16" s="18"/>
      <c r="J16" s="18"/>
      <c r="K16" s="18"/>
    </row>
    <row r="17" customFormat="false" ht="15" hidden="false" customHeight="false" outlineLevel="0" collapsed="false">
      <c r="A17" s="17"/>
      <c r="B17" s="18"/>
      <c r="C17" s="19"/>
      <c r="D17" s="19"/>
      <c r="E17" s="18"/>
      <c r="F17" s="18"/>
      <c r="G17" s="13" t="str">
        <f aca="false">IF(F17="","",IFERROR(INDEX(Metas!$B$5:$B$54,MATCH(F17,Metas!$A$5:$A$54,0)),"⚠ ID de meta no existe"))</f>
        <v/>
      </c>
      <c r="H17" s="16" t="str">
        <f aca="false">IF(OR(C17="",D17=""),"",ROUND(MOD(D17-C17,1)*24,2))</f>
        <v/>
      </c>
      <c r="I17" s="18"/>
      <c r="J17" s="18"/>
      <c r="K17" s="18"/>
    </row>
    <row r="18" customFormat="false" ht="15" hidden="false" customHeight="false" outlineLevel="0" collapsed="false">
      <c r="A18" s="17"/>
      <c r="B18" s="18"/>
      <c r="C18" s="19"/>
      <c r="D18" s="19"/>
      <c r="E18" s="18"/>
      <c r="F18" s="18"/>
      <c r="G18" s="13" t="str">
        <f aca="false">IF(F18="","",IFERROR(INDEX(Metas!$B$5:$B$54,MATCH(F18,Metas!$A$5:$A$54,0)),"⚠ ID de meta no existe"))</f>
        <v/>
      </c>
      <c r="H18" s="16" t="str">
        <f aca="false">IF(OR(C18="",D18=""),"",ROUND(MOD(D18-C18,1)*24,2))</f>
        <v/>
      </c>
      <c r="I18" s="18"/>
      <c r="J18" s="18"/>
      <c r="K18" s="18"/>
    </row>
    <row r="19" customFormat="false" ht="15" hidden="false" customHeight="false" outlineLevel="0" collapsed="false">
      <c r="A19" s="17"/>
      <c r="B19" s="18"/>
      <c r="C19" s="19"/>
      <c r="D19" s="19"/>
      <c r="E19" s="18"/>
      <c r="F19" s="18"/>
      <c r="G19" s="13" t="str">
        <f aca="false">IF(F19="","",IFERROR(INDEX(Metas!$B$5:$B$54,MATCH(F19,Metas!$A$5:$A$54,0)),"⚠ ID de meta no existe"))</f>
        <v/>
      </c>
      <c r="H19" s="16" t="str">
        <f aca="false">IF(OR(C19="",D19=""),"",ROUND(MOD(D19-C19,1)*24,2))</f>
        <v/>
      </c>
      <c r="I19" s="18"/>
      <c r="J19" s="18"/>
      <c r="K19" s="18"/>
    </row>
    <row r="20" customFormat="false" ht="15" hidden="false" customHeight="false" outlineLevel="0" collapsed="false">
      <c r="A20" s="17"/>
      <c r="B20" s="18"/>
      <c r="C20" s="19"/>
      <c r="D20" s="19"/>
      <c r="E20" s="18"/>
      <c r="F20" s="18"/>
      <c r="G20" s="13" t="str">
        <f aca="false">IF(F20="","",IFERROR(INDEX(Metas!$B$5:$B$54,MATCH(F20,Metas!$A$5:$A$54,0)),"⚠ ID de meta no existe"))</f>
        <v/>
      </c>
      <c r="H20" s="16" t="str">
        <f aca="false">IF(OR(C20="",D20=""),"",ROUND(MOD(D20-C20,1)*24,2))</f>
        <v/>
      </c>
      <c r="I20" s="18"/>
      <c r="J20" s="18"/>
      <c r="K20" s="18"/>
    </row>
    <row r="21" customFormat="false" ht="15" hidden="false" customHeight="false" outlineLevel="0" collapsed="false">
      <c r="A21" s="17"/>
      <c r="B21" s="18"/>
      <c r="C21" s="19"/>
      <c r="D21" s="19"/>
      <c r="E21" s="18"/>
      <c r="F21" s="18"/>
      <c r="G21" s="13" t="str">
        <f aca="false">IF(F21="","",IFERROR(INDEX(Metas!$B$5:$B$54,MATCH(F21,Metas!$A$5:$A$54,0)),"⚠ ID de meta no existe"))</f>
        <v/>
      </c>
      <c r="H21" s="16" t="str">
        <f aca="false">IF(OR(C21="",D21=""),"",ROUND(MOD(D21-C21,1)*24,2))</f>
        <v/>
      </c>
      <c r="I21" s="18"/>
      <c r="J21" s="18"/>
      <c r="K21" s="18"/>
    </row>
    <row r="22" customFormat="false" ht="15" hidden="false" customHeight="false" outlineLevel="0" collapsed="false">
      <c r="A22" s="17"/>
      <c r="B22" s="18"/>
      <c r="C22" s="19"/>
      <c r="D22" s="19"/>
      <c r="E22" s="18"/>
      <c r="F22" s="18"/>
      <c r="G22" s="13" t="str">
        <f aca="false">IF(F22="","",IFERROR(INDEX(Metas!$B$5:$B$54,MATCH(F22,Metas!$A$5:$A$54,0)),"⚠ ID de meta no existe"))</f>
        <v/>
      </c>
      <c r="H22" s="16" t="str">
        <f aca="false">IF(OR(C22="",D22=""),"",ROUND(MOD(D22-C22,1)*24,2))</f>
        <v/>
      </c>
      <c r="I22" s="18"/>
      <c r="J22" s="18"/>
      <c r="K22" s="18"/>
    </row>
    <row r="23" customFormat="false" ht="15" hidden="false" customHeight="false" outlineLevel="0" collapsed="false">
      <c r="A23" s="17"/>
      <c r="B23" s="18"/>
      <c r="C23" s="19"/>
      <c r="D23" s="19"/>
      <c r="E23" s="18"/>
      <c r="F23" s="18"/>
      <c r="G23" s="13" t="str">
        <f aca="false">IF(F23="","",IFERROR(INDEX(Metas!$B$5:$B$54,MATCH(F23,Metas!$A$5:$A$54,0)),"⚠ ID de meta no existe"))</f>
        <v/>
      </c>
      <c r="H23" s="16" t="str">
        <f aca="false">IF(OR(C23="",D23=""),"",ROUND(MOD(D23-C23,1)*24,2))</f>
        <v/>
      </c>
      <c r="I23" s="18"/>
      <c r="J23" s="18"/>
      <c r="K23" s="18"/>
    </row>
    <row r="24" customFormat="false" ht="15" hidden="false" customHeight="false" outlineLevel="0" collapsed="false">
      <c r="A24" s="17"/>
      <c r="B24" s="18"/>
      <c r="C24" s="19"/>
      <c r="D24" s="19"/>
      <c r="E24" s="18"/>
      <c r="F24" s="18"/>
      <c r="G24" s="13" t="str">
        <f aca="false">IF(F24="","",IFERROR(INDEX(Metas!$B$5:$B$54,MATCH(F24,Metas!$A$5:$A$54,0)),"⚠ ID de meta no existe"))</f>
        <v/>
      </c>
      <c r="H24" s="16" t="str">
        <f aca="false">IF(OR(C24="",D24=""),"",ROUND(MOD(D24-C24,1)*24,2))</f>
        <v/>
      </c>
      <c r="I24" s="18"/>
      <c r="J24" s="18"/>
      <c r="K24" s="18"/>
    </row>
    <row r="25" customFormat="false" ht="15" hidden="false" customHeight="false" outlineLevel="0" collapsed="false">
      <c r="A25" s="17"/>
      <c r="B25" s="18"/>
      <c r="C25" s="19"/>
      <c r="D25" s="19"/>
      <c r="E25" s="18"/>
      <c r="F25" s="18"/>
      <c r="G25" s="13" t="str">
        <f aca="false">IF(F25="","",IFERROR(INDEX(Metas!$B$5:$B$54,MATCH(F25,Metas!$A$5:$A$54,0)),"⚠ ID de meta no existe"))</f>
        <v/>
      </c>
      <c r="H25" s="16" t="str">
        <f aca="false">IF(OR(C25="",D25=""),"",ROUND(MOD(D25-C25,1)*24,2))</f>
        <v/>
      </c>
      <c r="I25" s="18"/>
      <c r="J25" s="18"/>
      <c r="K25" s="18"/>
    </row>
    <row r="26" customFormat="false" ht="15" hidden="false" customHeight="false" outlineLevel="0" collapsed="false">
      <c r="A26" s="17"/>
      <c r="B26" s="18"/>
      <c r="C26" s="19"/>
      <c r="D26" s="19"/>
      <c r="E26" s="18"/>
      <c r="F26" s="18"/>
      <c r="G26" s="13" t="str">
        <f aca="false">IF(F26="","",IFERROR(INDEX(Metas!$B$5:$B$54,MATCH(F26,Metas!$A$5:$A$54,0)),"⚠ ID de meta no existe"))</f>
        <v/>
      </c>
      <c r="H26" s="16" t="str">
        <f aca="false">IF(OR(C26="",D26=""),"",ROUND(MOD(D26-C26,1)*24,2))</f>
        <v/>
      </c>
      <c r="I26" s="18"/>
      <c r="J26" s="18"/>
      <c r="K26" s="18"/>
    </row>
    <row r="27" customFormat="false" ht="15" hidden="false" customHeight="false" outlineLevel="0" collapsed="false">
      <c r="A27" s="17"/>
      <c r="B27" s="18"/>
      <c r="C27" s="19"/>
      <c r="D27" s="19"/>
      <c r="E27" s="18"/>
      <c r="F27" s="18"/>
      <c r="G27" s="13" t="str">
        <f aca="false">IF(F27="","",IFERROR(INDEX(Metas!$B$5:$B$54,MATCH(F27,Metas!$A$5:$A$54,0)),"⚠ ID de meta no existe"))</f>
        <v/>
      </c>
      <c r="H27" s="16" t="str">
        <f aca="false">IF(OR(C27="",D27=""),"",ROUND(MOD(D27-C27,1)*24,2))</f>
        <v/>
      </c>
      <c r="I27" s="18"/>
      <c r="J27" s="18"/>
      <c r="K27" s="18"/>
    </row>
    <row r="28" customFormat="false" ht="15" hidden="false" customHeight="false" outlineLevel="0" collapsed="false">
      <c r="A28" s="17"/>
      <c r="B28" s="18"/>
      <c r="C28" s="19"/>
      <c r="D28" s="19"/>
      <c r="E28" s="18"/>
      <c r="F28" s="18"/>
      <c r="G28" s="13" t="str">
        <f aca="false">IF(F28="","",IFERROR(INDEX(Metas!$B$5:$B$54,MATCH(F28,Metas!$A$5:$A$54,0)),"⚠ ID de meta no existe"))</f>
        <v/>
      </c>
      <c r="H28" s="16" t="str">
        <f aca="false">IF(OR(C28="",D28=""),"",ROUND(MOD(D28-C28,1)*24,2))</f>
        <v/>
      </c>
      <c r="I28" s="18"/>
      <c r="J28" s="18"/>
      <c r="K28" s="18"/>
    </row>
    <row r="29" customFormat="false" ht="15" hidden="false" customHeight="false" outlineLevel="0" collapsed="false">
      <c r="A29" s="17"/>
      <c r="B29" s="18"/>
      <c r="C29" s="19"/>
      <c r="D29" s="19"/>
      <c r="E29" s="18"/>
      <c r="F29" s="18"/>
      <c r="G29" s="13" t="str">
        <f aca="false">IF(F29="","",IFERROR(INDEX(Metas!$B$5:$B$54,MATCH(F29,Metas!$A$5:$A$54,0)),"⚠ ID de meta no existe"))</f>
        <v/>
      </c>
      <c r="H29" s="16" t="str">
        <f aca="false">IF(OR(C29="",D29=""),"",ROUND(MOD(D29-C29,1)*24,2))</f>
        <v/>
      </c>
      <c r="I29" s="18"/>
      <c r="J29" s="18"/>
      <c r="K29" s="18"/>
    </row>
    <row r="30" customFormat="false" ht="15" hidden="false" customHeight="false" outlineLevel="0" collapsed="false">
      <c r="A30" s="17"/>
      <c r="B30" s="18"/>
      <c r="C30" s="19"/>
      <c r="D30" s="19"/>
      <c r="E30" s="18"/>
      <c r="F30" s="18"/>
      <c r="G30" s="13" t="str">
        <f aca="false">IF(F30="","",IFERROR(INDEX(Metas!$B$5:$B$54,MATCH(F30,Metas!$A$5:$A$54,0)),"⚠ ID de meta no existe"))</f>
        <v/>
      </c>
      <c r="H30" s="16" t="str">
        <f aca="false">IF(OR(C30="",D30=""),"",ROUND(MOD(D30-C30,1)*24,2))</f>
        <v/>
      </c>
      <c r="I30" s="18"/>
      <c r="J30" s="18"/>
      <c r="K30" s="18"/>
    </row>
    <row r="31" customFormat="false" ht="15" hidden="false" customHeight="false" outlineLevel="0" collapsed="false">
      <c r="A31" s="17"/>
      <c r="B31" s="18"/>
      <c r="C31" s="19"/>
      <c r="D31" s="19"/>
      <c r="E31" s="18"/>
      <c r="F31" s="18"/>
      <c r="G31" s="13" t="str">
        <f aca="false">IF(F31="","",IFERROR(INDEX(Metas!$B$5:$B$54,MATCH(F31,Metas!$A$5:$A$54,0)),"⚠ ID de meta no existe"))</f>
        <v/>
      </c>
      <c r="H31" s="16" t="str">
        <f aca="false">IF(OR(C31="",D31=""),"",ROUND(MOD(D31-C31,1)*24,2))</f>
        <v/>
      </c>
      <c r="I31" s="18"/>
      <c r="J31" s="18"/>
      <c r="K31" s="18"/>
    </row>
    <row r="32" customFormat="false" ht="15" hidden="false" customHeight="false" outlineLevel="0" collapsed="false">
      <c r="A32" s="17"/>
      <c r="B32" s="18"/>
      <c r="C32" s="19"/>
      <c r="D32" s="19"/>
      <c r="E32" s="18"/>
      <c r="F32" s="18"/>
      <c r="G32" s="13" t="str">
        <f aca="false">IF(F32="","",IFERROR(INDEX(Metas!$B$5:$B$54,MATCH(F32,Metas!$A$5:$A$54,0)),"⚠ ID de meta no existe"))</f>
        <v/>
      </c>
      <c r="H32" s="16" t="str">
        <f aca="false">IF(OR(C32="",D32=""),"",ROUND(MOD(D32-C32,1)*24,2))</f>
        <v/>
      </c>
      <c r="I32" s="18"/>
      <c r="J32" s="18"/>
      <c r="K32" s="18"/>
    </row>
    <row r="33" customFormat="false" ht="15" hidden="false" customHeight="false" outlineLevel="0" collapsed="false">
      <c r="A33" s="17"/>
      <c r="B33" s="18"/>
      <c r="C33" s="19"/>
      <c r="D33" s="19"/>
      <c r="E33" s="18"/>
      <c r="F33" s="18"/>
      <c r="G33" s="13" t="str">
        <f aca="false">IF(F33="","",IFERROR(INDEX(Metas!$B$5:$B$54,MATCH(F33,Metas!$A$5:$A$54,0)),"⚠ ID de meta no existe"))</f>
        <v/>
      </c>
      <c r="H33" s="16" t="str">
        <f aca="false">IF(OR(C33="",D33=""),"",ROUND(MOD(D33-C33,1)*24,2))</f>
        <v/>
      </c>
      <c r="I33" s="18"/>
      <c r="J33" s="18"/>
      <c r="K33" s="18"/>
    </row>
    <row r="34" customFormat="false" ht="15" hidden="false" customHeight="false" outlineLevel="0" collapsed="false">
      <c r="A34" s="17"/>
      <c r="B34" s="18"/>
      <c r="C34" s="19"/>
      <c r="D34" s="19"/>
      <c r="E34" s="18"/>
      <c r="F34" s="18"/>
      <c r="G34" s="13" t="str">
        <f aca="false">IF(F34="","",IFERROR(INDEX(Metas!$B$5:$B$54,MATCH(F34,Metas!$A$5:$A$54,0)),"⚠ ID de meta no existe"))</f>
        <v/>
      </c>
      <c r="H34" s="16" t="str">
        <f aca="false">IF(OR(C34="",D34=""),"",ROUND(MOD(D34-C34,1)*24,2))</f>
        <v/>
      </c>
      <c r="I34" s="18"/>
      <c r="J34" s="18"/>
      <c r="K34" s="18"/>
    </row>
    <row r="35" customFormat="false" ht="15" hidden="false" customHeight="false" outlineLevel="0" collapsed="false">
      <c r="A35" s="17"/>
      <c r="B35" s="18"/>
      <c r="C35" s="19"/>
      <c r="D35" s="19"/>
      <c r="E35" s="18"/>
      <c r="F35" s="18"/>
      <c r="G35" s="13" t="str">
        <f aca="false">IF(F35="","",IFERROR(INDEX(Metas!$B$5:$B$54,MATCH(F35,Metas!$A$5:$A$54,0)),"⚠ ID de meta no existe"))</f>
        <v/>
      </c>
      <c r="H35" s="16" t="str">
        <f aca="false">IF(OR(C35="",D35=""),"",ROUND(MOD(D35-C35,1)*24,2))</f>
        <v/>
      </c>
      <c r="I35" s="18"/>
      <c r="J35" s="18"/>
      <c r="K35" s="18"/>
    </row>
    <row r="36" customFormat="false" ht="15" hidden="false" customHeight="false" outlineLevel="0" collapsed="false">
      <c r="A36" s="17"/>
      <c r="B36" s="18"/>
      <c r="C36" s="19"/>
      <c r="D36" s="19"/>
      <c r="E36" s="18"/>
      <c r="F36" s="18"/>
      <c r="G36" s="13" t="str">
        <f aca="false">IF(F36="","",IFERROR(INDEX(Metas!$B$5:$B$54,MATCH(F36,Metas!$A$5:$A$54,0)),"⚠ ID de meta no existe"))</f>
        <v/>
      </c>
      <c r="H36" s="16" t="str">
        <f aca="false">IF(OR(C36="",D36=""),"",ROUND(MOD(D36-C36,1)*24,2))</f>
        <v/>
      </c>
      <c r="I36" s="18"/>
      <c r="J36" s="18"/>
      <c r="K36" s="18"/>
    </row>
    <row r="37" customFormat="false" ht="15" hidden="false" customHeight="false" outlineLevel="0" collapsed="false">
      <c r="A37" s="17"/>
      <c r="B37" s="18"/>
      <c r="C37" s="19"/>
      <c r="D37" s="19"/>
      <c r="E37" s="18"/>
      <c r="F37" s="18"/>
      <c r="G37" s="13" t="str">
        <f aca="false">IF(F37="","",IFERROR(INDEX(Metas!$B$5:$B$54,MATCH(F37,Metas!$A$5:$A$54,0)),"⚠ ID de meta no existe"))</f>
        <v/>
      </c>
      <c r="H37" s="16" t="str">
        <f aca="false">IF(OR(C37="",D37=""),"",ROUND(MOD(D37-C37,1)*24,2))</f>
        <v/>
      </c>
      <c r="I37" s="18"/>
      <c r="J37" s="18"/>
      <c r="K37" s="18"/>
    </row>
    <row r="38" customFormat="false" ht="15" hidden="false" customHeight="false" outlineLevel="0" collapsed="false">
      <c r="A38" s="17"/>
      <c r="B38" s="18"/>
      <c r="C38" s="19"/>
      <c r="D38" s="19"/>
      <c r="E38" s="18"/>
      <c r="F38" s="18"/>
      <c r="G38" s="13" t="str">
        <f aca="false">IF(F38="","",IFERROR(INDEX(Metas!$B$5:$B$54,MATCH(F38,Metas!$A$5:$A$54,0)),"⚠ ID de meta no existe"))</f>
        <v/>
      </c>
      <c r="H38" s="16" t="str">
        <f aca="false">IF(OR(C38="",D38=""),"",ROUND(MOD(D38-C38,1)*24,2))</f>
        <v/>
      </c>
      <c r="I38" s="18"/>
      <c r="J38" s="18"/>
      <c r="K38" s="18"/>
    </row>
    <row r="39" customFormat="false" ht="15" hidden="false" customHeight="false" outlineLevel="0" collapsed="false">
      <c r="A39" s="17"/>
      <c r="B39" s="18"/>
      <c r="C39" s="19"/>
      <c r="D39" s="19"/>
      <c r="E39" s="18"/>
      <c r="F39" s="18"/>
      <c r="G39" s="13" t="str">
        <f aca="false">IF(F39="","",IFERROR(INDEX(Metas!$B$5:$B$54,MATCH(F39,Metas!$A$5:$A$54,0)),"⚠ ID de meta no existe"))</f>
        <v/>
      </c>
      <c r="H39" s="16" t="str">
        <f aca="false">IF(OR(C39="",D39=""),"",ROUND(MOD(D39-C39,1)*24,2))</f>
        <v/>
      </c>
      <c r="I39" s="18"/>
      <c r="J39" s="18"/>
      <c r="K39" s="18"/>
    </row>
    <row r="40" customFormat="false" ht="15" hidden="false" customHeight="false" outlineLevel="0" collapsed="false">
      <c r="A40" s="17"/>
      <c r="B40" s="18"/>
      <c r="C40" s="19"/>
      <c r="D40" s="19"/>
      <c r="E40" s="18"/>
      <c r="F40" s="18"/>
      <c r="G40" s="13" t="str">
        <f aca="false">IF(F40="","",IFERROR(INDEX(Metas!$B$5:$B$54,MATCH(F40,Metas!$A$5:$A$54,0)),"⚠ ID de meta no existe"))</f>
        <v/>
      </c>
      <c r="H40" s="16" t="str">
        <f aca="false">IF(OR(C40="",D40=""),"",ROUND(MOD(D40-C40,1)*24,2))</f>
        <v/>
      </c>
      <c r="I40" s="18"/>
      <c r="J40" s="18"/>
      <c r="K40" s="18"/>
    </row>
    <row r="41" customFormat="false" ht="15" hidden="false" customHeight="false" outlineLevel="0" collapsed="false">
      <c r="A41" s="17"/>
      <c r="B41" s="18"/>
      <c r="C41" s="19"/>
      <c r="D41" s="19"/>
      <c r="E41" s="18"/>
      <c r="F41" s="18"/>
      <c r="G41" s="13" t="str">
        <f aca="false">IF(F41="","",IFERROR(INDEX(Metas!$B$5:$B$54,MATCH(F41,Metas!$A$5:$A$54,0)),"⚠ ID de meta no existe"))</f>
        <v/>
      </c>
      <c r="H41" s="16" t="str">
        <f aca="false">IF(OR(C41="",D41=""),"",ROUND(MOD(D41-C41,1)*24,2))</f>
        <v/>
      </c>
      <c r="I41" s="18"/>
      <c r="J41" s="18"/>
      <c r="K41" s="18"/>
    </row>
    <row r="42" customFormat="false" ht="15" hidden="false" customHeight="false" outlineLevel="0" collapsed="false">
      <c r="A42" s="17"/>
      <c r="B42" s="18"/>
      <c r="C42" s="19"/>
      <c r="D42" s="19"/>
      <c r="E42" s="18"/>
      <c r="F42" s="18"/>
      <c r="G42" s="13" t="str">
        <f aca="false">IF(F42="","",IFERROR(INDEX(Metas!$B$5:$B$54,MATCH(F42,Metas!$A$5:$A$54,0)),"⚠ ID de meta no existe"))</f>
        <v/>
      </c>
      <c r="H42" s="16" t="str">
        <f aca="false">IF(OR(C42="",D42=""),"",ROUND(MOD(D42-C42,1)*24,2))</f>
        <v/>
      </c>
      <c r="I42" s="18"/>
      <c r="J42" s="18"/>
      <c r="K42" s="18"/>
    </row>
    <row r="43" customFormat="false" ht="15" hidden="false" customHeight="false" outlineLevel="0" collapsed="false">
      <c r="A43" s="17"/>
      <c r="B43" s="18"/>
      <c r="C43" s="19"/>
      <c r="D43" s="19"/>
      <c r="E43" s="18"/>
      <c r="F43" s="18"/>
      <c r="G43" s="13" t="str">
        <f aca="false">IF(F43="","",IFERROR(INDEX(Metas!$B$5:$B$54,MATCH(F43,Metas!$A$5:$A$54,0)),"⚠ ID de meta no existe"))</f>
        <v/>
      </c>
      <c r="H43" s="16" t="str">
        <f aca="false">IF(OR(C43="",D43=""),"",ROUND(MOD(D43-C43,1)*24,2))</f>
        <v/>
      </c>
      <c r="I43" s="18"/>
      <c r="J43" s="18"/>
      <c r="K43" s="18"/>
    </row>
    <row r="44" customFormat="false" ht="15" hidden="false" customHeight="false" outlineLevel="0" collapsed="false">
      <c r="A44" s="17"/>
      <c r="B44" s="18"/>
      <c r="C44" s="19"/>
      <c r="D44" s="19"/>
      <c r="E44" s="18"/>
      <c r="F44" s="18"/>
      <c r="G44" s="13" t="str">
        <f aca="false">IF(F44="","",IFERROR(INDEX(Metas!$B$5:$B$54,MATCH(F44,Metas!$A$5:$A$54,0)),"⚠ ID de meta no existe"))</f>
        <v/>
      </c>
      <c r="H44" s="16" t="str">
        <f aca="false">IF(OR(C44="",D44=""),"",ROUND(MOD(D44-C44,1)*24,2))</f>
        <v/>
      </c>
      <c r="I44" s="18"/>
      <c r="J44" s="18"/>
      <c r="K44" s="18"/>
    </row>
    <row r="45" customFormat="false" ht="15" hidden="false" customHeight="false" outlineLevel="0" collapsed="false">
      <c r="A45" s="17"/>
      <c r="B45" s="18"/>
      <c r="C45" s="19"/>
      <c r="D45" s="19"/>
      <c r="E45" s="18"/>
      <c r="F45" s="18"/>
      <c r="G45" s="13" t="str">
        <f aca="false">IF(F45="","",IFERROR(INDEX(Metas!$B$5:$B$54,MATCH(F45,Metas!$A$5:$A$54,0)),"⚠ ID de meta no existe"))</f>
        <v/>
      </c>
      <c r="H45" s="16" t="str">
        <f aca="false">IF(OR(C45="",D45=""),"",ROUND(MOD(D45-C45,1)*24,2))</f>
        <v/>
      </c>
      <c r="I45" s="18"/>
      <c r="J45" s="18"/>
      <c r="K45" s="18"/>
    </row>
    <row r="46" customFormat="false" ht="15" hidden="false" customHeight="false" outlineLevel="0" collapsed="false">
      <c r="A46" s="17"/>
      <c r="B46" s="18"/>
      <c r="C46" s="19"/>
      <c r="D46" s="19"/>
      <c r="E46" s="18"/>
      <c r="F46" s="18"/>
      <c r="G46" s="13" t="str">
        <f aca="false">IF(F46="","",IFERROR(INDEX(Metas!$B$5:$B$54,MATCH(F46,Metas!$A$5:$A$54,0)),"⚠ ID de meta no existe"))</f>
        <v/>
      </c>
      <c r="H46" s="16" t="str">
        <f aca="false">IF(OR(C46="",D46=""),"",ROUND(MOD(D46-C46,1)*24,2))</f>
        <v/>
      </c>
      <c r="I46" s="18"/>
      <c r="J46" s="18"/>
      <c r="K46" s="18"/>
    </row>
    <row r="47" customFormat="false" ht="15" hidden="false" customHeight="false" outlineLevel="0" collapsed="false">
      <c r="A47" s="17"/>
      <c r="B47" s="18"/>
      <c r="C47" s="19"/>
      <c r="D47" s="19"/>
      <c r="E47" s="18"/>
      <c r="F47" s="18"/>
      <c r="G47" s="13" t="str">
        <f aca="false">IF(F47="","",IFERROR(INDEX(Metas!$B$5:$B$54,MATCH(F47,Metas!$A$5:$A$54,0)),"⚠ ID de meta no existe"))</f>
        <v/>
      </c>
      <c r="H47" s="16" t="str">
        <f aca="false">IF(OR(C47="",D47=""),"",ROUND(MOD(D47-C47,1)*24,2))</f>
        <v/>
      </c>
      <c r="I47" s="18"/>
      <c r="J47" s="18"/>
      <c r="K47" s="18"/>
    </row>
    <row r="48" customFormat="false" ht="15" hidden="false" customHeight="false" outlineLevel="0" collapsed="false">
      <c r="A48" s="17"/>
      <c r="B48" s="18"/>
      <c r="C48" s="19"/>
      <c r="D48" s="19"/>
      <c r="E48" s="18"/>
      <c r="F48" s="18"/>
      <c r="G48" s="13" t="str">
        <f aca="false">IF(F48="","",IFERROR(INDEX(Metas!$B$5:$B$54,MATCH(F48,Metas!$A$5:$A$54,0)),"⚠ ID de meta no existe"))</f>
        <v/>
      </c>
      <c r="H48" s="16" t="str">
        <f aca="false">IF(OR(C48="",D48=""),"",ROUND(MOD(D48-C48,1)*24,2))</f>
        <v/>
      </c>
      <c r="I48" s="18"/>
      <c r="J48" s="18"/>
      <c r="K48" s="18"/>
    </row>
    <row r="49" customFormat="false" ht="15" hidden="false" customHeight="false" outlineLevel="0" collapsed="false">
      <c r="A49" s="17"/>
      <c r="B49" s="18"/>
      <c r="C49" s="19"/>
      <c r="D49" s="19"/>
      <c r="E49" s="18"/>
      <c r="F49" s="18"/>
      <c r="G49" s="13" t="str">
        <f aca="false">IF(F49="","",IFERROR(INDEX(Metas!$B$5:$B$54,MATCH(F49,Metas!$A$5:$A$54,0)),"⚠ ID de meta no existe"))</f>
        <v/>
      </c>
      <c r="H49" s="16" t="str">
        <f aca="false">IF(OR(C49="",D49=""),"",ROUND(MOD(D49-C49,1)*24,2))</f>
        <v/>
      </c>
      <c r="I49" s="18"/>
      <c r="J49" s="18"/>
      <c r="K49" s="18"/>
    </row>
    <row r="50" customFormat="false" ht="15" hidden="false" customHeight="false" outlineLevel="0" collapsed="false">
      <c r="A50" s="17"/>
      <c r="B50" s="18"/>
      <c r="C50" s="19"/>
      <c r="D50" s="19"/>
      <c r="E50" s="18"/>
      <c r="F50" s="18"/>
      <c r="G50" s="13" t="str">
        <f aca="false">IF(F50="","",IFERROR(INDEX(Metas!$B$5:$B$54,MATCH(F50,Metas!$A$5:$A$54,0)),"⚠ ID de meta no existe"))</f>
        <v/>
      </c>
      <c r="H50" s="16" t="str">
        <f aca="false">IF(OR(C50="",D50=""),"",ROUND(MOD(D50-C50,1)*24,2))</f>
        <v/>
      </c>
      <c r="I50" s="18"/>
      <c r="J50" s="18"/>
      <c r="K50" s="18"/>
    </row>
    <row r="51" customFormat="false" ht="15" hidden="false" customHeight="false" outlineLevel="0" collapsed="false">
      <c r="A51" s="17"/>
      <c r="B51" s="18"/>
      <c r="C51" s="19"/>
      <c r="D51" s="19"/>
      <c r="E51" s="18"/>
      <c r="F51" s="18"/>
      <c r="G51" s="13" t="str">
        <f aca="false">IF(F51="","",IFERROR(INDEX(Metas!$B$5:$B$54,MATCH(F51,Metas!$A$5:$A$54,0)),"⚠ ID de meta no existe"))</f>
        <v/>
      </c>
      <c r="H51" s="16" t="str">
        <f aca="false">IF(OR(C51="",D51=""),"",ROUND(MOD(D51-C51,1)*24,2))</f>
        <v/>
      </c>
      <c r="I51" s="18"/>
      <c r="J51" s="18"/>
      <c r="K51" s="18"/>
    </row>
    <row r="52" customFormat="false" ht="15" hidden="false" customHeight="false" outlineLevel="0" collapsed="false">
      <c r="A52" s="17"/>
      <c r="B52" s="18"/>
      <c r="C52" s="19"/>
      <c r="D52" s="19"/>
      <c r="E52" s="18"/>
      <c r="F52" s="18"/>
      <c r="G52" s="13" t="str">
        <f aca="false">IF(F52="","",IFERROR(INDEX(Metas!$B$5:$B$54,MATCH(F52,Metas!$A$5:$A$54,0)),"⚠ ID de meta no existe"))</f>
        <v/>
      </c>
      <c r="H52" s="16" t="str">
        <f aca="false">IF(OR(C52="",D52=""),"",ROUND(MOD(D52-C52,1)*24,2))</f>
        <v/>
      </c>
      <c r="I52" s="18"/>
      <c r="J52" s="18"/>
      <c r="K52" s="18"/>
    </row>
    <row r="53" customFormat="false" ht="15" hidden="false" customHeight="false" outlineLevel="0" collapsed="false">
      <c r="A53" s="17"/>
      <c r="B53" s="18"/>
      <c r="C53" s="19"/>
      <c r="D53" s="19"/>
      <c r="E53" s="18"/>
      <c r="F53" s="18"/>
      <c r="G53" s="13" t="str">
        <f aca="false">IF(F53="","",IFERROR(INDEX(Metas!$B$5:$B$54,MATCH(F53,Metas!$A$5:$A$54,0)),"⚠ ID de meta no existe"))</f>
        <v/>
      </c>
      <c r="H53" s="16" t="str">
        <f aca="false">IF(OR(C53="",D53=""),"",ROUND(MOD(D53-C53,1)*24,2))</f>
        <v/>
      </c>
      <c r="I53" s="18"/>
      <c r="J53" s="18"/>
      <c r="K53" s="18"/>
    </row>
    <row r="54" customFormat="false" ht="15" hidden="false" customHeight="false" outlineLevel="0" collapsed="false">
      <c r="A54" s="17"/>
      <c r="B54" s="18"/>
      <c r="C54" s="19"/>
      <c r="D54" s="19"/>
      <c r="E54" s="18"/>
      <c r="F54" s="18"/>
      <c r="G54" s="13" t="str">
        <f aca="false">IF(F54="","",IFERROR(INDEX(Metas!$B$5:$B$54,MATCH(F54,Metas!$A$5:$A$54,0)),"⚠ ID de meta no existe"))</f>
        <v/>
      </c>
      <c r="H54" s="16" t="str">
        <f aca="false">IF(OR(C54="",D54=""),"",ROUND(MOD(D54-C54,1)*24,2))</f>
        <v/>
      </c>
      <c r="I54" s="18"/>
      <c r="J54" s="18"/>
      <c r="K54" s="18"/>
    </row>
    <row r="55" customFormat="false" ht="15" hidden="false" customHeight="false" outlineLevel="0" collapsed="false">
      <c r="A55" s="17"/>
      <c r="B55" s="18"/>
      <c r="C55" s="19"/>
      <c r="D55" s="19"/>
      <c r="E55" s="18"/>
      <c r="F55" s="18"/>
      <c r="G55" s="13" t="str">
        <f aca="false">IF(F55="","",IFERROR(INDEX(Metas!$B$5:$B$54,MATCH(F55,Metas!$A$5:$A$54,0)),"⚠ ID de meta no existe"))</f>
        <v/>
      </c>
      <c r="H55" s="16" t="str">
        <f aca="false">IF(OR(C55="",D55=""),"",ROUND(MOD(D55-C55,1)*24,2))</f>
        <v/>
      </c>
      <c r="I55" s="18"/>
      <c r="J55" s="18"/>
      <c r="K55" s="18"/>
    </row>
    <row r="56" customFormat="false" ht="15" hidden="false" customHeight="false" outlineLevel="0" collapsed="false">
      <c r="A56" s="17"/>
      <c r="B56" s="18"/>
      <c r="C56" s="19"/>
      <c r="D56" s="19"/>
      <c r="E56" s="18"/>
      <c r="F56" s="18"/>
      <c r="G56" s="13" t="str">
        <f aca="false">IF(F56="","",IFERROR(INDEX(Metas!$B$5:$B$54,MATCH(F56,Metas!$A$5:$A$54,0)),"⚠ ID de meta no existe"))</f>
        <v/>
      </c>
      <c r="H56" s="16" t="str">
        <f aca="false">IF(OR(C56="",D56=""),"",ROUND(MOD(D56-C56,1)*24,2))</f>
        <v/>
      </c>
      <c r="I56" s="18"/>
      <c r="J56" s="18"/>
      <c r="K56" s="18"/>
    </row>
    <row r="57" customFormat="false" ht="15" hidden="false" customHeight="false" outlineLevel="0" collapsed="false">
      <c r="A57" s="17"/>
      <c r="B57" s="18"/>
      <c r="C57" s="19"/>
      <c r="D57" s="19"/>
      <c r="E57" s="18"/>
      <c r="F57" s="18"/>
      <c r="G57" s="13" t="str">
        <f aca="false">IF(F57="","",IFERROR(INDEX(Metas!$B$5:$B$54,MATCH(F57,Metas!$A$5:$A$54,0)),"⚠ ID de meta no existe"))</f>
        <v/>
      </c>
      <c r="H57" s="16" t="str">
        <f aca="false">IF(OR(C57="",D57=""),"",ROUND(MOD(D57-C57,1)*24,2))</f>
        <v/>
      </c>
      <c r="I57" s="18"/>
      <c r="J57" s="18"/>
      <c r="K57" s="18"/>
    </row>
    <row r="58" customFormat="false" ht="15" hidden="false" customHeight="false" outlineLevel="0" collapsed="false">
      <c r="A58" s="17"/>
      <c r="B58" s="18"/>
      <c r="C58" s="19"/>
      <c r="D58" s="19"/>
      <c r="E58" s="18"/>
      <c r="F58" s="18"/>
      <c r="G58" s="13" t="str">
        <f aca="false">IF(F58="","",IFERROR(INDEX(Metas!$B$5:$B$54,MATCH(F58,Metas!$A$5:$A$54,0)),"⚠ ID de meta no existe"))</f>
        <v/>
      </c>
      <c r="H58" s="16" t="str">
        <f aca="false">IF(OR(C58="",D58=""),"",ROUND(MOD(D58-C58,1)*24,2))</f>
        <v/>
      </c>
      <c r="I58" s="18"/>
      <c r="J58" s="18"/>
      <c r="K58" s="18"/>
    </row>
    <row r="59" customFormat="false" ht="15" hidden="false" customHeight="false" outlineLevel="0" collapsed="false">
      <c r="A59" s="17"/>
      <c r="B59" s="18"/>
      <c r="C59" s="19"/>
      <c r="D59" s="19"/>
      <c r="E59" s="18"/>
      <c r="F59" s="18"/>
      <c r="G59" s="13" t="str">
        <f aca="false">IF(F59="","",IFERROR(INDEX(Metas!$B$5:$B$54,MATCH(F59,Metas!$A$5:$A$54,0)),"⚠ ID de meta no existe"))</f>
        <v/>
      </c>
      <c r="H59" s="16" t="str">
        <f aca="false">IF(OR(C59="",D59=""),"",ROUND(MOD(D59-C59,1)*24,2))</f>
        <v/>
      </c>
      <c r="I59" s="18"/>
      <c r="J59" s="18"/>
      <c r="K59" s="18"/>
    </row>
    <row r="60" customFormat="false" ht="15" hidden="false" customHeight="false" outlineLevel="0" collapsed="false">
      <c r="A60" s="17"/>
      <c r="B60" s="18"/>
      <c r="C60" s="19"/>
      <c r="D60" s="19"/>
      <c r="E60" s="18"/>
      <c r="F60" s="18"/>
      <c r="G60" s="13" t="str">
        <f aca="false">IF(F60="","",IFERROR(INDEX(Metas!$B$5:$B$54,MATCH(F60,Metas!$A$5:$A$54,0)),"⚠ ID de meta no existe"))</f>
        <v/>
      </c>
      <c r="H60" s="16" t="str">
        <f aca="false">IF(OR(C60="",D60=""),"",ROUND(MOD(D60-C60,1)*24,2))</f>
        <v/>
      </c>
      <c r="I60" s="18"/>
      <c r="J60" s="18"/>
      <c r="K60" s="18"/>
    </row>
    <row r="61" customFormat="false" ht="15" hidden="false" customHeight="false" outlineLevel="0" collapsed="false">
      <c r="A61" s="17"/>
      <c r="B61" s="18"/>
      <c r="C61" s="19"/>
      <c r="D61" s="19"/>
      <c r="E61" s="18"/>
      <c r="F61" s="18"/>
      <c r="G61" s="13" t="str">
        <f aca="false">IF(F61="","",IFERROR(INDEX(Metas!$B$5:$B$54,MATCH(F61,Metas!$A$5:$A$54,0)),"⚠ ID de meta no existe"))</f>
        <v/>
      </c>
      <c r="H61" s="16" t="str">
        <f aca="false">IF(OR(C61="",D61=""),"",ROUND(MOD(D61-C61,1)*24,2))</f>
        <v/>
      </c>
      <c r="I61" s="18"/>
      <c r="J61" s="18"/>
      <c r="K61" s="18"/>
    </row>
    <row r="62" customFormat="false" ht="15" hidden="false" customHeight="false" outlineLevel="0" collapsed="false">
      <c r="A62" s="17"/>
      <c r="B62" s="18"/>
      <c r="C62" s="19"/>
      <c r="D62" s="19"/>
      <c r="E62" s="18"/>
      <c r="F62" s="18"/>
      <c r="G62" s="13" t="str">
        <f aca="false">IF(F62="","",IFERROR(INDEX(Metas!$B$5:$B$54,MATCH(F62,Metas!$A$5:$A$54,0)),"⚠ ID de meta no existe"))</f>
        <v/>
      </c>
      <c r="H62" s="16" t="str">
        <f aca="false">IF(OR(C62="",D62=""),"",ROUND(MOD(D62-C62,1)*24,2))</f>
        <v/>
      </c>
      <c r="I62" s="18"/>
      <c r="J62" s="18"/>
      <c r="K62" s="18"/>
    </row>
    <row r="63" customFormat="false" ht="15" hidden="false" customHeight="false" outlineLevel="0" collapsed="false">
      <c r="A63" s="17"/>
      <c r="B63" s="18"/>
      <c r="C63" s="19"/>
      <c r="D63" s="19"/>
      <c r="E63" s="18"/>
      <c r="F63" s="18"/>
      <c r="G63" s="13" t="str">
        <f aca="false">IF(F63="","",IFERROR(INDEX(Metas!$B$5:$B$54,MATCH(F63,Metas!$A$5:$A$54,0)),"⚠ ID de meta no existe"))</f>
        <v/>
      </c>
      <c r="H63" s="16" t="str">
        <f aca="false">IF(OR(C63="",D63=""),"",ROUND(MOD(D63-C63,1)*24,2))</f>
        <v/>
      </c>
      <c r="I63" s="18"/>
      <c r="J63" s="18"/>
      <c r="K63" s="18"/>
    </row>
    <row r="64" customFormat="false" ht="15" hidden="false" customHeight="false" outlineLevel="0" collapsed="false">
      <c r="A64" s="17"/>
      <c r="B64" s="18"/>
      <c r="C64" s="19"/>
      <c r="D64" s="19"/>
      <c r="E64" s="18"/>
      <c r="F64" s="18"/>
      <c r="G64" s="13" t="str">
        <f aca="false">IF(F64="","",IFERROR(INDEX(Metas!$B$5:$B$54,MATCH(F64,Metas!$A$5:$A$54,0)),"⚠ ID de meta no existe"))</f>
        <v/>
      </c>
      <c r="H64" s="16" t="str">
        <f aca="false">IF(OR(C64="",D64=""),"",ROUND(MOD(D64-C64,1)*24,2))</f>
        <v/>
      </c>
      <c r="I64" s="18"/>
      <c r="J64" s="18"/>
      <c r="K64" s="18"/>
    </row>
    <row r="65" customFormat="false" ht="15" hidden="false" customHeight="false" outlineLevel="0" collapsed="false">
      <c r="A65" s="17"/>
      <c r="B65" s="18"/>
      <c r="C65" s="19"/>
      <c r="D65" s="19"/>
      <c r="E65" s="18"/>
      <c r="F65" s="18"/>
      <c r="G65" s="13" t="str">
        <f aca="false">IF(F65="","",IFERROR(INDEX(Metas!$B$5:$B$54,MATCH(F65,Metas!$A$5:$A$54,0)),"⚠ ID de meta no existe"))</f>
        <v/>
      </c>
      <c r="H65" s="16" t="str">
        <f aca="false">IF(OR(C65="",D65=""),"",ROUND(MOD(D65-C65,1)*24,2))</f>
        <v/>
      </c>
      <c r="I65" s="18"/>
      <c r="J65" s="18"/>
      <c r="K65" s="18"/>
    </row>
    <row r="66" customFormat="false" ht="15" hidden="false" customHeight="false" outlineLevel="0" collapsed="false">
      <c r="A66" s="17"/>
      <c r="B66" s="18"/>
      <c r="C66" s="19"/>
      <c r="D66" s="19"/>
      <c r="E66" s="18"/>
      <c r="F66" s="18"/>
      <c r="G66" s="13" t="str">
        <f aca="false">IF(F66="","",IFERROR(INDEX(Metas!$B$5:$B$54,MATCH(F66,Metas!$A$5:$A$54,0)),"⚠ ID de meta no existe"))</f>
        <v/>
      </c>
      <c r="H66" s="16" t="str">
        <f aca="false">IF(OR(C66="",D66=""),"",ROUND(MOD(D66-C66,1)*24,2))</f>
        <v/>
      </c>
      <c r="I66" s="18"/>
      <c r="J66" s="18"/>
      <c r="K66" s="18"/>
    </row>
    <row r="67" customFormat="false" ht="15" hidden="false" customHeight="false" outlineLevel="0" collapsed="false">
      <c r="A67" s="17"/>
      <c r="B67" s="18"/>
      <c r="C67" s="19"/>
      <c r="D67" s="19"/>
      <c r="E67" s="18"/>
      <c r="F67" s="18"/>
      <c r="G67" s="13" t="str">
        <f aca="false">IF(F67="","",IFERROR(INDEX(Metas!$B$5:$B$54,MATCH(F67,Metas!$A$5:$A$54,0)),"⚠ ID de meta no existe"))</f>
        <v/>
      </c>
      <c r="H67" s="16" t="str">
        <f aca="false">IF(OR(C67="",D67=""),"",ROUND(MOD(D67-C67,1)*24,2))</f>
        <v/>
      </c>
      <c r="I67" s="18"/>
      <c r="J67" s="18"/>
      <c r="K67" s="18"/>
    </row>
    <row r="68" customFormat="false" ht="15" hidden="false" customHeight="false" outlineLevel="0" collapsed="false">
      <c r="A68" s="17"/>
      <c r="B68" s="18"/>
      <c r="C68" s="19"/>
      <c r="D68" s="19"/>
      <c r="E68" s="18"/>
      <c r="F68" s="18"/>
      <c r="G68" s="13" t="str">
        <f aca="false">IF(F68="","",IFERROR(INDEX(Metas!$B$5:$B$54,MATCH(F68,Metas!$A$5:$A$54,0)),"⚠ ID de meta no existe"))</f>
        <v/>
      </c>
      <c r="H68" s="16" t="str">
        <f aca="false">IF(OR(C68="",D68=""),"",ROUND(MOD(D68-C68,1)*24,2))</f>
        <v/>
      </c>
      <c r="I68" s="18"/>
      <c r="J68" s="18"/>
      <c r="K68" s="18"/>
    </row>
    <row r="69" customFormat="false" ht="15" hidden="false" customHeight="false" outlineLevel="0" collapsed="false">
      <c r="A69" s="17"/>
      <c r="B69" s="18"/>
      <c r="C69" s="19"/>
      <c r="D69" s="19"/>
      <c r="E69" s="18"/>
      <c r="F69" s="18"/>
      <c r="G69" s="13" t="str">
        <f aca="false">IF(F69="","",IFERROR(INDEX(Metas!$B$5:$B$54,MATCH(F69,Metas!$A$5:$A$54,0)),"⚠ ID de meta no existe"))</f>
        <v/>
      </c>
      <c r="H69" s="16" t="str">
        <f aca="false">IF(OR(C69="",D69=""),"",ROUND(MOD(D69-C69,1)*24,2))</f>
        <v/>
      </c>
      <c r="I69" s="18"/>
      <c r="J69" s="18"/>
      <c r="K69" s="18"/>
    </row>
    <row r="70" customFormat="false" ht="15" hidden="false" customHeight="false" outlineLevel="0" collapsed="false">
      <c r="A70" s="17"/>
      <c r="B70" s="18"/>
      <c r="C70" s="19"/>
      <c r="D70" s="19"/>
      <c r="E70" s="18"/>
      <c r="F70" s="18"/>
      <c r="G70" s="13" t="str">
        <f aca="false">IF(F70="","",IFERROR(INDEX(Metas!$B$5:$B$54,MATCH(F70,Metas!$A$5:$A$54,0)),"⚠ ID de meta no existe"))</f>
        <v/>
      </c>
      <c r="H70" s="16" t="str">
        <f aca="false">IF(OR(C70="",D70=""),"",ROUND(MOD(D70-C70,1)*24,2))</f>
        <v/>
      </c>
      <c r="I70" s="18"/>
      <c r="J70" s="18"/>
      <c r="K70" s="18"/>
    </row>
    <row r="71" customFormat="false" ht="15" hidden="false" customHeight="false" outlineLevel="0" collapsed="false">
      <c r="A71" s="17"/>
      <c r="B71" s="18"/>
      <c r="C71" s="19"/>
      <c r="D71" s="19"/>
      <c r="E71" s="18"/>
      <c r="F71" s="18"/>
      <c r="G71" s="13" t="str">
        <f aca="false">IF(F71="","",IFERROR(INDEX(Metas!$B$5:$B$54,MATCH(F71,Metas!$A$5:$A$54,0)),"⚠ ID de meta no existe"))</f>
        <v/>
      </c>
      <c r="H71" s="16" t="str">
        <f aca="false">IF(OR(C71="",D71=""),"",ROUND(MOD(D71-C71,1)*24,2))</f>
        <v/>
      </c>
      <c r="I71" s="18"/>
      <c r="J71" s="18"/>
      <c r="K71" s="18"/>
    </row>
    <row r="72" customFormat="false" ht="15" hidden="false" customHeight="false" outlineLevel="0" collapsed="false">
      <c r="A72" s="17"/>
      <c r="B72" s="18"/>
      <c r="C72" s="19"/>
      <c r="D72" s="19"/>
      <c r="E72" s="18"/>
      <c r="F72" s="18"/>
      <c r="G72" s="13" t="str">
        <f aca="false">IF(F72="","",IFERROR(INDEX(Metas!$B$5:$B$54,MATCH(F72,Metas!$A$5:$A$54,0)),"⚠ ID de meta no existe"))</f>
        <v/>
      </c>
      <c r="H72" s="16" t="str">
        <f aca="false">IF(OR(C72="",D72=""),"",ROUND(MOD(D72-C72,1)*24,2))</f>
        <v/>
      </c>
      <c r="I72" s="18"/>
      <c r="J72" s="18"/>
      <c r="K72" s="18"/>
    </row>
    <row r="73" customFormat="false" ht="15" hidden="false" customHeight="false" outlineLevel="0" collapsed="false">
      <c r="A73" s="17"/>
      <c r="B73" s="18"/>
      <c r="C73" s="19"/>
      <c r="D73" s="19"/>
      <c r="E73" s="18"/>
      <c r="F73" s="18"/>
      <c r="G73" s="13" t="str">
        <f aca="false">IF(F73="","",IFERROR(INDEX(Metas!$B$5:$B$54,MATCH(F73,Metas!$A$5:$A$54,0)),"⚠ ID de meta no existe"))</f>
        <v/>
      </c>
      <c r="H73" s="16" t="str">
        <f aca="false">IF(OR(C73="",D73=""),"",ROUND(MOD(D73-C73,1)*24,2))</f>
        <v/>
      </c>
      <c r="I73" s="18"/>
      <c r="J73" s="18"/>
      <c r="K73" s="18"/>
    </row>
    <row r="74" customFormat="false" ht="15" hidden="false" customHeight="false" outlineLevel="0" collapsed="false">
      <c r="A74" s="17"/>
      <c r="B74" s="18"/>
      <c r="C74" s="19"/>
      <c r="D74" s="19"/>
      <c r="E74" s="18"/>
      <c r="F74" s="18"/>
      <c r="G74" s="13" t="str">
        <f aca="false">IF(F74="","",IFERROR(INDEX(Metas!$B$5:$B$54,MATCH(F74,Metas!$A$5:$A$54,0)),"⚠ ID de meta no existe"))</f>
        <v/>
      </c>
      <c r="H74" s="16" t="str">
        <f aca="false">IF(OR(C74="",D74=""),"",ROUND(MOD(D74-C74,1)*24,2))</f>
        <v/>
      </c>
      <c r="I74" s="18"/>
      <c r="J74" s="18"/>
      <c r="K74" s="18"/>
    </row>
    <row r="75" customFormat="false" ht="15" hidden="false" customHeight="false" outlineLevel="0" collapsed="false">
      <c r="A75" s="17"/>
      <c r="B75" s="18"/>
      <c r="C75" s="19"/>
      <c r="D75" s="19"/>
      <c r="E75" s="18"/>
      <c r="F75" s="18"/>
      <c r="G75" s="13" t="str">
        <f aca="false">IF(F75="","",IFERROR(INDEX(Metas!$B$5:$B$54,MATCH(F75,Metas!$A$5:$A$54,0)),"⚠ ID de meta no existe"))</f>
        <v/>
      </c>
      <c r="H75" s="16" t="str">
        <f aca="false">IF(OR(C75="",D75=""),"",ROUND(MOD(D75-C75,1)*24,2))</f>
        <v/>
      </c>
      <c r="I75" s="18"/>
      <c r="J75" s="18"/>
      <c r="K75" s="18"/>
    </row>
    <row r="76" customFormat="false" ht="15" hidden="false" customHeight="false" outlineLevel="0" collapsed="false">
      <c r="A76" s="17"/>
      <c r="B76" s="18"/>
      <c r="C76" s="19"/>
      <c r="D76" s="19"/>
      <c r="E76" s="18"/>
      <c r="F76" s="18"/>
      <c r="G76" s="13" t="str">
        <f aca="false">IF(F76="","",IFERROR(INDEX(Metas!$B$5:$B$54,MATCH(F76,Metas!$A$5:$A$54,0)),"⚠ ID de meta no existe"))</f>
        <v/>
      </c>
      <c r="H76" s="16" t="str">
        <f aca="false">IF(OR(C76="",D76=""),"",ROUND(MOD(D76-C76,1)*24,2))</f>
        <v/>
      </c>
      <c r="I76" s="18"/>
      <c r="J76" s="18"/>
      <c r="K76" s="18"/>
    </row>
    <row r="77" customFormat="false" ht="15" hidden="false" customHeight="false" outlineLevel="0" collapsed="false">
      <c r="A77" s="17"/>
      <c r="B77" s="18"/>
      <c r="C77" s="19"/>
      <c r="D77" s="19"/>
      <c r="E77" s="18"/>
      <c r="F77" s="18"/>
      <c r="G77" s="13" t="str">
        <f aca="false">IF(F77="","",IFERROR(INDEX(Metas!$B$5:$B$54,MATCH(F77,Metas!$A$5:$A$54,0)),"⚠ ID de meta no existe"))</f>
        <v/>
      </c>
      <c r="H77" s="16" t="str">
        <f aca="false">IF(OR(C77="",D77=""),"",ROUND(MOD(D77-C77,1)*24,2))</f>
        <v/>
      </c>
      <c r="I77" s="18"/>
      <c r="J77" s="18"/>
      <c r="K77" s="18"/>
    </row>
    <row r="78" customFormat="false" ht="15" hidden="false" customHeight="false" outlineLevel="0" collapsed="false">
      <c r="A78" s="17"/>
      <c r="B78" s="18"/>
      <c r="C78" s="19"/>
      <c r="D78" s="19"/>
      <c r="E78" s="18"/>
      <c r="F78" s="18"/>
      <c r="G78" s="13" t="str">
        <f aca="false">IF(F78="","",IFERROR(INDEX(Metas!$B$5:$B$54,MATCH(F78,Metas!$A$5:$A$54,0)),"⚠ ID de meta no existe"))</f>
        <v/>
      </c>
      <c r="H78" s="16" t="str">
        <f aca="false">IF(OR(C78="",D78=""),"",ROUND(MOD(D78-C78,1)*24,2))</f>
        <v/>
      </c>
      <c r="I78" s="18"/>
      <c r="J78" s="18"/>
      <c r="K78" s="18"/>
    </row>
    <row r="79" customFormat="false" ht="15" hidden="false" customHeight="false" outlineLevel="0" collapsed="false">
      <c r="A79" s="17"/>
      <c r="B79" s="18"/>
      <c r="C79" s="19"/>
      <c r="D79" s="19"/>
      <c r="E79" s="18"/>
      <c r="F79" s="18"/>
      <c r="G79" s="13" t="str">
        <f aca="false">IF(F79="","",IFERROR(INDEX(Metas!$B$5:$B$54,MATCH(F79,Metas!$A$5:$A$54,0)),"⚠ ID de meta no existe"))</f>
        <v/>
      </c>
      <c r="H79" s="16" t="str">
        <f aca="false">IF(OR(C79="",D79=""),"",ROUND(MOD(D79-C79,1)*24,2))</f>
        <v/>
      </c>
      <c r="I79" s="18"/>
      <c r="J79" s="18"/>
      <c r="K79" s="18"/>
    </row>
    <row r="80" customFormat="false" ht="15" hidden="false" customHeight="false" outlineLevel="0" collapsed="false">
      <c r="A80" s="17"/>
      <c r="B80" s="18"/>
      <c r="C80" s="19"/>
      <c r="D80" s="19"/>
      <c r="E80" s="18"/>
      <c r="F80" s="18"/>
      <c r="G80" s="13" t="str">
        <f aca="false">IF(F80="","",IFERROR(INDEX(Metas!$B$5:$B$54,MATCH(F80,Metas!$A$5:$A$54,0)),"⚠ ID de meta no existe"))</f>
        <v/>
      </c>
      <c r="H80" s="16" t="str">
        <f aca="false">IF(OR(C80="",D80=""),"",ROUND(MOD(D80-C80,1)*24,2))</f>
        <v/>
      </c>
      <c r="I80" s="18"/>
      <c r="J80" s="18"/>
      <c r="K80" s="18"/>
    </row>
    <row r="81" customFormat="false" ht="15" hidden="false" customHeight="false" outlineLevel="0" collapsed="false">
      <c r="A81" s="17"/>
      <c r="B81" s="18"/>
      <c r="C81" s="19"/>
      <c r="D81" s="19"/>
      <c r="E81" s="18"/>
      <c r="F81" s="18"/>
      <c r="G81" s="13" t="str">
        <f aca="false">IF(F81="","",IFERROR(INDEX(Metas!$B$5:$B$54,MATCH(F81,Metas!$A$5:$A$54,0)),"⚠ ID de meta no existe"))</f>
        <v/>
      </c>
      <c r="H81" s="16" t="str">
        <f aca="false">IF(OR(C81="",D81=""),"",ROUND(MOD(D81-C81,1)*24,2))</f>
        <v/>
      </c>
      <c r="I81" s="18"/>
      <c r="J81" s="18"/>
      <c r="K81" s="18"/>
    </row>
    <row r="82" customFormat="false" ht="15" hidden="false" customHeight="false" outlineLevel="0" collapsed="false">
      <c r="A82" s="17"/>
      <c r="B82" s="18"/>
      <c r="C82" s="19"/>
      <c r="D82" s="19"/>
      <c r="E82" s="18"/>
      <c r="F82" s="18"/>
      <c r="G82" s="13" t="str">
        <f aca="false">IF(F82="","",IFERROR(INDEX(Metas!$B$5:$B$54,MATCH(F82,Metas!$A$5:$A$54,0)),"⚠ ID de meta no existe"))</f>
        <v/>
      </c>
      <c r="H82" s="16" t="str">
        <f aca="false">IF(OR(C82="",D82=""),"",ROUND(MOD(D82-C82,1)*24,2))</f>
        <v/>
      </c>
      <c r="I82" s="18"/>
      <c r="J82" s="18"/>
      <c r="K82" s="18"/>
    </row>
    <row r="83" customFormat="false" ht="15" hidden="false" customHeight="false" outlineLevel="0" collapsed="false">
      <c r="A83" s="17"/>
      <c r="B83" s="18"/>
      <c r="C83" s="19"/>
      <c r="D83" s="19"/>
      <c r="E83" s="18"/>
      <c r="F83" s="18"/>
      <c r="G83" s="13" t="str">
        <f aca="false">IF(F83="","",IFERROR(INDEX(Metas!$B$5:$B$54,MATCH(F83,Metas!$A$5:$A$54,0)),"⚠ ID de meta no existe"))</f>
        <v/>
      </c>
      <c r="H83" s="16" t="str">
        <f aca="false">IF(OR(C83="",D83=""),"",ROUND(MOD(D83-C83,1)*24,2))</f>
        <v/>
      </c>
      <c r="I83" s="18"/>
      <c r="J83" s="18"/>
      <c r="K83" s="18"/>
    </row>
    <row r="84" customFormat="false" ht="15" hidden="false" customHeight="false" outlineLevel="0" collapsed="false">
      <c r="A84" s="17"/>
      <c r="B84" s="18"/>
      <c r="C84" s="19"/>
      <c r="D84" s="19"/>
      <c r="E84" s="18"/>
      <c r="F84" s="18"/>
      <c r="G84" s="13" t="str">
        <f aca="false">IF(F84="","",IFERROR(INDEX(Metas!$B$5:$B$54,MATCH(F84,Metas!$A$5:$A$54,0)),"⚠ ID de meta no existe"))</f>
        <v/>
      </c>
      <c r="H84" s="16" t="str">
        <f aca="false">IF(OR(C84="",D84=""),"",ROUND(MOD(D84-C84,1)*24,2))</f>
        <v/>
      </c>
      <c r="I84" s="18"/>
      <c r="J84" s="18"/>
      <c r="K84" s="18"/>
    </row>
    <row r="85" customFormat="false" ht="15" hidden="false" customHeight="false" outlineLevel="0" collapsed="false">
      <c r="A85" s="17"/>
      <c r="B85" s="18"/>
      <c r="C85" s="19"/>
      <c r="D85" s="19"/>
      <c r="E85" s="18"/>
      <c r="F85" s="18"/>
      <c r="G85" s="13" t="str">
        <f aca="false">IF(F85="","",IFERROR(INDEX(Metas!$B$5:$B$54,MATCH(F85,Metas!$A$5:$A$54,0)),"⚠ ID de meta no existe"))</f>
        <v/>
      </c>
      <c r="H85" s="16" t="str">
        <f aca="false">IF(OR(C85="",D85=""),"",ROUND(MOD(D85-C85,1)*24,2))</f>
        <v/>
      </c>
      <c r="I85" s="18"/>
      <c r="J85" s="18"/>
      <c r="K85" s="18"/>
    </row>
    <row r="86" customFormat="false" ht="15" hidden="false" customHeight="false" outlineLevel="0" collapsed="false">
      <c r="A86" s="17"/>
      <c r="B86" s="18"/>
      <c r="C86" s="19"/>
      <c r="D86" s="19"/>
      <c r="E86" s="18"/>
      <c r="F86" s="18"/>
      <c r="G86" s="13" t="str">
        <f aca="false">IF(F86="","",IFERROR(INDEX(Metas!$B$5:$B$54,MATCH(F86,Metas!$A$5:$A$54,0)),"⚠ ID de meta no existe"))</f>
        <v/>
      </c>
      <c r="H86" s="16" t="str">
        <f aca="false">IF(OR(C86="",D86=""),"",ROUND(MOD(D86-C86,1)*24,2))</f>
        <v/>
      </c>
      <c r="I86" s="18"/>
      <c r="J86" s="18"/>
      <c r="K86" s="18"/>
    </row>
    <row r="87" customFormat="false" ht="15" hidden="false" customHeight="false" outlineLevel="0" collapsed="false">
      <c r="A87" s="17"/>
      <c r="B87" s="18"/>
      <c r="C87" s="19"/>
      <c r="D87" s="19"/>
      <c r="E87" s="18"/>
      <c r="F87" s="18"/>
      <c r="G87" s="13" t="str">
        <f aca="false">IF(F87="","",IFERROR(INDEX(Metas!$B$5:$B$54,MATCH(F87,Metas!$A$5:$A$54,0)),"⚠ ID de meta no existe"))</f>
        <v/>
      </c>
      <c r="H87" s="16" t="str">
        <f aca="false">IF(OR(C87="",D87=""),"",ROUND(MOD(D87-C87,1)*24,2))</f>
        <v/>
      </c>
      <c r="I87" s="18"/>
      <c r="J87" s="18"/>
      <c r="K87" s="18"/>
    </row>
    <row r="88" customFormat="false" ht="15" hidden="false" customHeight="false" outlineLevel="0" collapsed="false">
      <c r="A88" s="17"/>
      <c r="B88" s="18"/>
      <c r="C88" s="19"/>
      <c r="D88" s="19"/>
      <c r="E88" s="18"/>
      <c r="F88" s="18"/>
      <c r="G88" s="13" t="str">
        <f aca="false">IF(F88="","",IFERROR(INDEX(Metas!$B$5:$B$54,MATCH(F88,Metas!$A$5:$A$54,0)),"⚠ ID de meta no existe"))</f>
        <v/>
      </c>
      <c r="H88" s="16" t="str">
        <f aca="false">IF(OR(C88="",D88=""),"",ROUND(MOD(D88-C88,1)*24,2))</f>
        <v/>
      </c>
      <c r="I88" s="18"/>
      <c r="J88" s="18"/>
      <c r="K88" s="18"/>
    </row>
    <row r="89" customFormat="false" ht="15" hidden="false" customHeight="false" outlineLevel="0" collapsed="false">
      <c r="A89" s="17"/>
      <c r="B89" s="18"/>
      <c r="C89" s="19"/>
      <c r="D89" s="19"/>
      <c r="E89" s="18"/>
      <c r="F89" s="18"/>
      <c r="G89" s="13" t="str">
        <f aca="false">IF(F89="","",IFERROR(INDEX(Metas!$B$5:$B$54,MATCH(F89,Metas!$A$5:$A$54,0)),"⚠ ID de meta no existe"))</f>
        <v/>
      </c>
      <c r="H89" s="16" t="str">
        <f aca="false">IF(OR(C89="",D89=""),"",ROUND(MOD(D89-C89,1)*24,2))</f>
        <v/>
      </c>
      <c r="I89" s="18"/>
      <c r="J89" s="18"/>
      <c r="K89" s="18"/>
    </row>
    <row r="90" customFormat="false" ht="15" hidden="false" customHeight="false" outlineLevel="0" collapsed="false">
      <c r="A90" s="17"/>
      <c r="B90" s="18"/>
      <c r="C90" s="19"/>
      <c r="D90" s="19"/>
      <c r="E90" s="18"/>
      <c r="F90" s="18"/>
      <c r="G90" s="13" t="str">
        <f aca="false">IF(F90="","",IFERROR(INDEX(Metas!$B$5:$B$54,MATCH(F90,Metas!$A$5:$A$54,0)),"⚠ ID de meta no existe"))</f>
        <v/>
      </c>
      <c r="H90" s="16" t="str">
        <f aca="false">IF(OR(C90="",D90=""),"",ROUND(MOD(D90-C90,1)*24,2))</f>
        <v/>
      </c>
      <c r="I90" s="18"/>
      <c r="J90" s="18"/>
      <c r="K90" s="18"/>
    </row>
    <row r="91" customFormat="false" ht="15" hidden="false" customHeight="false" outlineLevel="0" collapsed="false">
      <c r="A91" s="17"/>
      <c r="B91" s="18"/>
      <c r="C91" s="19"/>
      <c r="D91" s="19"/>
      <c r="E91" s="18"/>
      <c r="F91" s="18"/>
      <c r="G91" s="13" t="str">
        <f aca="false">IF(F91="","",IFERROR(INDEX(Metas!$B$5:$B$54,MATCH(F91,Metas!$A$5:$A$54,0)),"⚠ ID de meta no existe"))</f>
        <v/>
      </c>
      <c r="H91" s="16" t="str">
        <f aca="false">IF(OR(C91="",D91=""),"",ROUND(MOD(D91-C91,1)*24,2))</f>
        <v/>
      </c>
      <c r="I91" s="18"/>
      <c r="J91" s="18"/>
      <c r="K91" s="18"/>
    </row>
    <row r="92" customFormat="false" ht="15" hidden="false" customHeight="false" outlineLevel="0" collapsed="false">
      <c r="A92" s="17"/>
      <c r="B92" s="18"/>
      <c r="C92" s="19"/>
      <c r="D92" s="19"/>
      <c r="E92" s="18"/>
      <c r="F92" s="18"/>
      <c r="G92" s="13" t="str">
        <f aca="false">IF(F92="","",IFERROR(INDEX(Metas!$B$5:$B$54,MATCH(F92,Metas!$A$5:$A$54,0)),"⚠ ID de meta no existe"))</f>
        <v/>
      </c>
      <c r="H92" s="16" t="str">
        <f aca="false">IF(OR(C92="",D92=""),"",ROUND(MOD(D92-C92,1)*24,2))</f>
        <v/>
      </c>
      <c r="I92" s="18"/>
      <c r="J92" s="18"/>
      <c r="K92" s="18"/>
    </row>
    <row r="93" customFormat="false" ht="15" hidden="false" customHeight="false" outlineLevel="0" collapsed="false">
      <c r="A93" s="17"/>
      <c r="B93" s="18"/>
      <c r="C93" s="19"/>
      <c r="D93" s="19"/>
      <c r="E93" s="18"/>
      <c r="F93" s="18"/>
      <c r="G93" s="13" t="str">
        <f aca="false">IF(F93="","",IFERROR(INDEX(Metas!$B$5:$B$54,MATCH(F93,Metas!$A$5:$A$54,0)),"⚠ ID de meta no existe"))</f>
        <v/>
      </c>
      <c r="H93" s="16" t="str">
        <f aca="false">IF(OR(C93="",D93=""),"",ROUND(MOD(D93-C93,1)*24,2))</f>
        <v/>
      </c>
      <c r="I93" s="18"/>
      <c r="J93" s="18"/>
      <c r="K93" s="18"/>
    </row>
    <row r="94" customFormat="false" ht="15" hidden="false" customHeight="false" outlineLevel="0" collapsed="false">
      <c r="A94" s="17"/>
      <c r="B94" s="18"/>
      <c r="C94" s="19"/>
      <c r="D94" s="19"/>
      <c r="E94" s="18"/>
      <c r="F94" s="18"/>
      <c r="G94" s="13" t="str">
        <f aca="false">IF(F94="","",IFERROR(INDEX(Metas!$B$5:$B$54,MATCH(F94,Metas!$A$5:$A$54,0)),"⚠ ID de meta no existe"))</f>
        <v/>
      </c>
      <c r="H94" s="16" t="str">
        <f aca="false">IF(OR(C94="",D94=""),"",ROUND(MOD(D94-C94,1)*24,2))</f>
        <v/>
      </c>
      <c r="I94" s="18"/>
      <c r="J94" s="18"/>
      <c r="K94" s="18"/>
    </row>
    <row r="95" customFormat="false" ht="15" hidden="false" customHeight="false" outlineLevel="0" collapsed="false">
      <c r="A95" s="17"/>
      <c r="B95" s="18"/>
      <c r="C95" s="19"/>
      <c r="D95" s="19"/>
      <c r="E95" s="18"/>
      <c r="F95" s="18"/>
      <c r="G95" s="13" t="str">
        <f aca="false">IF(F95="","",IFERROR(INDEX(Metas!$B$5:$B$54,MATCH(F95,Metas!$A$5:$A$54,0)),"⚠ ID de meta no existe"))</f>
        <v/>
      </c>
      <c r="H95" s="16" t="str">
        <f aca="false">IF(OR(C95="",D95=""),"",ROUND(MOD(D95-C95,1)*24,2))</f>
        <v/>
      </c>
      <c r="I95" s="18"/>
      <c r="J95" s="18"/>
      <c r="K95" s="18"/>
    </row>
    <row r="96" customFormat="false" ht="15" hidden="false" customHeight="false" outlineLevel="0" collapsed="false">
      <c r="A96" s="17"/>
      <c r="B96" s="18"/>
      <c r="C96" s="19"/>
      <c r="D96" s="19"/>
      <c r="E96" s="18"/>
      <c r="F96" s="18"/>
      <c r="G96" s="13" t="str">
        <f aca="false">IF(F96="","",IFERROR(INDEX(Metas!$B$5:$B$54,MATCH(F96,Metas!$A$5:$A$54,0)),"⚠ ID de meta no existe"))</f>
        <v/>
      </c>
      <c r="H96" s="16" t="str">
        <f aca="false">IF(OR(C96="",D96=""),"",ROUND(MOD(D96-C96,1)*24,2))</f>
        <v/>
      </c>
      <c r="I96" s="18"/>
      <c r="J96" s="18"/>
      <c r="K96" s="18"/>
    </row>
    <row r="97" customFormat="false" ht="15" hidden="false" customHeight="false" outlineLevel="0" collapsed="false">
      <c r="A97" s="17"/>
      <c r="B97" s="18"/>
      <c r="C97" s="19"/>
      <c r="D97" s="19"/>
      <c r="E97" s="18"/>
      <c r="F97" s="18"/>
      <c r="G97" s="13" t="str">
        <f aca="false">IF(F97="","",IFERROR(INDEX(Metas!$B$5:$B$54,MATCH(F97,Metas!$A$5:$A$54,0)),"⚠ ID de meta no existe"))</f>
        <v/>
      </c>
      <c r="H97" s="16" t="str">
        <f aca="false">IF(OR(C97="",D97=""),"",ROUND(MOD(D97-C97,1)*24,2))</f>
        <v/>
      </c>
      <c r="I97" s="18"/>
      <c r="J97" s="18"/>
      <c r="K97" s="18"/>
    </row>
    <row r="98" customFormat="false" ht="15" hidden="false" customHeight="false" outlineLevel="0" collapsed="false">
      <c r="A98" s="17"/>
      <c r="B98" s="18"/>
      <c r="C98" s="19"/>
      <c r="D98" s="19"/>
      <c r="E98" s="18"/>
      <c r="F98" s="18"/>
      <c r="G98" s="13" t="str">
        <f aca="false">IF(F98="","",IFERROR(INDEX(Metas!$B$5:$B$54,MATCH(F98,Metas!$A$5:$A$54,0)),"⚠ ID de meta no existe"))</f>
        <v/>
      </c>
      <c r="H98" s="16" t="str">
        <f aca="false">IF(OR(C98="",D98=""),"",ROUND(MOD(D98-C98,1)*24,2))</f>
        <v/>
      </c>
      <c r="I98" s="18"/>
      <c r="J98" s="18"/>
      <c r="K98" s="18"/>
    </row>
    <row r="99" customFormat="false" ht="15" hidden="false" customHeight="false" outlineLevel="0" collapsed="false">
      <c r="A99" s="17"/>
      <c r="B99" s="18"/>
      <c r="C99" s="19"/>
      <c r="D99" s="19"/>
      <c r="E99" s="18"/>
      <c r="F99" s="18"/>
      <c r="G99" s="13" t="str">
        <f aca="false">IF(F99="","",IFERROR(INDEX(Metas!$B$5:$B$54,MATCH(F99,Metas!$A$5:$A$54,0)),"⚠ ID de meta no existe"))</f>
        <v/>
      </c>
      <c r="H99" s="16" t="str">
        <f aca="false">IF(OR(C99="",D99=""),"",ROUND(MOD(D99-C99,1)*24,2))</f>
        <v/>
      </c>
      <c r="I99" s="18"/>
      <c r="J99" s="18"/>
      <c r="K99" s="18"/>
    </row>
    <row r="100" customFormat="false" ht="15" hidden="false" customHeight="false" outlineLevel="0" collapsed="false">
      <c r="A100" s="17"/>
      <c r="B100" s="18"/>
      <c r="C100" s="19"/>
      <c r="D100" s="19"/>
      <c r="E100" s="18"/>
      <c r="F100" s="18"/>
      <c r="G100" s="13" t="str">
        <f aca="false">IF(F100="","",IFERROR(INDEX(Metas!$B$5:$B$54,MATCH(F100,Metas!$A$5:$A$54,0)),"⚠ ID de meta no existe"))</f>
        <v/>
      </c>
      <c r="H100" s="16" t="str">
        <f aca="false">IF(OR(C100="",D100=""),"",ROUND(MOD(D100-C100,1)*24,2))</f>
        <v/>
      </c>
      <c r="I100" s="18"/>
      <c r="J100" s="18"/>
      <c r="K100" s="18"/>
    </row>
    <row r="101" customFormat="false" ht="15" hidden="false" customHeight="false" outlineLevel="0" collapsed="false">
      <c r="A101" s="17"/>
      <c r="B101" s="18"/>
      <c r="C101" s="19"/>
      <c r="D101" s="19"/>
      <c r="E101" s="18"/>
      <c r="F101" s="18"/>
      <c r="G101" s="13" t="str">
        <f aca="false">IF(F101="","",IFERROR(INDEX(Metas!$B$5:$B$54,MATCH(F101,Metas!$A$5:$A$54,0)),"⚠ ID de meta no existe"))</f>
        <v/>
      </c>
      <c r="H101" s="16" t="str">
        <f aca="false">IF(OR(C101="",D101=""),"",ROUND(MOD(D101-C101,1)*24,2))</f>
        <v/>
      </c>
      <c r="I101" s="18"/>
      <c r="J101" s="18"/>
      <c r="K101" s="18"/>
    </row>
    <row r="102" customFormat="false" ht="15" hidden="false" customHeight="false" outlineLevel="0" collapsed="false">
      <c r="A102" s="17"/>
      <c r="B102" s="18"/>
      <c r="C102" s="19"/>
      <c r="D102" s="19"/>
      <c r="E102" s="18"/>
      <c r="F102" s="18"/>
      <c r="G102" s="13" t="str">
        <f aca="false">IF(F102="","",IFERROR(INDEX(Metas!$B$5:$B$54,MATCH(F102,Metas!$A$5:$A$54,0)),"⚠ ID de meta no existe"))</f>
        <v/>
      </c>
      <c r="H102" s="16" t="str">
        <f aca="false">IF(OR(C102="",D102=""),"",ROUND(MOD(D102-C102,1)*24,2))</f>
        <v/>
      </c>
      <c r="I102" s="18"/>
      <c r="J102" s="18"/>
      <c r="K102" s="18"/>
    </row>
    <row r="103" customFormat="false" ht="15" hidden="false" customHeight="false" outlineLevel="0" collapsed="false">
      <c r="A103" s="17"/>
      <c r="B103" s="18"/>
      <c r="C103" s="19"/>
      <c r="D103" s="19"/>
      <c r="E103" s="18"/>
      <c r="F103" s="18"/>
      <c r="G103" s="13" t="str">
        <f aca="false">IF(F103="","",IFERROR(INDEX(Metas!$B$5:$B$54,MATCH(F103,Metas!$A$5:$A$54,0)),"⚠ ID de meta no existe"))</f>
        <v/>
      </c>
      <c r="H103" s="16" t="str">
        <f aca="false">IF(OR(C103="",D103=""),"",ROUND(MOD(D103-C103,1)*24,2))</f>
        <v/>
      </c>
      <c r="I103" s="18"/>
      <c r="J103" s="18"/>
      <c r="K103" s="18"/>
    </row>
    <row r="104" customFormat="false" ht="15" hidden="false" customHeight="false" outlineLevel="0" collapsed="false">
      <c r="A104" s="17"/>
      <c r="B104" s="18"/>
      <c r="C104" s="19"/>
      <c r="D104" s="19"/>
      <c r="E104" s="18"/>
      <c r="F104" s="18"/>
      <c r="G104" s="13" t="str">
        <f aca="false">IF(F104="","",IFERROR(INDEX(Metas!$B$5:$B$54,MATCH(F104,Metas!$A$5:$A$54,0)),"⚠ ID de meta no existe"))</f>
        <v/>
      </c>
      <c r="H104" s="16" t="str">
        <f aca="false">IF(OR(C104="",D104=""),"",ROUND(MOD(D104-C104,1)*24,2))</f>
        <v/>
      </c>
      <c r="I104" s="18"/>
      <c r="J104" s="18"/>
      <c r="K104" s="18"/>
    </row>
    <row r="105" customFormat="false" ht="15" hidden="false" customHeight="false" outlineLevel="0" collapsed="false">
      <c r="A105" s="17"/>
      <c r="B105" s="18"/>
      <c r="C105" s="19"/>
      <c r="D105" s="19"/>
      <c r="E105" s="18"/>
      <c r="F105" s="18"/>
      <c r="G105" s="13" t="str">
        <f aca="false">IF(F105="","",IFERROR(INDEX(Metas!$B$5:$B$54,MATCH(F105,Metas!$A$5:$A$54,0)),"⚠ ID de meta no existe"))</f>
        <v/>
      </c>
      <c r="H105" s="16" t="str">
        <f aca="false">IF(OR(C105="",D105=""),"",ROUND(MOD(D105-C105,1)*24,2))</f>
        <v/>
      </c>
      <c r="I105" s="18"/>
      <c r="J105" s="18"/>
      <c r="K105" s="18"/>
    </row>
    <row r="106" customFormat="false" ht="15" hidden="false" customHeight="false" outlineLevel="0" collapsed="false">
      <c r="A106" s="17"/>
      <c r="B106" s="18"/>
      <c r="C106" s="19"/>
      <c r="D106" s="19"/>
      <c r="E106" s="18"/>
      <c r="F106" s="18"/>
      <c r="G106" s="13" t="str">
        <f aca="false">IF(F106="","",IFERROR(INDEX(Metas!$B$5:$B$54,MATCH(F106,Metas!$A$5:$A$54,0)),"⚠ ID de meta no existe"))</f>
        <v/>
      </c>
      <c r="H106" s="16" t="str">
        <f aca="false">IF(OR(C106="",D106=""),"",ROUND(MOD(D106-C106,1)*24,2))</f>
        <v/>
      </c>
      <c r="I106" s="18"/>
      <c r="J106" s="18"/>
      <c r="K106" s="18"/>
    </row>
    <row r="107" customFormat="false" ht="15" hidden="false" customHeight="false" outlineLevel="0" collapsed="false">
      <c r="A107" s="17"/>
      <c r="B107" s="18"/>
      <c r="C107" s="19"/>
      <c r="D107" s="19"/>
      <c r="E107" s="18"/>
      <c r="F107" s="18"/>
      <c r="G107" s="13" t="str">
        <f aca="false">IF(F107="","",IFERROR(INDEX(Metas!$B$5:$B$54,MATCH(F107,Metas!$A$5:$A$54,0)),"⚠ ID de meta no existe"))</f>
        <v/>
      </c>
      <c r="H107" s="16" t="str">
        <f aca="false">IF(OR(C107="",D107=""),"",ROUND(MOD(D107-C107,1)*24,2))</f>
        <v/>
      </c>
      <c r="I107" s="18"/>
      <c r="J107" s="18"/>
      <c r="K107" s="18"/>
    </row>
    <row r="108" customFormat="false" ht="15" hidden="false" customHeight="false" outlineLevel="0" collapsed="false">
      <c r="A108" s="17"/>
      <c r="B108" s="18"/>
      <c r="C108" s="19"/>
      <c r="D108" s="19"/>
      <c r="E108" s="18"/>
      <c r="F108" s="18"/>
      <c r="G108" s="13" t="str">
        <f aca="false">IF(F108="","",IFERROR(INDEX(Metas!$B$5:$B$54,MATCH(F108,Metas!$A$5:$A$54,0)),"⚠ ID de meta no existe"))</f>
        <v/>
      </c>
      <c r="H108" s="16" t="str">
        <f aca="false">IF(OR(C108="",D108=""),"",ROUND(MOD(D108-C108,1)*24,2))</f>
        <v/>
      </c>
      <c r="I108" s="18"/>
      <c r="J108" s="18"/>
      <c r="K108" s="18"/>
    </row>
    <row r="109" customFormat="false" ht="15" hidden="false" customHeight="false" outlineLevel="0" collapsed="false">
      <c r="A109" s="17"/>
      <c r="B109" s="18"/>
      <c r="C109" s="19"/>
      <c r="D109" s="19"/>
      <c r="E109" s="18"/>
      <c r="F109" s="18"/>
      <c r="G109" s="13" t="str">
        <f aca="false">IF(F109="","",IFERROR(INDEX(Metas!$B$5:$B$54,MATCH(F109,Metas!$A$5:$A$54,0)),"⚠ ID de meta no existe"))</f>
        <v/>
      </c>
      <c r="H109" s="16" t="str">
        <f aca="false">IF(OR(C109="",D109=""),"",ROUND(MOD(D109-C109,1)*24,2))</f>
        <v/>
      </c>
      <c r="I109" s="18"/>
      <c r="J109" s="18"/>
      <c r="K109" s="18"/>
    </row>
    <row r="110" customFormat="false" ht="15" hidden="false" customHeight="false" outlineLevel="0" collapsed="false">
      <c r="A110" s="17"/>
      <c r="B110" s="18"/>
      <c r="C110" s="19"/>
      <c r="D110" s="19"/>
      <c r="E110" s="18"/>
      <c r="F110" s="18"/>
      <c r="G110" s="13" t="str">
        <f aca="false">IF(F110="","",IFERROR(INDEX(Metas!$B$5:$B$54,MATCH(F110,Metas!$A$5:$A$54,0)),"⚠ ID de meta no existe"))</f>
        <v/>
      </c>
      <c r="H110" s="16" t="str">
        <f aca="false">IF(OR(C110="",D110=""),"",ROUND(MOD(D110-C110,1)*24,2))</f>
        <v/>
      </c>
      <c r="I110" s="18"/>
      <c r="J110" s="18"/>
      <c r="K110" s="18"/>
    </row>
    <row r="111" customFormat="false" ht="15" hidden="false" customHeight="false" outlineLevel="0" collapsed="false">
      <c r="A111" s="17"/>
      <c r="B111" s="18"/>
      <c r="C111" s="19"/>
      <c r="D111" s="19"/>
      <c r="E111" s="18"/>
      <c r="F111" s="18"/>
      <c r="G111" s="13" t="str">
        <f aca="false">IF(F111="","",IFERROR(INDEX(Metas!$B$5:$B$54,MATCH(F111,Metas!$A$5:$A$54,0)),"⚠ ID de meta no existe"))</f>
        <v/>
      </c>
      <c r="H111" s="16" t="str">
        <f aca="false">IF(OR(C111="",D111=""),"",ROUND(MOD(D111-C111,1)*24,2))</f>
        <v/>
      </c>
      <c r="I111" s="18"/>
      <c r="J111" s="18"/>
      <c r="K111" s="18"/>
    </row>
    <row r="112" customFormat="false" ht="15" hidden="false" customHeight="false" outlineLevel="0" collapsed="false">
      <c r="A112" s="17"/>
      <c r="B112" s="18"/>
      <c r="C112" s="19"/>
      <c r="D112" s="19"/>
      <c r="E112" s="18"/>
      <c r="F112" s="18"/>
      <c r="G112" s="13" t="str">
        <f aca="false">IF(F112="","",IFERROR(INDEX(Metas!$B$5:$B$54,MATCH(F112,Metas!$A$5:$A$54,0)),"⚠ ID de meta no existe"))</f>
        <v/>
      </c>
      <c r="H112" s="16" t="str">
        <f aca="false">IF(OR(C112="",D112=""),"",ROUND(MOD(D112-C112,1)*24,2))</f>
        <v/>
      </c>
      <c r="I112" s="18"/>
      <c r="J112" s="18"/>
      <c r="K112" s="18"/>
    </row>
    <row r="113" customFormat="false" ht="15" hidden="false" customHeight="false" outlineLevel="0" collapsed="false">
      <c r="A113" s="17"/>
      <c r="B113" s="18"/>
      <c r="C113" s="19"/>
      <c r="D113" s="19"/>
      <c r="E113" s="18"/>
      <c r="F113" s="18"/>
      <c r="G113" s="13" t="str">
        <f aca="false">IF(F113="","",IFERROR(INDEX(Metas!$B$5:$B$54,MATCH(F113,Metas!$A$5:$A$54,0)),"⚠ ID de meta no existe"))</f>
        <v/>
      </c>
      <c r="H113" s="16" t="str">
        <f aca="false">IF(OR(C113="",D113=""),"",ROUND(MOD(D113-C113,1)*24,2))</f>
        <v/>
      </c>
      <c r="I113" s="18"/>
      <c r="J113" s="18"/>
      <c r="K113" s="18"/>
    </row>
    <row r="114" customFormat="false" ht="15" hidden="false" customHeight="false" outlineLevel="0" collapsed="false">
      <c r="A114" s="17"/>
      <c r="B114" s="18"/>
      <c r="C114" s="19"/>
      <c r="D114" s="19"/>
      <c r="E114" s="18"/>
      <c r="F114" s="18"/>
      <c r="G114" s="13" t="str">
        <f aca="false">IF(F114="","",IFERROR(INDEX(Metas!$B$5:$B$54,MATCH(F114,Metas!$A$5:$A$54,0)),"⚠ ID de meta no existe"))</f>
        <v/>
      </c>
      <c r="H114" s="16" t="str">
        <f aca="false">IF(OR(C114="",D114=""),"",ROUND(MOD(D114-C114,1)*24,2))</f>
        <v/>
      </c>
      <c r="I114" s="18"/>
      <c r="J114" s="18"/>
      <c r="K114" s="18"/>
    </row>
    <row r="115" customFormat="false" ht="15" hidden="false" customHeight="false" outlineLevel="0" collapsed="false">
      <c r="A115" s="17"/>
      <c r="B115" s="18"/>
      <c r="C115" s="19"/>
      <c r="D115" s="19"/>
      <c r="E115" s="18"/>
      <c r="F115" s="18"/>
      <c r="G115" s="13" t="str">
        <f aca="false">IF(F115="","",IFERROR(INDEX(Metas!$B$5:$B$54,MATCH(F115,Metas!$A$5:$A$54,0)),"⚠ ID de meta no existe"))</f>
        <v/>
      </c>
      <c r="H115" s="16" t="str">
        <f aca="false">IF(OR(C115="",D115=""),"",ROUND(MOD(D115-C115,1)*24,2))</f>
        <v/>
      </c>
      <c r="I115" s="18"/>
      <c r="J115" s="18"/>
      <c r="K115" s="18"/>
    </row>
    <row r="116" customFormat="false" ht="15" hidden="false" customHeight="false" outlineLevel="0" collapsed="false">
      <c r="A116" s="17"/>
      <c r="B116" s="18"/>
      <c r="C116" s="19"/>
      <c r="D116" s="19"/>
      <c r="E116" s="18"/>
      <c r="F116" s="18"/>
      <c r="G116" s="13" t="str">
        <f aca="false">IF(F116="","",IFERROR(INDEX(Metas!$B$5:$B$54,MATCH(F116,Metas!$A$5:$A$54,0)),"⚠ ID de meta no existe"))</f>
        <v/>
      </c>
      <c r="H116" s="16" t="str">
        <f aca="false">IF(OR(C116="",D116=""),"",ROUND(MOD(D116-C116,1)*24,2))</f>
        <v/>
      </c>
      <c r="I116" s="18"/>
      <c r="J116" s="18"/>
      <c r="K116" s="18"/>
    </row>
    <row r="117" customFormat="false" ht="15" hidden="false" customHeight="false" outlineLevel="0" collapsed="false">
      <c r="A117" s="17"/>
      <c r="B117" s="18"/>
      <c r="C117" s="19"/>
      <c r="D117" s="19"/>
      <c r="E117" s="18"/>
      <c r="F117" s="18"/>
      <c r="G117" s="13" t="str">
        <f aca="false">IF(F117="","",IFERROR(INDEX(Metas!$B$5:$B$54,MATCH(F117,Metas!$A$5:$A$54,0)),"⚠ ID de meta no existe"))</f>
        <v/>
      </c>
      <c r="H117" s="16" t="str">
        <f aca="false">IF(OR(C117="",D117=""),"",ROUND(MOD(D117-C117,1)*24,2))</f>
        <v/>
      </c>
      <c r="I117" s="18"/>
      <c r="J117" s="18"/>
      <c r="K117" s="18"/>
    </row>
    <row r="118" customFormat="false" ht="15" hidden="false" customHeight="false" outlineLevel="0" collapsed="false">
      <c r="A118" s="17"/>
      <c r="B118" s="18"/>
      <c r="C118" s="19"/>
      <c r="D118" s="19"/>
      <c r="E118" s="18"/>
      <c r="F118" s="18"/>
      <c r="G118" s="13" t="str">
        <f aca="false">IF(F118="","",IFERROR(INDEX(Metas!$B$5:$B$54,MATCH(F118,Metas!$A$5:$A$54,0)),"⚠ ID de meta no existe"))</f>
        <v/>
      </c>
      <c r="H118" s="16" t="str">
        <f aca="false">IF(OR(C118="",D118=""),"",ROUND(MOD(D118-C118,1)*24,2))</f>
        <v/>
      </c>
      <c r="I118" s="18"/>
      <c r="J118" s="18"/>
      <c r="K118" s="18"/>
    </row>
    <row r="119" customFormat="false" ht="15" hidden="false" customHeight="false" outlineLevel="0" collapsed="false">
      <c r="A119" s="17"/>
      <c r="B119" s="18"/>
      <c r="C119" s="19"/>
      <c r="D119" s="19"/>
      <c r="E119" s="18"/>
      <c r="F119" s="18"/>
      <c r="G119" s="13" t="str">
        <f aca="false">IF(F119="","",IFERROR(INDEX(Metas!$B$5:$B$54,MATCH(F119,Metas!$A$5:$A$54,0)),"⚠ ID de meta no existe"))</f>
        <v/>
      </c>
      <c r="H119" s="16" t="str">
        <f aca="false">IF(OR(C119="",D119=""),"",ROUND(MOD(D119-C119,1)*24,2))</f>
        <v/>
      </c>
      <c r="I119" s="18"/>
      <c r="J119" s="18"/>
      <c r="K119" s="18"/>
    </row>
    <row r="120" customFormat="false" ht="15" hidden="false" customHeight="false" outlineLevel="0" collapsed="false">
      <c r="A120" s="17"/>
      <c r="B120" s="18"/>
      <c r="C120" s="19"/>
      <c r="D120" s="19"/>
      <c r="E120" s="18"/>
      <c r="F120" s="18"/>
      <c r="G120" s="13" t="str">
        <f aca="false">IF(F120="","",IFERROR(INDEX(Metas!$B$5:$B$54,MATCH(F120,Metas!$A$5:$A$54,0)),"⚠ ID de meta no existe"))</f>
        <v/>
      </c>
      <c r="H120" s="16" t="str">
        <f aca="false">IF(OR(C120="",D120=""),"",ROUND(MOD(D120-C120,1)*24,2))</f>
        <v/>
      </c>
      <c r="I120" s="18"/>
      <c r="J120" s="18"/>
      <c r="K120" s="18"/>
    </row>
    <row r="121" customFormat="false" ht="15" hidden="false" customHeight="false" outlineLevel="0" collapsed="false">
      <c r="A121" s="17"/>
      <c r="B121" s="18"/>
      <c r="C121" s="19"/>
      <c r="D121" s="19"/>
      <c r="E121" s="18"/>
      <c r="F121" s="18"/>
      <c r="G121" s="13" t="str">
        <f aca="false">IF(F121="","",IFERROR(INDEX(Metas!$B$5:$B$54,MATCH(F121,Metas!$A$5:$A$54,0)),"⚠ ID de meta no existe"))</f>
        <v/>
      </c>
      <c r="H121" s="16" t="str">
        <f aca="false">IF(OR(C121="",D121=""),"",ROUND(MOD(D121-C121,1)*24,2))</f>
        <v/>
      </c>
      <c r="I121" s="18"/>
      <c r="J121" s="18"/>
      <c r="K121" s="18"/>
    </row>
    <row r="122" customFormat="false" ht="15" hidden="false" customHeight="false" outlineLevel="0" collapsed="false">
      <c r="A122" s="17"/>
      <c r="B122" s="18"/>
      <c r="C122" s="19"/>
      <c r="D122" s="19"/>
      <c r="E122" s="18"/>
      <c r="F122" s="18"/>
      <c r="G122" s="13" t="str">
        <f aca="false">IF(F122="","",IFERROR(INDEX(Metas!$B$5:$B$54,MATCH(F122,Metas!$A$5:$A$54,0)),"⚠ ID de meta no existe"))</f>
        <v/>
      </c>
      <c r="H122" s="16" t="str">
        <f aca="false">IF(OR(C122="",D122=""),"",ROUND(MOD(D122-C122,1)*24,2))</f>
        <v/>
      </c>
      <c r="I122" s="18"/>
      <c r="J122" s="18"/>
      <c r="K122" s="18"/>
    </row>
    <row r="123" customFormat="false" ht="15" hidden="false" customHeight="false" outlineLevel="0" collapsed="false">
      <c r="A123" s="17"/>
      <c r="B123" s="18"/>
      <c r="C123" s="19"/>
      <c r="D123" s="19"/>
      <c r="E123" s="18"/>
      <c r="F123" s="18"/>
      <c r="G123" s="13" t="str">
        <f aca="false">IF(F123="","",IFERROR(INDEX(Metas!$B$5:$B$54,MATCH(F123,Metas!$A$5:$A$54,0)),"⚠ ID de meta no existe"))</f>
        <v/>
      </c>
      <c r="H123" s="16" t="str">
        <f aca="false">IF(OR(C123="",D123=""),"",ROUND(MOD(D123-C123,1)*24,2))</f>
        <v/>
      </c>
      <c r="I123" s="18"/>
      <c r="J123" s="18"/>
      <c r="K123" s="18"/>
    </row>
    <row r="124" customFormat="false" ht="15" hidden="false" customHeight="false" outlineLevel="0" collapsed="false">
      <c r="A124" s="17"/>
      <c r="B124" s="18"/>
      <c r="C124" s="19"/>
      <c r="D124" s="19"/>
      <c r="E124" s="18"/>
      <c r="F124" s="18"/>
      <c r="G124" s="13" t="str">
        <f aca="false">IF(F124="","",IFERROR(INDEX(Metas!$B$5:$B$54,MATCH(F124,Metas!$A$5:$A$54,0)),"⚠ ID de meta no existe"))</f>
        <v/>
      </c>
      <c r="H124" s="16" t="str">
        <f aca="false">IF(OR(C124="",D124=""),"",ROUND(MOD(D124-C124,1)*24,2))</f>
        <v/>
      </c>
      <c r="I124" s="18"/>
      <c r="J124" s="18"/>
      <c r="K124" s="18"/>
    </row>
    <row r="125" customFormat="false" ht="15" hidden="false" customHeight="false" outlineLevel="0" collapsed="false">
      <c r="A125" s="17"/>
      <c r="B125" s="18"/>
      <c r="C125" s="19"/>
      <c r="D125" s="19"/>
      <c r="E125" s="18"/>
      <c r="F125" s="18"/>
      <c r="G125" s="13" t="str">
        <f aca="false">IF(F125="","",IFERROR(INDEX(Metas!$B$5:$B$54,MATCH(F125,Metas!$A$5:$A$54,0)),"⚠ ID de meta no existe"))</f>
        <v/>
      </c>
      <c r="H125" s="16" t="str">
        <f aca="false">IF(OR(C125="",D125=""),"",ROUND(MOD(D125-C125,1)*24,2))</f>
        <v/>
      </c>
      <c r="I125" s="18"/>
      <c r="J125" s="18"/>
      <c r="K125" s="18"/>
    </row>
    <row r="126" customFormat="false" ht="15" hidden="false" customHeight="false" outlineLevel="0" collapsed="false">
      <c r="A126" s="17"/>
      <c r="B126" s="18"/>
      <c r="C126" s="19"/>
      <c r="D126" s="19"/>
      <c r="E126" s="18"/>
      <c r="F126" s="18"/>
      <c r="G126" s="13" t="str">
        <f aca="false">IF(F126="","",IFERROR(INDEX(Metas!$B$5:$B$54,MATCH(F126,Metas!$A$5:$A$54,0)),"⚠ ID de meta no existe"))</f>
        <v/>
      </c>
      <c r="H126" s="16" t="str">
        <f aca="false">IF(OR(C126="",D126=""),"",ROUND(MOD(D126-C126,1)*24,2))</f>
        <v/>
      </c>
      <c r="I126" s="18"/>
      <c r="J126" s="18"/>
      <c r="K126" s="18"/>
    </row>
    <row r="127" customFormat="false" ht="15" hidden="false" customHeight="false" outlineLevel="0" collapsed="false">
      <c r="A127" s="17"/>
      <c r="B127" s="18"/>
      <c r="C127" s="19"/>
      <c r="D127" s="19"/>
      <c r="E127" s="18"/>
      <c r="F127" s="18"/>
      <c r="G127" s="13" t="str">
        <f aca="false">IF(F127="","",IFERROR(INDEX(Metas!$B$5:$B$54,MATCH(F127,Metas!$A$5:$A$54,0)),"⚠ ID de meta no existe"))</f>
        <v/>
      </c>
      <c r="H127" s="16" t="str">
        <f aca="false">IF(OR(C127="",D127=""),"",ROUND(MOD(D127-C127,1)*24,2))</f>
        <v/>
      </c>
      <c r="I127" s="18"/>
      <c r="J127" s="18"/>
      <c r="K127" s="18"/>
    </row>
    <row r="128" customFormat="false" ht="15" hidden="false" customHeight="false" outlineLevel="0" collapsed="false">
      <c r="A128" s="17"/>
      <c r="B128" s="18"/>
      <c r="C128" s="19"/>
      <c r="D128" s="19"/>
      <c r="E128" s="18"/>
      <c r="F128" s="18"/>
      <c r="G128" s="13" t="str">
        <f aca="false">IF(F128="","",IFERROR(INDEX(Metas!$B$5:$B$54,MATCH(F128,Metas!$A$5:$A$54,0)),"⚠ ID de meta no existe"))</f>
        <v/>
      </c>
      <c r="H128" s="16" t="str">
        <f aca="false">IF(OR(C128="",D128=""),"",ROUND(MOD(D128-C128,1)*24,2))</f>
        <v/>
      </c>
      <c r="I128" s="18"/>
      <c r="J128" s="18"/>
      <c r="K128" s="18"/>
    </row>
    <row r="129" customFormat="false" ht="15" hidden="false" customHeight="false" outlineLevel="0" collapsed="false">
      <c r="A129" s="17"/>
      <c r="B129" s="18"/>
      <c r="C129" s="19"/>
      <c r="D129" s="19"/>
      <c r="E129" s="18"/>
      <c r="F129" s="18"/>
      <c r="G129" s="13" t="str">
        <f aca="false">IF(F129="","",IFERROR(INDEX(Metas!$B$5:$B$54,MATCH(F129,Metas!$A$5:$A$54,0)),"⚠ ID de meta no existe"))</f>
        <v/>
      </c>
      <c r="H129" s="16" t="str">
        <f aca="false">IF(OR(C129="",D129=""),"",ROUND(MOD(D129-C129,1)*24,2))</f>
        <v/>
      </c>
      <c r="I129" s="18"/>
      <c r="J129" s="18"/>
      <c r="K129" s="18"/>
    </row>
    <row r="130" customFormat="false" ht="15" hidden="false" customHeight="false" outlineLevel="0" collapsed="false">
      <c r="A130" s="17"/>
      <c r="B130" s="18"/>
      <c r="C130" s="19"/>
      <c r="D130" s="19"/>
      <c r="E130" s="18"/>
      <c r="F130" s="18"/>
      <c r="G130" s="13" t="str">
        <f aca="false">IF(F130="","",IFERROR(INDEX(Metas!$B$5:$B$54,MATCH(F130,Metas!$A$5:$A$54,0)),"⚠ ID de meta no existe"))</f>
        <v/>
      </c>
      <c r="H130" s="16" t="str">
        <f aca="false">IF(OR(C130="",D130=""),"",ROUND(MOD(D130-C130,1)*24,2))</f>
        <v/>
      </c>
      <c r="I130" s="18"/>
      <c r="J130" s="18"/>
      <c r="K130" s="18"/>
    </row>
    <row r="131" customFormat="false" ht="15" hidden="false" customHeight="false" outlineLevel="0" collapsed="false">
      <c r="A131" s="17"/>
      <c r="B131" s="18"/>
      <c r="C131" s="19"/>
      <c r="D131" s="19"/>
      <c r="E131" s="18"/>
      <c r="F131" s="18"/>
      <c r="G131" s="13" t="str">
        <f aca="false">IF(F131="","",IFERROR(INDEX(Metas!$B$5:$B$54,MATCH(F131,Metas!$A$5:$A$54,0)),"⚠ ID de meta no existe"))</f>
        <v/>
      </c>
      <c r="H131" s="16" t="str">
        <f aca="false">IF(OR(C131="",D131=""),"",ROUND(MOD(D131-C131,1)*24,2))</f>
        <v/>
      </c>
      <c r="I131" s="18"/>
      <c r="J131" s="18"/>
      <c r="K131" s="18"/>
    </row>
    <row r="132" customFormat="false" ht="15" hidden="false" customHeight="false" outlineLevel="0" collapsed="false">
      <c r="A132" s="17"/>
      <c r="B132" s="18"/>
      <c r="C132" s="19"/>
      <c r="D132" s="19"/>
      <c r="E132" s="18"/>
      <c r="F132" s="18"/>
      <c r="G132" s="13" t="str">
        <f aca="false">IF(F132="","",IFERROR(INDEX(Metas!$B$5:$B$54,MATCH(F132,Metas!$A$5:$A$54,0)),"⚠ ID de meta no existe"))</f>
        <v/>
      </c>
      <c r="H132" s="16" t="str">
        <f aca="false">IF(OR(C132="",D132=""),"",ROUND(MOD(D132-C132,1)*24,2))</f>
        <v/>
      </c>
      <c r="I132" s="18"/>
      <c r="J132" s="18"/>
      <c r="K132" s="18"/>
    </row>
    <row r="133" customFormat="false" ht="15" hidden="false" customHeight="false" outlineLevel="0" collapsed="false">
      <c r="A133" s="17"/>
      <c r="B133" s="18"/>
      <c r="C133" s="19"/>
      <c r="D133" s="19"/>
      <c r="E133" s="18"/>
      <c r="F133" s="18"/>
      <c r="G133" s="13" t="str">
        <f aca="false">IF(F133="","",IFERROR(INDEX(Metas!$B$5:$B$54,MATCH(F133,Metas!$A$5:$A$54,0)),"⚠ ID de meta no existe"))</f>
        <v/>
      </c>
      <c r="H133" s="16" t="str">
        <f aca="false">IF(OR(C133="",D133=""),"",ROUND(MOD(D133-C133,1)*24,2))</f>
        <v/>
      </c>
      <c r="I133" s="18"/>
      <c r="J133" s="18"/>
      <c r="K133" s="18"/>
    </row>
    <row r="134" customFormat="false" ht="15" hidden="false" customHeight="false" outlineLevel="0" collapsed="false">
      <c r="A134" s="17"/>
      <c r="B134" s="18"/>
      <c r="C134" s="19"/>
      <c r="D134" s="19"/>
      <c r="E134" s="18"/>
      <c r="F134" s="18"/>
      <c r="G134" s="13" t="str">
        <f aca="false">IF(F134="","",IFERROR(INDEX(Metas!$B$5:$B$54,MATCH(F134,Metas!$A$5:$A$54,0)),"⚠ ID de meta no existe"))</f>
        <v/>
      </c>
      <c r="H134" s="16" t="str">
        <f aca="false">IF(OR(C134="",D134=""),"",ROUND(MOD(D134-C134,1)*24,2))</f>
        <v/>
      </c>
      <c r="I134" s="18"/>
      <c r="J134" s="18"/>
      <c r="K134" s="18"/>
    </row>
    <row r="135" customFormat="false" ht="15" hidden="false" customHeight="false" outlineLevel="0" collapsed="false">
      <c r="A135" s="17"/>
      <c r="B135" s="18"/>
      <c r="C135" s="19"/>
      <c r="D135" s="19"/>
      <c r="E135" s="18"/>
      <c r="F135" s="18"/>
      <c r="G135" s="13" t="str">
        <f aca="false">IF(F135="","",IFERROR(INDEX(Metas!$B$5:$B$54,MATCH(F135,Metas!$A$5:$A$54,0)),"⚠ ID de meta no existe"))</f>
        <v/>
      </c>
      <c r="H135" s="16" t="str">
        <f aca="false">IF(OR(C135="",D135=""),"",ROUND(MOD(D135-C135,1)*24,2))</f>
        <v/>
      </c>
      <c r="I135" s="18"/>
      <c r="J135" s="18"/>
      <c r="K135" s="18"/>
    </row>
    <row r="136" customFormat="false" ht="15" hidden="false" customHeight="false" outlineLevel="0" collapsed="false">
      <c r="A136" s="17"/>
      <c r="B136" s="18"/>
      <c r="C136" s="19"/>
      <c r="D136" s="19"/>
      <c r="E136" s="18"/>
      <c r="F136" s="18"/>
      <c r="G136" s="13" t="str">
        <f aca="false">IF(F136="","",IFERROR(INDEX(Metas!$B$5:$B$54,MATCH(F136,Metas!$A$5:$A$54,0)),"⚠ ID de meta no existe"))</f>
        <v/>
      </c>
      <c r="H136" s="16" t="str">
        <f aca="false">IF(OR(C136="",D136=""),"",ROUND(MOD(D136-C136,1)*24,2))</f>
        <v/>
      </c>
      <c r="I136" s="18"/>
      <c r="J136" s="18"/>
      <c r="K136" s="18"/>
    </row>
    <row r="137" customFormat="false" ht="15" hidden="false" customHeight="false" outlineLevel="0" collapsed="false">
      <c r="A137" s="17"/>
      <c r="B137" s="18"/>
      <c r="C137" s="19"/>
      <c r="D137" s="19"/>
      <c r="E137" s="18"/>
      <c r="F137" s="18"/>
      <c r="G137" s="13" t="str">
        <f aca="false">IF(F137="","",IFERROR(INDEX(Metas!$B$5:$B$54,MATCH(F137,Metas!$A$5:$A$54,0)),"⚠ ID de meta no existe"))</f>
        <v/>
      </c>
      <c r="H137" s="16" t="str">
        <f aca="false">IF(OR(C137="",D137=""),"",ROUND(MOD(D137-C137,1)*24,2))</f>
        <v/>
      </c>
      <c r="I137" s="18"/>
      <c r="J137" s="18"/>
      <c r="K137" s="18"/>
    </row>
    <row r="138" customFormat="false" ht="15" hidden="false" customHeight="false" outlineLevel="0" collapsed="false">
      <c r="A138" s="17"/>
      <c r="B138" s="18"/>
      <c r="C138" s="19"/>
      <c r="D138" s="19"/>
      <c r="E138" s="18"/>
      <c r="F138" s="18"/>
      <c r="G138" s="13" t="str">
        <f aca="false">IF(F138="","",IFERROR(INDEX(Metas!$B$5:$B$54,MATCH(F138,Metas!$A$5:$A$54,0)),"⚠ ID de meta no existe"))</f>
        <v/>
      </c>
      <c r="H138" s="16" t="str">
        <f aca="false">IF(OR(C138="",D138=""),"",ROUND(MOD(D138-C138,1)*24,2))</f>
        <v/>
      </c>
      <c r="I138" s="18"/>
      <c r="J138" s="18"/>
      <c r="K138" s="18"/>
    </row>
    <row r="139" customFormat="false" ht="15" hidden="false" customHeight="false" outlineLevel="0" collapsed="false">
      <c r="A139" s="17"/>
      <c r="B139" s="18"/>
      <c r="C139" s="19"/>
      <c r="D139" s="19"/>
      <c r="E139" s="18"/>
      <c r="F139" s="18"/>
      <c r="G139" s="13" t="str">
        <f aca="false">IF(F139="","",IFERROR(INDEX(Metas!$B$5:$B$54,MATCH(F139,Metas!$A$5:$A$54,0)),"⚠ ID de meta no existe"))</f>
        <v/>
      </c>
      <c r="H139" s="16" t="str">
        <f aca="false">IF(OR(C139="",D139=""),"",ROUND(MOD(D139-C139,1)*24,2))</f>
        <v/>
      </c>
      <c r="I139" s="18"/>
      <c r="J139" s="18"/>
      <c r="K139" s="18"/>
    </row>
    <row r="140" customFormat="false" ht="15" hidden="false" customHeight="false" outlineLevel="0" collapsed="false">
      <c r="A140" s="17"/>
      <c r="B140" s="18"/>
      <c r="C140" s="19"/>
      <c r="D140" s="19"/>
      <c r="E140" s="18"/>
      <c r="F140" s="18"/>
      <c r="G140" s="13" t="str">
        <f aca="false">IF(F140="","",IFERROR(INDEX(Metas!$B$5:$B$54,MATCH(F140,Metas!$A$5:$A$54,0)),"⚠ ID de meta no existe"))</f>
        <v/>
      </c>
      <c r="H140" s="16" t="str">
        <f aca="false">IF(OR(C140="",D140=""),"",ROUND(MOD(D140-C140,1)*24,2))</f>
        <v/>
      </c>
      <c r="I140" s="18"/>
      <c r="J140" s="18"/>
      <c r="K140" s="18"/>
    </row>
    <row r="141" customFormat="false" ht="15" hidden="false" customHeight="false" outlineLevel="0" collapsed="false">
      <c r="A141" s="17"/>
      <c r="B141" s="18"/>
      <c r="C141" s="19"/>
      <c r="D141" s="19"/>
      <c r="E141" s="18"/>
      <c r="F141" s="18"/>
      <c r="G141" s="13" t="str">
        <f aca="false">IF(F141="","",IFERROR(INDEX(Metas!$B$5:$B$54,MATCH(F141,Metas!$A$5:$A$54,0)),"⚠ ID de meta no existe"))</f>
        <v/>
      </c>
      <c r="H141" s="16" t="str">
        <f aca="false">IF(OR(C141="",D141=""),"",ROUND(MOD(D141-C141,1)*24,2))</f>
        <v/>
      </c>
      <c r="I141" s="18"/>
      <c r="J141" s="18"/>
      <c r="K141" s="18"/>
    </row>
    <row r="142" customFormat="false" ht="15" hidden="false" customHeight="false" outlineLevel="0" collapsed="false">
      <c r="A142" s="17"/>
      <c r="B142" s="18"/>
      <c r="C142" s="19"/>
      <c r="D142" s="19"/>
      <c r="E142" s="18"/>
      <c r="F142" s="18"/>
      <c r="G142" s="13" t="str">
        <f aca="false">IF(F142="","",IFERROR(INDEX(Metas!$B$5:$B$54,MATCH(F142,Metas!$A$5:$A$54,0)),"⚠ ID de meta no existe"))</f>
        <v/>
      </c>
      <c r="H142" s="16" t="str">
        <f aca="false">IF(OR(C142="",D142=""),"",ROUND(MOD(D142-C142,1)*24,2))</f>
        <v/>
      </c>
      <c r="I142" s="18"/>
      <c r="J142" s="18"/>
      <c r="K142" s="18"/>
    </row>
    <row r="143" customFormat="false" ht="15" hidden="false" customHeight="false" outlineLevel="0" collapsed="false">
      <c r="A143" s="17"/>
      <c r="B143" s="18"/>
      <c r="C143" s="19"/>
      <c r="D143" s="19"/>
      <c r="E143" s="18"/>
      <c r="F143" s="18"/>
      <c r="G143" s="13" t="str">
        <f aca="false">IF(F143="","",IFERROR(INDEX(Metas!$B$5:$B$54,MATCH(F143,Metas!$A$5:$A$54,0)),"⚠ ID de meta no existe"))</f>
        <v/>
      </c>
      <c r="H143" s="16" t="str">
        <f aca="false">IF(OR(C143="",D143=""),"",ROUND(MOD(D143-C143,1)*24,2))</f>
        <v/>
      </c>
      <c r="I143" s="18"/>
      <c r="J143" s="18"/>
      <c r="K143" s="18"/>
    </row>
    <row r="144" customFormat="false" ht="15" hidden="false" customHeight="false" outlineLevel="0" collapsed="false">
      <c r="A144" s="17"/>
      <c r="B144" s="18"/>
      <c r="C144" s="19"/>
      <c r="D144" s="19"/>
      <c r="E144" s="18"/>
      <c r="F144" s="18"/>
      <c r="G144" s="13" t="str">
        <f aca="false">IF(F144="","",IFERROR(INDEX(Metas!$B$5:$B$54,MATCH(F144,Metas!$A$5:$A$54,0)),"⚠ ID de meta no existe"))</f>
        <v/>
      </c>
      <c r="H144" s="16" t="str">
        <f aca="false">IF(OR(C144="",D144=""),"",ROUND(MOD(D144-C144,1)*24,2))</f>
        <v/>
      </c>
      <c r="I144" s="18"/>
      <c r="J144" s="18"/>
      <c r="K144" s="18"/>
    </row>
    <row r="145" customFormat="false" ht="15" hidden="false" customHeight="false" outlineLevel="0" collapsed="false">
      <c r="A145" s="17"/>
      <c r="B145" s="18"/>
      <c r="C145" s="19"/>
      <c r="D145" s="19"/>
      <c r="E145" s="18"/>
      <c r="F145" s="18"/>
      <c r="G145" s="13" t="str">
        <f aca="false">IF(F145="","",IFERROR(INDEX(Metas!$B$5:$B$54,MATCH(F145,Metas!$A$5:$A$54,0)),"⚠ ID de meta no existe"))</f>
        <v/>
      </c>
      <c r="H145" s="16" t="str">
        <f aca="false">IF(OR(C145="",D145=""),"",ROUND(MOD(D145-C145,1)*24,2))</f>
        <v/>
      </c>
      <c r="I145" s="18"/>
      <c r="J145" s="18"/>
      <c r="K145" s="18"/>
    </row>
    <row r="146" customFormat="false" ht="15" hidden="false" customHeight="false" outlineLevel="0" collapsed="false">
      <c r="A146" s="17"/>
      <c r="B146" s="18"/>
      <c r="C146" s="19"/>
      <c r="D146" s="19"/>
      <c r="E146" s="18"/>
      <c r="F146" s="18"/>
      <c r="G146" s="13" t="str">
        <f aca="false">IF(F146="","",IFERROR(INDEX(Metas!$B$5:$B$54,MATCH(F146,Metas!$A$5:$A$54,0)),"⚠ ID de meta no existe"))</f>
        <v/>
      </c>
      <c r="H146" s="16" t="str">
        <f aca="false">IF(OR(C146="",D146=""),"",ROUND(MOD(D146-C146,1)*24,2))</f>
        <v/>
      </c>
      <c r="I146" s="18"/>
      <c r="J146" s="18"/>
      <c r="K146" s="18"/>
    </row>
    <row r="147" customFormat="false" ht="15" hidden="false" customHeight="false" outlineLevel="0" collapsed="false">
      <c r="A147" s="17"/>
      <c r="B147" s="18"/>
      <c r="C147" s="19"/>
      <c r="D147" s="19"/>
      <c r="E147" s="18"/>
      <c r="F147" s="18"/>
      <c r="G147" s="13" t="str">
        <f aca="false">IF(F147="","",IFERROR(INDEX(Metas!$B$5:$B$54,MATCH(F147,Metas!$A$5:$A$54,0)),"⚠ ID de meta no existe"))</f>
        <v/>
      </c>
      <c r="H147" s="16" t="str">
        <f aca="false">IF(OR(C147="",D147=""),"",ROUND(MOD(D147-C147,1)*24,2))</f>
        <v/>
      </c>
      <c r="I147" s="18"/>
      <c r="J147" s="18"/>
      <c r="K147" s="18"/>
    </row>
    <row r="148" customFormat="false" ht="15" hidden="false" customHeight="false" outlineLevel="0" collapsed="false">
      <c r="A148" s="17"/>
      <c r="B148" s="18"/>
      <c r="C148" s="19"/>
      <c r="D148" s="19"/>
      <c r="E148" s="18"/>
      <c r="F148" s="18"/>
      <c r="G148" s="13" t="str">
        <f aca="false">IF(F148="","",IFERROR(INDEX(Metas!$B$5:$B$54,MATCH(F148,Metas!$A$5:$A$54,0)),"⚠ ID de meta no existe"))</f>
        <v/>
      </c>
      <c r="H148" s="16" t="str">
        <f aca="false">IF(OR(C148="",D148=""),"",ROUND(MOD(D148-C148,1)*24,2))</f>
        <v/>
      </c>
      <c r="I148" s="18"/>
      <c r="J148" s="18"/>
      <c r="K148" s="18"/>
    </row>
    <row r="149" customFormat="false" ht="15" hidden="false" customHeight="false" outlineLevel="0" collapsed="false">
      <c r="A149" s="17"/>
      <c r="B149" s="18"/>
      <c r="C149" s="19"/>
      <c r="D149" s="19"/>
      <c r="E149" s="18"/>
      <c r="F149" s="18"/>
      <c r="G149" s="13" t="str">
        <f aca="false">IF(F149="","",IFERROR(INDEX(Metas!$B$5:$B$54,MATCH(F149,Metas!$A$5:$A$54,0)),"⚠ ID de meta no existe"))</f>
        <v/>
      </c>
      <c r="H149" s="16" t="str">
        <f aca="false">IF(OR(C149="",D149=""),"",ROUND(MOD(D149-C149,1)*24,2))</f>
        <v/>
      </c>
      <c r="I149" s="18"/>
      <c r="J149" s="18"/>
      <c r="K149" s="18"/>
    </row>
    <row r="150" customFormat="false" ht="15" hidden="false" customHeight="false" outlineLevel="0" collapsed="false">
      <c r="A150" s="17"/>
      <c r="B150" s="18"/>
      <c r="C150" s="19"/>
      <c r="D150" s="19"/>
      <c r="E150" s="18"/>
      <c r="F150" s="18"/>
      <c r="G150" s="13" t="str">
        <f aca="false">IF(F150="","",IFERROR(INDEX(Metas!$B$5:$B$54,MATCH(F150,Metas!$A$5:$A$54,0)),"⚠ ID de meta no existe"))</f>
        <v/>
      </c>
      <c r="H150" s="16" t="str">
        <f aca="false">IF(OR(C150="",D150=""),"",ROUND(MOD(D150-C150,1)*24,2))</f>
        <v/>
      </c>
      <c r="I150" s="18"/>
      <c r="J150" s="18"/>
      <c r="K150" s="18"/>
    </row>
    <row r="151" customFormat="false" ht="15" hidden="false" customHeight="false" outlineLevel="0" collapsed="false">
      <c r="A151" s="17"/>
      <c r="B151" s="18"/>
      <c r="C151" s="19"/>
      <c r="D151" s="19"/>
      <c r="E151" s="18"/>
      <c r="F151" s="18"/>
      <c r="G151" s="13" t="str">
        <f aca="false">IF(F151="","",IFERROR(INDEX(Metas!$B$5:$B$54,MATCH(F151,Metas!$A$5:$A$54,0)),"⚠ ID de meta no existe"))</f>
        <v/>
      </c>
      <c r="H151" s="16" t="str">
        <f aca="false">IF(OR(C151="",D151=""),"",ROUND(MOD(D151-C151,1)*24,2))</f>
        <v/>
      </c>
      <c r="I151" s="18"/>
      <c r="J151" s="18"/>
      <c r="K151" s="18"/>
    </row>
    <row r="152" customFormat="false" ht="15" hidden="false" customHeight="false" outlineLevel="0" collapsed="false">
      <c r="A152" s="17"/>
      <c r="B152" s="18"/>
      <c r="C152" s="19"/>
      <c r="D152" s="19"/>
      <c r="E152" s="18"/>
      <c r="F152" s="18"/>
      <c r="G152" s="13" t="str">
        <f aca="false">IF(F152="","",IFERROR(INDEX(Metas!$B$5:$B$54,MATCH(F152,Metas!$A$5:$A$54,0)),"⚠ ID de meta no existe"))</f>
        <v/>
      </c>
      <c r="H152" s="16" t="str">
        <f aca="false">IF(OR(C152="",D152=""),"",ROUND(MOD(D152-C152,1)*24,2))</f>
        <v/>
      </c>
      <c r="I152" s="18"/>
      <c r="J152" s="18"/>
      <c r="K152" s="18"/>
    </row>
    <row r="153" customFormat="false" ht="15" hidden="false" customHeight="false" outlineLevel="0" collapsed="false">
      <c r="A153" s="17"/>
      <c r="B153" s="18"/>
      <c r="C153" s="19"/>
      <c r="D153" s="19"/>
      <c r="E153" s="18"/>
      <c r="F153" s="18"/>
      <c r="G153" s="13" t="str">
        <f aca="false">IF(F153="","",IFERROR(INDEX(Metas!$B$5:$B$54,MATCH(F153,Metas!$A$5:$A$54,0)),"⚠ ID de meta no existe"))</f>
        <v/>
      </c>
      <c r="H153" s="16" t="str">
        <f aca="false">IF(OR(C153="",D153=""),"",ROUND(MOD(D153-C153,1)*24,2))</f>
        <v/>
      </c>
      <c r="I153" s="18"/>
      <c r="J153" s="18"/>
      <c r="K153" s="18"/>
    </row>
    <row r="154" customFormat="false" ht="15" hidden="false" customHeight="false" outlineLevel="0" collapsed="false">
      <c r="A154" s="17"/>
      <c r="B154" s="18"/>
      <c r="C154" s="19"/>
      <c r="D154" s="19"/>
      <c r="E154" s="18"/>
      <c r="F154" s="18"/>
      <c r="G154" s="13" t="str">
        <f aca="false">IF(F154="","",IFERROR(INDEX(Metas!$B$5:$B$54,MATCH(F154,Metas!$A$5:$A$54,0)),"⚠ ID de meta no existe"))</f>
        <v/>
      </c>
      <c r="H154" s="16" t="str">
        <f aca="false">IF(OR(C154="",D154=""),"",ROUND(MOD(D154-C154,1)*24,2))</f>
        <v/>
      </c>
      <c r="I154" s="18"/>
      <c r="J154" s="18"/>
      <c r="K154" s="18"/>
    </row>
    <row r="155" customFormat="false" ht="15" hidden="false" customHeight="false" outlineLevel="0" collapsed="false">
      <c r="A155" s="17"/>
      <c r="B155" s="18"/>
      <c r="C155" s="19"/>
      <c r="D155" s="19"/>
      <c r="E155" s="18"/>
      <c r="F155" s="18"/>
      <c r="G155" s="13" t="str">
        <f aca="false">IF(F155="","",IFERROR(INDEX(Metas!$B$5:$B$54,MATCH(F155,Metas!$A$5:$A$54,0)),"⚠ ID de meta no existe"))</f>
        <v/>
      </c>
      <c r="H155" s="16" t="str">
        <f aca="false">IF(OR(C155="",D155=""),"",ROUND(MOD(D155-C155,1)*24,2))</f>
        <v/>
      </c>
      <c r="I155" s="18"/>
      <c r="J155" s="18"/>
      <c r="K155" s="18"/>
    </row>
    <row r="156" customFormat="false" ht="15" hidden="false" customHeight="false" outlineLevel="0" collapsed="false">
      <c r="A156" s="17"/>
      <c r="B156" s="18"/>
      <c r="C156" s="19"/>
      <c r="D156" s="19"/>
      <c r="E156" s="18"/>
      <c r="F156" s="18"/>
      <c r="G156" s="13" t="str">
        <f aca="false">IF(F156="","",IFERROR(INDEX(Metas!$B$5:$B$54,MATCH(F156,Metas!$A$5:$A$54,0)),"⚠ ID de meta no existe"))</f>
        <v/>
      </c>
      <c r="H156" s="16" t="str">
        <f aca="false">IF(OR(C156="",D156=""),"",ROUND(MOD(D156-C156,1)*24,2))</f>
        <v/>
      </c>
      <c r="I156" s="18"/>
      <c r="J156" s="18"/>
      <c r="K156" s="18"/>
    </row>
    <row r="157" customFormat="false" ht="15" hidden="false" customHeight="false" outlineLevel="0" collapsed="false">
      <c r="A157" s="17"/>
      <c r="B157" s="18"/>
      <c r="C157" s="19"/>
      <c r="D157" s="19"/>
      <c r="E157" s="18"/>
      <c r="F157" s="18"/>
      <c r="G157" s="13" t="str">
        <f aca="false">IF(F157="","",IFERROR(INDEX(Metas!$B$5:$B$54,MATCH(F157,Metas!$A$5:$A$54,0)),"⚠ ID de meta no existe"))</f>
        <v/>
      </c>
      <c r="H157" s="16" t="str">
        <f aca="false">IF(OR(C157="",D157=""),"",ROUND(MOD(D157-C157,1)*24,2))</f>
        <v/>
      </c>
      <c r="I157" s="18"/>
      <c r="J157" s="18"/>
      <c r="K157" s="18"/>
    </row>
    <row r="158" customFormat="false" ht="15" hidden="false" customHeight="false" outlineLevel="0" collapsed="false">
      <c r="A158" s="17"/>
      <c r="B158" s="18"/>
      <c r="C158" s="19"/>
      <c r="D158" s="19"/>
      <c r="E158" s="18"/>
      <c r="F158" s="18"/>
      <c r="G158" s="13" t="str">
        <f aca="false">IF(F158="","",IFERROR(INDEX(Metas!$B$5:$B$54,MATCH(F158,Metas!$A$5:$A$54,0)),"⚠ ID de meta no existe"))</f>
        <v/>
      </c>
      <c r="H158" s="16" t="str">
        <f aca="false">IF(OR(C158="",D158=""),"",ROUND(MOD(D158-C158,1)*24,2))</f>
        <v/>
      </c>
      <c r="I158" s="18"/>
      <c r="J158" s="18"/>
      <c r="K158" s="18"/>
    </row>
    <row r="159" customFormat="false" ht="15" hidden="false" customHeight="false" outlineLevel="0" collapsed="false">
      <c r="A159" s="17"/>
      <c r="B159" s="18"/>
      <c r="C159" s="19"/>
      <c r="D159" s="19"/>
      <c r="E159" s="18"/>
      <c r="F159" s="18"/>
      <c r="G159" s="13" t="str">
        <f aca="false">IF(F159="","",IFERROR(INDEX(Metas!$B$5:$B$54,MATCH(F159,Metas!$A$5:$A$54,0)),"⚠ ID de meta no existe"))</f>
        <v/>
      </c>
      <c r="H159" s="16" t="str">
        <f aca="false">IF(OR(C159="",D159=""),"",ROUND(MOD(D159-C159,1)*24,2))</f>
        <v/>
      </c>
      <c r="I159" s="18"/>
      <c r="J159" s="18"/>
      <c r="K159" s="18"/>
    </row>
    <row r="160" customFormat="false" ht="15" hidden="false" customHeight="false" outlineLevel="0" collapsed="false">
      <c r="A160" s="17"/>
      <c r="B160" s="18"/>
      <c r="C160" s="19"/>
      <c r="D160" s="19"/>
      <c r="E160" s="18"/>
      <c r="F160" s="18"/>
      <c r="G160" s="13" t="str">
        <f aca="false">IF(F160="","",IFERROR(INDEX(Metas!$B$5:$B$54,MATCH(F160,Metas!$A$5:$A$54,0)),"⚠ ID de meta no existe"))</f>
        <v/>
      </c>
      <c r="H160" s="16" t="str">
        <f aca="false">IF(OR(C160="",D160=""),"",ROUND(MOD(D160-C160,1)*24,2))</f>
        <v/>
      </c>
      <c r="I160" s="18"/>
      <c r="J160" s="18"/>
      <c r="K160" s="18"/>
    </row>
    <row r="161" customFormat="false" ht="15" hidden="false" customHeight="false" outlineLevel="0" collapsed="false">
      <c r="A161" s="17"/>
      <c r="B161" s="18"/>
      <c r="C161" s="19"/>
      <c r="D161" s="19"/>
      <c r="E161" s="18"/>
      <c r="F161" s="18"/>
      <c r="G161" s="13" t="str">
        <f aca="false">IF(F161="","",IFERROR(INDEX(Metas!$B$5:$B$54,MATCH(F161,Metas!$A$5:$A$54,0)),"⚠ ID de meta no existe"))</f>
        <v/>
      </c>
      <c r="H161" s="16" t="str">
        <f aca="false">IF(OR(C161="",D161=""),"",ROUND(MOD(D161-C161,1)*24,2))</f>
        <v/>
      </c>
      <c r="I161" s="18"/>
      <c r="J161" s="18"/>
      <c r="K161" s="18"/>
    </row>
    <row r="162" customFormat="false" ht="15" hidden="false" customHeight="false" outlineLevel="0" collapsed="false">
      <c r="A162" s="17"/>
      <c r="B162" s="18"/>
      <c r="C162" s="19"/>
      <c r="D162" s="19"/>
      <c r="E162" s="18"/>
      <c r="F162" s="18"/>
      <c r="G162" s="13" t="str">
        <f aca="false">IF(F162="","",IFERROR(INDEX(Metas!$B$5:$B$54,MATCH(F162,Metas!$A$5:$A$54,0)),"⚠ ID de meta no existe"))</f>
        <v/>
      </c>
      <c r="H162" s="16" t="str">
        <f aca="false">IF(OR(C162="",D162=""),"",ROUND(MOD(D162-C162,1)*24,2))</f>
        <v/>
      </c>
      <c r="I162" s="18"/>
      <c r="J162" s="18"/>
      <c r="K162" s="18"/>
    </row>
    <row r="163" customFormat="false" ht="15" hidden="false" customHeight="false" outlineLevel="0" collapsed="false">
      <c r="A163" s="17"/>
      <c r="B163" s="18"/>
      <c r="C163" s="19"/>
      <c r="D163" s="19"/>
      <c r="E163" s="18"/>
      <c r="F163" s="18"/>
      <c r="G163" s="13" t="str">
        <f aca="false">IF(F163="","",IFERROR(INDEX(Metas!$B$5:$B$54,MATCH(F163,Metas!$A$5:$A$54,0)),"⚠ ID de meta no existe"))</f>
        <v/>
      </c>
      <c r="H163" s="16" t="str">
        <f aca="false">IF(OR(C163="",D163=""),"",ROUND(MOD(D163-C163,1)*24,2))</f>
        <v/>
      </c>
      <c r="I163" s="18"/>
      <c r="J163" s="18"/>
      <c r="K163" s="18"/>
    </row>
    <row r="164" customFormat="false" ht="15" hidden="false" customHeight="false" outlineLevel="0" collapsed="false">
      <c r="A164" s="17"/>
      <c r="B164" s="18"/>
      <c r="C164" s="19"/>
      <c r="D164" s="19"/>
      <c r="E164" s="18"/>
      <c r="F164" s="18"/>
      <c r="G164" s="13" t="str">
        <f aca="false">IF(F164="","",IFERROR(INDEX(Metas!$B$5:$B$54,MATCH(F164,Metas!$A$5:$A$54,0)),"⚠ ID de meta no existe"))</f>
        <v/>
      </c>
      <c r="H164" s="16" t="str">
        <f aca="false">IF(OR(C164="",D164=""),"",ROUND(MOD(D164-C164,1)*24,2))</f>
        <v/>
      </c>
      <c r="I164" s="18"/>
      <c r="J164" s="18"/>
      <c r="K164" s="18"/>
    </row>
    <row r="165" customFormat="false" ht="15" hidden="false" customHeight="false" outlineLevel="0" collapsed="false">
      <c r="A165" s="17"/>
      <c r="B165" s="18"/>
      <c r="C165" s="19"/>
      <c r="D165" s="19"/>
      <c r="E165" s="18"/>
      <c r="F165" s="18"/>
      <c r="G165" s="13" t="str">
        <f aca="false">IF(F165="","",IFERROR(INDEX(Metas!$B$5:$B$54,MATCH(F165,Metas!$A$5:$A$54,0)),"⚠ ID de meta no existe"))</f>
        <v/>
      </c>
      <c r="H165" s="16" t="str">
        <f aca="false">IF(OR(C165="",D165=""),"",ROUND(MOD(D165-C165,1)*24,2))</f>
        <v/>
      </c>
      <c r="I165" s="18"/>
      <c r="J165" s="18"/>
      <c r="K165" s="18"/>
    </row>
    <row r="166" customFormat="false" ht="15" hidden="false" customHeight="false" outlineLevel="0" collapsed="false">
      <c r="A166" s="17"/>
      <c r="B166" s="18"/>
      <c r="C166" s="19"/>
      <c r="D166" s="19"/>
      <c r="E166" s="18"/>
      <c r="F166" s="18"/>
      <c r="G166" s="13" t="str">
        <f aca="false">IF(F166="","",IFERROR(INDEX(Metas!$B$5:$B$54,MATCH(F166,Metas!$A$5:$A$54,0)),"⚠ ID de meta no existe"))</f>
        <v/>
      </c>
      <c r="H166" s="16" t="str">
        <f aca="false">IF(OR(C166="",D166=""),"",ROUND(MOD(D166-C166,1)*24,2))</f>
        <v/>
      </c>
      <c r="I166" s="18"/>
      <c r="J166" s="18"/>
      <c r="K166" s="18"/>
    </row>
    <row r="167" customFormat="false" ht="15" hidden="false" customHeight="false" outlineLevel="0" collapsed="false">
      <c r="A167" s="17"/>
      <c r="B167" s="18"/>
      <c r="C167" s="19"/>
      <c r="D167" s="19"/>
      <c r="E167" s="18"/>
      <c r="F167" s="18"/>
      <c r="G167" s="13" t="str">
        <f aca="false">IF(F167="","",IFERROR(INDEX(Metas!$B$5:$B$54,MATCH(F167,Metas!$A$5:$A$54,0)),"⚠ ID de meta no existe"))</f>
        <v/>
      </c>
      <c r="H167" s="16" t="str">
        <f aca="false">IF(OR(C167="",D167=""),"",ROUND(MOD(D167-C167,1)*24,2))</f>
        <v/>
      </c>
      <c r="I167" s="18"/>
      <c r="J167" s="18"/>
      <c r="K167" s="18"/>
    </row>
    <row r="168" customFormat="false" ht="15" hidden="false" customHeight="false" outlineLevel="0" collapsed="false">
      <c r="A168" s="17"/>
      <c r="B168" s="18"/>
      <c r="C168" s="19"/>
      <c r="D168" s="19"/>
      <c r="E168" s="18"/>
      <c r="F168" s="18"/>
      <c r="G168" s="13" t="str">
        <f aca="false">IF(F168="","",IFERROR(INDEX(Metas!$B$5:$B$54,MATCH(F168,Metas!$A$5:$A$54,0)),"⚠ ID de meta no existe"))</f>
        <v/>
      </c>
      <c r="H168" s="16" t="str">
        <f aca="false">IF(OR(C168="",D168=""),"",ROUND(MOD(D168-C168,1)*24,2))</f>
        <v/>
      </c>
      <c r="I168" s="18"/>
      <c r="J168" s="18"/>
      <c r="K168" s="18"/>
    </row>
    <row r="169" customFormat="false" ht="15" hidden="false" customHeight="false" outlineLevel="0" collapsed="false">
      <c r="A169" s="17"/>
      <c r="B169" s="18"/>
      <c r="C169" s="19"/>
      <c r="D169" s="19"/>
      <c r="E169" s="18"/>
      <c r="F169" s="18"/>
      <c r="G169" s="13" t="str">
        <f aca="false">IF(F169="","",IFERROR(INDEX(Metas!$B$5:$B$54,MATCH(F169,Metas!$A$5:$A$54,0)),"⚠ ID de meta no existe"))</f>
        <v/>
      </c>
      <c r="H169" s="16" t="str">
        <f aca="false">IF(OR(C169="",D169=""),"",ROUND(MOD(D169-C169,1)*24,2))</f>
        <v/>
      </c>
      <c r="I169" s="18"/>
      <c r="J169" s="18"/>
      <c r="K169" s="18"/>
    </row>
    <row r="170" customFormat="false" ht="15" hidden="false" customHeight="false" outlineLevel="0" collapsed="false">
      <c r="A170" s="17"/>
      <c r="B170" s="18"/>
      <c r="C170" s="19"/>
      <c r="D170" s="19"/>
      <c r="E170" s="18"/>
      <c r="F170" s="18"/>
      <c r="G170" s="13" t="str">
        <f aca="false">IF(F170="","",IFERROR(INDEX(Metas!$B$5:$B$54,MATCH(F170,Metas!$A$5:$A$54,0)),"⚠ ID de meta no existe"))</f>
        <v/>
      </c>
      <c r="H170" s="16" t="str">
        <f aca="false">IF(OR(C170="",D170=""),"",ROUND(MOD(D170-C170,1)*24,2))</f>
        <v/>
      </c>
      <c r="I170" s="18"/>
      <c r="J170" s="18"/>
      <c r="K170" s="18"/>
    </row>
    <row r="171" customFormat="false" ht="15" hidden="false" customHeight="false" outlineLevel="0" collapsed="false">
      <c r="A171" s="17"/>
      <c r="B171" s="18"/>
      <c r="C171" s="19"/>
      <c r="D171" s="19"/>
      <c r="E171" s="18"/>
      <c r="F171" s="18"/>
      <c r="G171" s="13" t="str">
        <f aca="false">IF(F171="","",IFERROR(INDEX(Metas!$B$5:$B$54,MATCH(F171,Metas!$A$5:$A$54,0)),"⚠ ID de meta no existe"))</f>
        <v/>
      </c>
      <c r="H171" s="16" t="str">
        <f aca="false">IF(OR(C171="",D171=""),"",ROUND(MOD(D171-C171,1)*24,2))</f>
        <v/>
      </c>
      <c r="I171" s="18"/>
      <c r="J171" s="18"/>
      <c r="K171" s="18"/>
    </row>
    <row r="172" customFormat="false" ht="15" hidden="false" customHeight="false" outlineLevel="0" collapsed="false">
      <c r="A172" s="17"/>
      <c r="B172" s="18"/>
      <c r="C172" s="19"/>
      <c r="D172" s="19"/>
      <c r="E172" s="18"/>
      <c r="F172" s="18"/>
      <c r="G172" s="13" t="str">
        <f aca="false">IF(F172="","",IFERROR(INDEX(Metas!$B$5:$B$54,MATCH(F172,Metas!$A$5:$A$54,0)),"⚠ ID de meta no existe"))</f>
        <v/>
      </c>
      <c r="H172" s="16" t="str">
        <f aca="false">IF(OR(C172="",D172=""),"",ROUND(MOD(D172-C172,1)*24,2))</f>
        <v/>
      </c>
      <c r="I172" s="18"/>
      <c r="J172" s="18"/>
      <c r="K172" s="18"/>
    </row>
    <row r="173" customFormat="false" ht="15" hidden="false" customHeight="false" outlineLevel="0" collapsed="false">
      <c r="A173" s="17"/>
      <c r="B173" s="18"/>
      <c r="C173" s="19"/>
      <c r="D173" s="19"/>
      <c r="E173" s="18"/>
      <c r="F173" s="18"/>
      <c r="G173" s="13" t="str">
        <f aca="false">IF(F173="","",IFERROR(INDEX(Metas!$B$5:$B$54,MATCH(F173,Metas!$A$5:$A$54,0)),"⚠ ID de meta no existe"))</f>
        <v/>
      </c>
      <c r="H173" s="16" t="str">
        <f aca="false">IF(OR(C173="",D173=""),"",ROUND(MOD(D173-C173,1)*24,2))</f>
        <v/>
      </c>
      <c r="I173" s="18"/>
      <c r="J173" s="18"/>
      <c r="K173" s="18"/>
    </row>
    <row r="174" customFormat="false" ht="15" hidden="false" customHeight="false" outlineLevel="0" collapsed="false">
      <c r="A174" s="17"/>
      <c r="B174" s="18"/>
      <c r="C174" s="19"/>
      <c r="D174" s="19"/>
      <c r="E174" s="18"/>
      <c r="F174" s="18"/>
      <c r="G174" s="13" t="str">
        <f aca="false">IF(F174="","",IFERROR(INDEX(Metas!$B$5:$B$54,MATCH(F174,Metas!$A$5:$A$54,0)),"⚠ ID de meta no existe"))</f>
        <v/>
      </c>
      <c r="H174" s="16" t="str">
        <f aca="false">IF(OR(C174="",D174=""),"",ROUND(MOD(D174-C174,1)*24,2))</f>
        <v/>
      </c>
      <c r="I174" s="18"/>
      <c r="J174" s="18"/>
      <c r="K174" s="18"/>
    </row>
    <row r="175" customFormat="false" ht="15" hidden="false" customHeight="false" outlineLevel="0" collapsed="false">
      <c r="A175" s="17"/>
      <c r="B175" s="18"/>
      <c r="C175" s="19"/>
      <c r="D175" s="19"/>
      <c r="E175" s="18"/>
      <c r="F175" s="18"/>
      <c r="G175" s="13" t="str">
        <f aca="false">IF(F175="","",IFERROR(INDEX(Metas!$B$5:$B$54,MATCH(F175,Metas!$A$5:$A$54,0)),"⚠ ID de meta no existe"))</f>
        <v/>
      </c>
      <c r="H175" s="16" t="str">
        <f aca="false">IF(OR(C175="",D175=""),"",ROUND(MOD(D175-C175,1)*24,2))</f>
        <v/>
      </c>
      <c r="I175" s="18"/>
      <c r="J175" s="18"/>
      <c r="K175" s="18"/>
    </row>
    <row r="176" customFormat="false" ht="15" hidden="false" customHeight="false" outlineLevel="0" collapsed="false">
      <c r="A176" s="17"/>
      <c r="B176" s="18"/>
      <c r="C176" s="19"/>
      <c r="D176" s="19"/>
      <c r="E176" s="18"/>
      <c r="F176" s="18"/>
      <c r="G176" s="13" t="str">
        <f aca="false">IF(F176="","",IFERROR(INDEX(Metas!$B$5:$B$54,MATCH(F176,Metas!$A$5:$A$54,0)),"⚠ ID de meta no existe"))</f>
        <v/>
      </c>
      <c r="H176" s="16" t="str">
        <f aca="false">IF(OR(C176="",D176=""),"",ROUND(MOD(D176-C176,1)*24,2))</f>
        <v/>
      </c>
      <c r="I176" s="18"/>
      <c r="J176" s="18"/>
      <c r="K176" s="18"/>
    </row>
    <row r="177" customFormat="false" ht="15" hidden="false" customHeight="false" outlineLevel="0" collapsed="false">
      <c r="A177" s="17"/>
      <c r="B177" s="18"/>
      <c r="C177" s="19"/>
      <c r="D177" s="19"/>
      <c r="E177" s="18"/>
      <c r="F177" s="18"/>
      <c r="G177" s="13" t="str">
        <f aca="false">IF(F177="","",IFERROR(INDEX(Metas!$B$5:$B$54,MATCH(F177,Metas!$A$5:$A$54,0)),"⚠ ID de meta no existe"))</f>
        <v/>
      </c>
      <c r="H177" s="16" t="str">
        <f aca="false">IF(OR(C177="",D177=""),"",ROUND(MOD(D177-C177,1)*24,2))</f>
        <v/>
      </c>
      <c r="I177" s="18"/>
      <c r="J177" s="18"/>
      <c r="K177" s="18"/>
    </row>
    <row r="178" customFormat="false" ht="15" hidden="false" customHeight="false" outlineLevel="0" collapsed="false">
      <c r="A178" s="17"/>
      <c r="B178" s="18"/>
      <c r="C178" s="19"/>
      <c r="D178" s="19"/>
      <c r="E178" s="18"/>
      <c r="F178" s="18"/>
      <c r="G178" s="13" t="str">
        <f aca="false">IF(F178="","",IFERROR(INDEX(Metas!$B$5:$B$54,MATCH(F178,Metas!$A$5:$A$54,0)),"⚠ ID de meta no existe"))</f>
        <v/>
      </c>
      <c r="H178" s="16" t="str">
        <f aca="false">IF(OR(C178="",D178=""),"",ROUND(MOD(D178-C178,1)*24,2))</f>
        <v/>
      </c>
      <c r="I178" s="18"/>
      <c r="J178" s="18"/>
      <c r="K178" s="18"/>
    </row>
    <row r="179" customFormat="false" ht="15" hidden="false" customHeight="false" outlineLevel="0" collapsed="false">
      <c r="A179" s="17"/>
      <c r="B179" s="18"/>
      <c r="C179" s="19"/>
      <c r="D179" s="19"/>
      <c r="E179" s="18"/>
      <c r="F179" s="18"/>
      <c r="G179" s="13" t="str">
        <f aca="false">IF(F179="","",IFERROR(INDEX(Metas!$B$5:$B$54,MATCH(F179,Metas!$A$5:$A$54,0)),"⚠ ID de meta no existe"))</f>
        <v/>
      </c>
      <c r="H179" s="16" t="str">
        <f aca="false">IF(OR(C179="",D179=""),"",ROUND(MOD(D179-C179,1)*24,2))</f>
        <v/>
      </c>
      <c r="I179" s="18"/>
      <c r="J179" s="18"/>
      <c r="K179" s="18"/>
    </row>
    <row r="180" customFormat="false" ht="15" hidden="false" customHeight="false" outlineLevel="0" collapsed="false">
      <c r="A180" s="17"/>
      <c r="B180" s="18"/>
      <c r="C180" s="19"/>
      <c r="D180" s="19"/>
      <c r="E180" s="18"/>
      <c r="F180" s="18"/>
      <c r="G180" s="13" t="str">
        <f aca="false">IF(F180="","",IFERROR(INDEX(Metas!$B$5:$B$54,MATCH(F180,Metas!$A$5:$A$54,0)),"⚠ ID de meta no existe"))</f>
        <v/>
      </c>
      <c r="H180" s="16" t="str">
        <f aca="false">IF(OR(C180="",D180=""),"",ROUND(MOD(D180-C180,1)*24,2))</f>
        <v/>
      </c>
      <c r="I180" s="18"/>
      <c r="J180" s="18"/>
      <c r="K180" s="18"/>
    </row>
    <row r="181" customFormat="false" ht="15" hidden="false" customHeight="false" outlineLevel="0" collapsed="false">
      <c r="A181" s="17"/>
      <c r="B181" s="18"/>
      <c r="C181" s="19"/>
      <c r="D181" s="19"/>
      <c r="E181" s="18"/>
      <c r="F181" s="18"/>
      <c r="G181" s="13" t="str">
        <f aca="false">IF(F181="","",IFERROR(INDEX(Metas!$B$5:$B$54,MATCH(F181,Metas!$A$5:$A$54,0)),"⚠ ID de meta no existe"))</f>
        <v/>
      </c>
      <c r="H181" s="16" t="str">
        <f aca="false">IF(OR(C181="",D181=""),"",ROUND(MOD(D181-C181,1)*24,2))</f>
        <v/>
      </c>
      <c r="I181" s="18"/>
      <c r="J181" s="18"/>
      <c r="K181" s="18"/>
    </row>
    <row r="182" customFormat="false" ht="15" hidden="false" customHeight="false" outlineLevel="0" collapsed="false">
      <c r="A182" s="17"/>
      <c r="B182" s="18"/>
      <c r="C182" s="19"/>
      <c r="D182" s="19"/>
      <c r="E182" s="18"/>
      <c r="F182" s="18"/>
      <c r="G182" s="13" t="str">
        <f aca="false">IF(F182="","",IFERROR(INDEX(Metas!$B$5:$B$54,MATCH(F182,Metas!$A$5:$A$54,0)),"⚠ ID de meta no existe"))</f>
        <v/>
      </c>
      <c r="H182" s="16" t="str">
        <f aca="false">IF(OR(C182="",D182=""),"",ROUND(MOD(D182-C182,1)*24,2))</f>
        <v/>
      </c>
      <c r="I182" s="18"/>
      <c r="J182" s="18"/>
      <c r="K182" s="18"/>
    </row>
    <row r="183" customFormat="false" ht="15" hidden="false" customHeight="false" outlineLevel="0" collapsed="false">
      <c r="A183" s="17"/>
      <c r="B183" s="18"/>
      <c r="C183" s="19"/>
      <c r="D183" s="19"/>
      <c r="E183" s="18"/>
      <c r="F183" s="18"/>
      <c r="G183" s="13" t="str">
        <f aca="false">IF(F183="","",IFERROR(INDEX(Metas!$B$5:$B$54,MATCH(F183,Metas!$A$5:$A$54,0)),"⚠ ID de meta no existe"))</f>
        <v/>
      </c>
      <c r="H183" s="16" t="str">
        <f aca="false">IF(OR(C183="",D183=""),"",ROUND(MOD(D183-C183,1)*24,2))</f>
        <v/>
      </c>
      <c r="I183" s="18"/>
      <c r="J183" s="18"/>
      <c r="K183" s="18"/>
    </row>
    <row r="184" customFormat="false" ht="15" hidden="false" customHeight="false" outlineLevel="0" collapsed="false">
      <c r="A184" s="17"/>
      <c r="B184" s="18"/>
      <c r="C184" s="19"/>
      <c r="D184" s="19"/>
      <c r="E184" s="18"/>
      <c r="F184" s="18"/>
      <c r="G184" s="13" t="str">
        <f aca="false">IF(F184="","",IFERROR(INDEX(Metas!$B$5:$B$54,MATCH(F184,Metas!$A$5:$A$54,0)),"⚠ ID de meta no existe"))</f>
        <v/>
      </c>
      <c r="H184" s="16" t="str">
        <f aca="false">IF(OR(C184="",D184=""),"",ROUND(MOD(D184-C184,1)*24,2))</f>
        <v/>
      </c>
      <c r="I184" s="18"/>
      <c r="J184" s="18"/>
      <c r="K184" s="18"/>
    </row>
    <row r="185" customFormat="false" ht="15" hidden="false" customHeight="false" outlineLevel="0" collapsed="false">
      <c r="A185" s="17"/>
      <c r="B185" s="18"/>
      <c r="C185" s="19"/>
      <c r="D185" s="19"/>
      <c r="E185" s="18"/>
      <c r="F185" s="18"/>
      <c r="G185" s="13" t="str">
        <f aca="false">IF(F185="","",IFERROR(INDEX(Metas!$B$5:$B$54,MATCH(F185,Metas!$A$5:$A$54,0)),"⚠ ID de meta no existe"))</f>
        <v/>
      </c>
      <c r="H185" s="16" t="str">
        <f aca="false">IF(OR(C185="",D185=""),"",ROUND(MOD(D185-C185,1)*24,2))</f>
        <v/>
      </c>
      <c r="I185" s="18"/>
      <c r="J185" s="18"/>
      <c r="K185" s="18"/>
    </row>
    <row r="186" customFormat="false" ht="15" hidden="false" customHeight="false" outlineLevel="0" collapsed="false">
      <c r="A186" s="17"/>
      <c r="B186" s="18"/>
      <c r="C186" s="19"/>
      <c r="D186" s="19"/>
      <c r="E186" s="18"/>
      <c r="F186" s="18"/>
      <c r="G186" s="13" t="str">
        <f aca="false">IF(F186="","",IFERROR(INDEX(Metas!$B$5:$B$54,MATCH(F186,Metas!$A$5:$A$54,0)),"⚠ ID de meta no existe"))</f>
        <v/>
      </c>
      <c r="H186" s="16" t="str">
        <f aca="false">IF(OR(C186="",D186=""),"",ROUND(MOD(D186-C186,1)*24,2))</f>
        <v/>
      </c>
      <c r="I186" s="18"/>
      <c r="J186" s="18"/>
      <c r="K186" s="18"/>
    </row>
    <row r="187" customFormat="false" ht="15" hidden="false" customHeight="false" outlineLevel="0" collapsed="false">
      <c r="A187" s="17"/>
      <c r="B187" s="18"/>
      <c r="C187" s="19"/>
      <c r="D187" s="19"/>
      <c r="E187" s="18"/>
      <c r="F187" s="18"/>
      <c r="G187" s="13" t="str">
        <f aca="false">IF(F187="","",IFERROR(INDEX(Metas!$B$5:$B$54,MATCH(F187,Metas!$A$5:$A$54,0)),"⚠ ID de meta no existe"))</f>
        <v/>
      </c>
      <c r="H187" s="16" t="str">
        <f aca="false">IF(OR(C187="",D187=""),"",ROUND(MOD(D187-C187,1)*24,2))</f>
        <v/>
      </c>
      <c r="I187" s="18"/>
      <c r="J187" s="18"/>
      <c r="K187" s="18"/>
    </row>
    <row r="188" customFormat="false" ht="15" hidden="false" customHeight="false" outlineLevel="0" collapsed="false">
      <c r="A188" s="17"/>
      <c r="B188" s="18"/>
      <c r="C188" s="19"/>
      <c r="D188" s="19"/>
      <c r="E188" s="18"/>
      <c r="F188" s="18"/>
      <c r="G188" s="13" t="str">
        <f aca="false">IF(F188="","",IFERROR(INDEX(Metas!$B$5:$B$54,MATCH(F188,Metas!$A$5:$A$54,0)),"⚠ ID de meta no existe"))</f>
        <v/>
      </c>
      <c r="H188" s="16" t="str">
        <f aca="false">IF(OR(C188="",D188=""),"",ROUND(MOD(D188-C188,1)*24,2))</f>
        <v/>
      </c>
      <c r="I188" s="18"/>
      <c r="J188" s="18"/>
      <c r="K188" s="18"/>
    </row>
    <row r="189" customFormat="false" ht="15" hidden="false" customHeight="false" outlineLevel="0" collapsed="false">
      <c r="A189" s="17"/>
      <c r="B189" s="18"/>
      <c r="C189" s="19"/>
      <c r="D189" s="19"/>
      <c r="E189" s="18"/>
      <c r="F189" s="18"/>
      <c r="G189" s="13" t="str">
        <f aca="false">IF(F189="","",IFERROR(INDEX(Metas!$B$5:$B$54,MATCH(F189,Metas!$A$5:$A$54,0)),"⚠ ID de meta no existe"))</f>
        <v/>
      </c>
      <c r="H189" s="16" t="str">
        <f aca="false">IF(OR(C189="",D189=""),"",ROUND(MOD(D189-C189,1)*24,2))</f>
        <v/>
      </c>
      <c r="I189" s="18"/>
      <c r="J189" s="18"/>
      <c r="K189" s="18"/>
    </row>
    <row r="190" customFormat="false" ht="15" hidden="false" customHeight="false" outlineLevel="0" collapsed="false">
      <c r="A190" s="17"/>
      <c r="B190" s="18"/>
      <c r="C190" s="19"/>
      <c r="D190" s="19"/>
      <c r="E190" s="18"/>
      <c r="F190" s="18"/>
      <c r="G190" s="13" t="str">
        <f aca="false">IF(F190="","",IFERROR(INDEX(Metas!$B$5:$B$54,MATCH(F190,Metas!$A$5:$A$54,0)),"⚠ ID de meta no existe"))</f>
        <v/>
      </c>
      <c r="H190" s="16" t="str">
        <f aca="false">IF(OR(C190="",D190=""),"",ROUND(MOD(D190-C190,1)*24,2))</f>
        <v/>
      </c>
      <c r="I190" s="18"/>
      <c r="J190" s="18"/>
      <c r="K190" s="18"/>
    </row>
    <row r="191" customFormat="false" ht="15" hidden="false" customHeight="false" outlineLevel="0" collapsed="false">
      <c r="A191" s="17"/>
      <c r="B191" s="18"/>
      <c r="C191" s="19"/>
      <c r="D191" s="19"/>
      <c r="E191" s="18"/>
      <c r="F191" s="18"/>
      <c r="G191" s="13" t="str">
        <f aca="false">IF(F191="","",IFERROR(INDEX(Metas!$B$5:$B$54,MATCH(F191,Metas!$A$5:$A$54,0)),"⚠ ID de meta no existe"))</f>
        <v/>
      </c>
      <c r="H191" s="16" t="str">
        <f aca="false">IF(OR(C191="",D191=""),"",ROUND(MOD(D191-C191,1)*24,2))</f>
        <v/>
      </c>
      <c r="I191" s="18"/>
      <c r="J191" s="18"/>
      <c r="K191" s="18"/>
    </row>
    <row r="192" customFormat="false" ht="15" hidden="false" customHeight="false" outlineLevel="0" collapsed="false">
      <c r="A192" s="17"/>
      <c r="B192" s="18"/>
      <c r="C192" s="19"/>
      <c r="D192" s="19"/>
      <c r="E192" s="18"/>
      <c r="F192" s="18"/>
      <c r="G192" s="13" t="str">
        <f aca="false">IF(F192="","",IFERROR(INDEX(Metas!$B$5:$B$54,MATCH(F192,Metas!$A$5:$A$54,0)),"⚠ ID de meta no existe"))</f>
        <v/>
      </c>
      <c r="H192" s="16" t="str">
        <f aca="false">IF(OR(C192="",D192=""),"",ROUND(MOD(D192-C192,1)*24,2))</f>
        <v/>
      </c>
      <c r="I192" s="18"/>
      <c r="J192" s="18"/>
      <c r="K192" s="18"/>
    </row>
    <row r="193" customFormat="false" ht="15" hidden="false" customHeight="false" outlineLevel="0" collapsed="false">
      <c r="A193" s="17"/>
      <c r="B193" s="18"/>
      <c r="C193" s="19"/>
      <c r="D193" s="19"/>
      <c r="E193" s="18"/>
      <c r="F193" s="18"/>
      <c r="G193" s="13" t="str">
        <f aca="false">IF(F193="","",IFERROR(INDEX(Metas!$B$5:$B$54,MATCH(F193,Metas!$A$5:$A$54,0)),"⚠ ID de meta no existe"))</f>
        <v/>
      </c>
      <c r="H193" s="16" t="str">
        <f aca="false">IF(OR(C193="",D193=""),"",ROUND(MOD(D193-C193,1)*24,2))</f>
        <v/>
      </c>
      <c r="I193" s="18"/>
      <c r="J193" s="18"/>
      <c r="K193" s="18"/>
    </row>
    <row r="194" customFormat="false" ht="15" hidden="false" customHeight="false" outlineLevel="0" collapsed="false">
      <c r="A194" s="17"/>
      <c r="B194" s="18"/>
      <c r="C194" s="19"/>
      <c r="D194" s="19"/>
      <c r="E194" s="18"/>
      <c r="F194" s="18"/>
      <c r="G194" s="13" t="str">
        <f aca="false">IF(F194="","",IFERROR(INDEX(Metas!$B$5:$B$54,MATCH(F194,Metas!$A$5:$A$54,0)),"⚠ ID de meta no existe"))</f>
        <v/>
      </c>
      <c r="H194" s="16" t="str">
        <f aca="false">IF(OR(C194="",D194=""),"",ROUND(MOD(D194-C194,1)*24,2))</f>
        <v/>
      </c>
      <c r="I194" s="18"/>
      <c r="J194" s="18"/>
      <c r="K194" s="18"/>
    </row>
    <row r="195" customFormat="false" ht="15" hidden="false" customHeight="false" outlineLevel="0" collapsed="false">
      <c r="A195" s="17"/>
      <c r="B195" s="18"/>
      <c r="C195" s="19"/>
      <c r="D195" s="19"/>
      <c r="E195" s="18"/>
      <c r="F195" s="18"/>
      <c r="G195" s="13" t="str">
        <f aca="false">IF(F195="","",IFERROR(INDEX(Metas!$B$5:$B$54,MATCH(F195,Metas!$A$5:$A$54,0)),"⚠ ID de meta no existe"))</f>
        <v/>
      </c>
      <c r="H195" s="16" t="str">
        <f aca="false">IF(OR(C195="",D195=""),"",ROUND(MOD(D195-C195,1)*24,2))</f>
        <v/>
      </c>
      <c r="I195" s="18"/>
      <c r="J195" s="18"/>
      <c r="K195" s="18"/>
    </row>
    <row r="196" customFormat="false" ht="15" hidden="false" customHeight="false" outlineLevel="0" collapsed="false">
      <c r="A196" s="17"/>
      <c r="B196" s="18"/>
      <c r="C196" s="19"/>
      <c r="D196" s="19"/>
      <c r="E196" s="18"/>
      <c r="F196" s="18"/>
      <c r="G196" s="13" t="str">
        <f aca="false">IF(F196="","",IFERROR(INDEX(Metas!$B$5:$B$54,MATCH(F196,Metas!$A$5:$A$54,0)),"⚠ ID de meta no existe"))</f>
        <v/>
      </c>
      <c r="H196" s="16" t="str">
        <f aca="false">IF(OR(C196="",D196=""),"",ROUND(MOD(D196-C196,1)*24,2))</f>
        <v/>
      </c>
      <c r="I196" s="18"/>
      <c r="J196" s="18"/>
      <c r="K196" s="18"/>
    </row>
    <row r="197" customFormat="false" ht="15" hidden="false" customHeight="false" outlineLevel="0" collapsed="false">
      <c r="A197" s="17"/>
      <c r="B197" s="18"/>
      <c r="C197" s="19"/>
      <c r="D197" s="19"/>
      <c r="E197" s="18"/>
      <c r="F197" s="18"/>
      <c r="G197" s="13" t="str">
        <f aca="false">IF(F197="","",IFERROR(INDEX(Metas!$B$5:$B$54,MATCH(F197,Metas!$A$5:$A$54,0)),"⚠ ID de meta no existe"))</f>
        <v/>
      </c>
      <c r="H197" s="16" t="str">
        <f aca="false">IF(OR(C197="",D197=""),"",ROUND(MOD(D197-C197,1)*24,2))</f>
        <v/>
      </c>
      <c r="I197" s="18"/>
      <c r="J197" s="18"/>
      <c r="K197" s="18"/>
    </row>
    <row r="198" customFormat="false" ht="15" hidden="false" customHeight="false" outlineLevel="0" collapsed="false">
      <c r="A198" s="17"/>
      <c r="B198" s="18"/>
      <c r="C198" s="19"/>
      <c r="D198" s="19"/>
      <c r="E198" s="18"/>
      <c r="F198" s="18"/>
      <c r="G198" s="13" t="str">
        <f aca="false">IF(F198="","",IFERROR(INDEX(Metas!$B$5:$B$54,MATCH(F198,Metas!$A$5:$A$54,0)),"⚠ ID de meta no existe"))</f>
        <v/>
      </c>
      <c r="H198" s="16" t="str">
        <f aca="false">IF(OR(C198="",D198=""),"",ROUND(MOD(D198-C198,1)*24,2))</f>
        <v/>
      </c>
      <c r="I198" s="18"/>
      <c r="J198" s="18"/>
      <c r="K198" s="18"/>
    </row>
    <row r="199" customFormat="false" ht="15" hidden="false" customHeight="false" outlineLevel="0" collapsed="false">
      <c r="A199" s="17"/>
      <c r="B199" s="18"/>
      <c r="C199" s="19"/>
      <c r="D199" s="19"/>
      <c r="E199" s="18"/>
      <c r="F199" s="18"/>
      <c r="G199" s="13" t="str">
        <f aca="false">IF(F199="","",IFERROR(INDEX(Metas!$B$5:$B$54,MATCH(F199,Metas!$A$5:$A$54,0)),"⚠ ID de meta no existe"))</f>
        <v/>
      </c>
      <c r="H199" s="16" t="str">
        <f aca="false">IF(OR(C199="",D199=""),"",ROUND(MOD(D199-C199,1)*24,2))</f>
        <v/>
      </c>
      <c r="I199" s="18"/>
      <c r="J199" s="18"/>
      <c r="K199" s="18"/>
    </row>
    <row r="200" customFormat="false" ht="15" hidden="false" customHeight="false" outlineLevel="0" collapsed="false">
      <c r="A200" s="17"/>
      <c r="B200" s="18"/>
      <c r="C200" s="19"/>
      <c r="D200" s="19"/>
      <c r="E200" s="18"/>
      <c r="F200" s="18"/>
      <c r="G200" s="13" t="str">
        <f aca="false">IF(F200="","",IFERROR(INDEX(Metas!$B$5:$B$54,MATCH(F200,Metas!$A$5:$A$54,0)),"⚠ ID de meta no existe"))</f>
        <v/>
      </c>
      <c r="H200" s="16" t="str">
        <f aca="false">IF(OR(C200="",D200=""),"",ROUND(MOD(D200-C200,1)*24,2))</f>
        <v/>
      </c>
      <c r="I200" s="18"/>
      <c r="J200" s="18"/>
      <c r="K200" s="18"/>
    </row>
    <row r="201" customFormat="false" ht="15" hidden="false" customHeight="false" outlineLevel="0" collapsed="false">
      <c r="A201" s="17"/>
      <c r="B201" s="18"/>
      <c r="C201" s="19"/>
      <c r="D201" s="19"/>
      <c r="E201" s="18"/>
      <c r="F201" s="18"/>
      <c r="G201" s="13" t="str">
        <f aca="false">IF(F201="","",IFERROR(INDEX(Metas!$B$5:$B$54,MATCH(F201,Metas!$A$5:$A$54,0)),"⚠ ID de meta no existe"))</f>
        <v/>
      </c>
      <c r="H201" s="16" t="str">
        <f aca="false">IF(OR(C201="",D201=""),"",ROUND(MOD(D201-C201,1)*24,2))</f>
        <v/>
      </c>
      <c r="I201" s="18"/>
      <c r="J201" s="18"/>
      <c r="K201" s="18"/>
    </row>
    <row r="202" customFormat="false" ht="15" hidden="false" customHeight="false" outlineLevel="0" collapsed="false">
      <c r="A202" s="17"/>
      <c r="B202" s="18"/>
      <c r="C202" s="19"/>
      <c r="D202" s="19"/>
      <c r="E202" s="18"/>
      <c r="F202" s="18"/>
      <c r="G202" s="13" t="str">
        <f aca="false">IF(F202="","",IFERROR(INDEX(Metas!$B$5:$B$54,MATCH(F202,Metas!$A$5:$A$54,0)),"⚠ ID de meta no existe"))</f>
        <v/>
      </c>
      <c r="H202" s="16" t="str">
        <f aca="false">IF(OR(C202="",D202=""),"",ROUND(MOD(D202-C202,1)*24,2))</f>
        <v/>
      </c>
      <c r="I202" s="18"/>
      <c r="J202" s="18"/>
      <c r="K202" s="18"/>
    </row>
    <row r="203" customFormat="false" ht="15" hidden="false" customHeight="false" outlineLevel="0" collapsed="false">
      <c r="A203" s="17"/>
      <c r="B203" s="18"/>
      <c r="C203" s="19"/>
      <c r="D203" s="19"/>
      <c r="E203" s="18"/>
      <c r="F203" s="18"/>
      <c r="G203" s="13" t="str">
        <f aca="false">IF(F203="","",IFERROR(INDEX(Metas!$B$5:$B$54,MATCH(F203,Metas!$A$5:$A$54,0)),"⚠ ID de meta no existe"))</f>
        <v/>
      </c>
      <c r="H203" s="16" t="str">
        <f aca="false">IF(OR(C203="",D203=""),"",ROUND(MOD(D203-C203,1)*24,2))</f>
        <v/>
      </c>
      <c r="I203" s="18"/>
      <c r="J203" s="18"/>
      <c r="K203" s="18"/>
    </row>
    <row r="204" customFormat="false" ht="15" hidden="false" customHeight="false" outlineLevel="0" collapsed="false">
      <c r="A204" s="17"/>
      <c r="B204" s="18"/>
      <c r="C204" s="19"/>
      <c r="D204" s="19"/>
      <c r="E204" s="18"/>
      <c r="F204" s="18"/>
      <c r="G204" s="13" t="str">
        <f aca="false">IF(F204="","",IFERROR(INDEX(Metas!$B$5:$B$54,MATCH(F204,Metas!$A$5:$A$54,0)),"⚠ ID de meta no existe"))</f>
        <v/>
      </c>
      <c r="H204" s="16" t="str">
        <f aca="false">IF(OR(C204="",D204=""),"",ROUND(MOD(D204-C204,1)*24,2))</f>
        <v/>
      </c>
      <c r="I204" s="18"/>
      <c r="J204" s="18"/>
      <c r="K204" s="18"/>
    </row>
    <row r="205" customFormat="false" ht="15" hidden="false" customHeight="false" outlineLevel="0" collapsed="false">
      <c r="A205" s="17"/>
      <c r="B205" s="18"/>
      <c r="C205" s="19"/>
      <c r="D205" s="19"/>
      <c r="E205" s="18"/>
      <c r="F205" s="18"/>
      <c r="G205" s="13" t="str">
        <f aca="false">IF(F205="","",IFERROR(INDEX(Metas!$B$5:$B$54,MATCH(F205,Metas!$A$5:$A$54,0)),"⚠ ID de meta no existe"))</f>
        <v/>
      </c>
      <c r="H205" s="16" t="str">
        <f aca="false">IF(OR(C205="",D205=""),"",ROUND(MOD(D205-C205,1)*24,2))</f>
        <v/>
      </c>
      <c r="I205" s="18"/>
      <c r="J205" s="18"/>
      <c r="K205" s="18"/>
    </row>
    <row r="206" customFormat="false" ht="15" hidden="false" customHeight="false" outlineLevel="0" collapsed="false">
      <c r="A206" s="17"/>
      <c r="B206" s="18"/>
      <c r="C206" s="19"/>
      <c r="D206" s="19"/>
      <c r="E206" s="18"/>
      <c r="F206" s="18"/>
      <c r="G206" s="13" t="str">
        <f aca="false">IF(F206="","",IFERROR(INDEX(Metas!$B$5:$B$54,MATCH(F206,Metas!$A$5:$A$54,0)),"⚠ ID de meta no existe"))</f>
        <v/>
      </c>
      <c r="H206" s="16" t="str">
        <f aca="false">IF(OR(C206="",D206=""),"",ROUND(MOD(D206-C206,1)*24,2))</f>
        <v/>
      </c>
      <c r="I206" s="18"/>
      <c r="J206" s="18"/>
      <c r="K206" s="18"/>
    </row>
    <row r="207" customFormat="false" ht="15" hidden="false" customHeight="false" outlineLevel="0" collapsed="false">
      <c r="A207" s="17"/>
      <c r="B207" s="18"/>
      <c r="C207" s="19"/>
      <c r="D207" s="19"/>
      <c r="E207" s="18"/>
      <c r="F207" s="18"/>
      <c r="G207" s="13" t="str">
        <f aca="false">IF(F207="","",IFERROR(INDEX(Metas!$B$5:$B$54,MATCH(F207,Metas!$A$5:$A$54,0)),"⚠ ID de meta no existe"))</f>
        <v/>
      </c>
      <c r="H207" s="16" t="str">
        <f aca="false">IF(OR(C207="",D207=""),"",ROUND(MOD(D207-C207,1)*24,2))</f>
        <v/>
      </c>
      <c r="I207" s="18"/>
      <c r="J207" s="18"/>
      <c r="K207" s="18"/>
    </row>
    <row r="208" customFormat="false" ht="15" hidden="false" customHeight="false" outlineLevel="0" collapsed="false">
      <c r="A208" s="17"/>
      <c r="B208" s="18"/>
      <c r="C208" s="19"/>
      <c r="D208" s="19"/>
      <c r="E208" s="18"/>
      <c r="F208" s="18"/>
      <c r="G208" s="13" t="str">
        <f aca="false">IF(F208="","",IFERROR(INDEX(Metas!$B$5:$B$54,MATCH(F208,Metas!$A$5:$A$54,0)),"⚠ ID de meta no existe"))</f>
        <v/>
      </c>
      <c r="H208" s="16" t="str">
        <f aca="false">IF(OR(C208="",D208=""),"",ROUND(MOD(D208-C208,1)*24,2))</f>
        <v/>
      </c>
      <c r="I208" s="18"/>
      <c r="J208" s="18"/>
      <c r="K208" s="18"/>
    </row>
    <row r="209" customFormat="false" ht="15" hidden="false" customHeight="false" outlineLevel="0" collapsed="false">
      <c r="A209" s="17"/>
      <c r="B209" s="18"/>
      <c r="C209" s="19"/>
      <c r="D209" s="19"/>
      <c r="E209" s="18"/>
      <c r="F209" s="18"/>
      <c r="G209" s="13" t="str">
        <f aca="false">IF(F209="","",IFERROR(INDEX(Metas!$B$5:$B$54,MATCH(F209,Metas!$A$5:$A$54,0)),"⚠ ID de meta no existe"))</f>
        <v/>
      </c>
      <c r="H209" s="16" t="str">
        <f aca="false">IF(OR(C209="",D209=""),"",ROUND(MOD(D209-C209,1)*24,2))</f>
        <v/>
      </c>
      <c r="I209" s="18"/>
      <c r="J209" s="18"/>
      <c r="K209" s="18"/>
    </row>
    <row r="210" customFormat="false" ht="15" hidden="false" customHeight="false" outlineLevel="0" collapsed="false">
      <c r="A210" s="17"/>
      <c r="B210" s="18"/>
      <c r="C210" s="19"/>
      <c r="D210" s="19"/>
      <c r="E210" s="18"/>
      <c r="F210" s="18"/>
      <c r="G210" s="13" t="str">
        <f aca="false">IF(F210="","",IFERROR(INDEX(Metas!$B$5:$B$54,MATCH(F210,Metas!$A$5:$A$54,0)),"⚠ ID de meta no existe"))</f>
        <v/>
      </c>
      <c r="H210" s="16" t="str">
        <f aca="false">IF(OR(C210="",D210=""),"",ROUND(MOD(D210-C210,1)*24,2))</f>
        <v/>
      </c>
      <c r="I210" s="18"/>
      <c r="J210" s="18"/>
      <c r="K210" s="18"/>
    </row>
    <row r="211" customFormat="false" ht="15" hidden="false" customHeight="false" outlineLevel="0" collapsed="false">
      <c r="A211" s="17"/>
      <c r="B211" s="18"/>
      <c r="C211" s="19"/>
      <c r="D211" s="19"/>
      <c r="E211" s="18"/>
      <c r="F211" s="18"/>
      <c r="G211" s="13" t="str">
        <f aca="false">IF(F211="","",IFERROR(INDEX(Metas!$B$5:$B$54,MATCH(F211,Metas!$A$5:$A$54,0)),"⚠ ID de meta no existe"))</f>
        <v/>
      </c>
      <c r="H211" s="16" t="str">
        <f aca="false">IF(OR(C211="",D211=""),"",ROUND(MOD(D211-C211,1)*24,2))</f>
        <v/>
      </c>
      <c r="I211" s="18"/>
      <c r="J211" s="18"/>
      <c r="K211" s="18"/>
    </row>
    <row r="212" customFormat="false" ht="15" hidden="false" customHeight="false" outlineLevel="0" collapsed="false">
      <c r="A212" s="17"/>
      <c r="B212" s="18"/>
      <c r="C212" s="19"/>
      <c r="D212" s="19"/>
      <c r="E212" s="18"/>
      <c r="F212" s="18"/>
      <c r="G212" s="13" t="str">
        <f aca="false">IF(F212="","",IFERROR(INDEX(Metas!$B$5:$B$54,MATCH(F212,Metas!$A$5:$A$54,0)),"⚠ ID de meta no existe"))</f>
        <v/>
      </c>
      <c r="H212" s="16" t="str">
        <f aca="false">IF(OR(C212="",D212=""),"",ROUND(MOD(D212-C212,1)*24,2))</f>
        <v/>
      </c>
      <c r="I212" s="18"/>
      <c r="J212" s="18"/>
      <c r="K212" s="18"/>
    </row>
    <row r="213" customFormat="false" ht="15" hidden="false" customHeight="false" outlineLevel="0" collapsed="false">
      <c r="A213" s="17"/>
      <c r="B213" s="18"/>
      <c r="C213" s="19"/>
      <c r="D213" s="19"/>
      <c r="E213" s="18"/>
      <c r="F213" s="18"/>
      <c r="G213" s="13" t="str">
        <f aca="false">IF(F213="","",IFERROR(INDEX(Metas!$B$5:$B$54,MATCH(F213,Metas!$A$5:$A$54,0)),"⚠ ID de meta no existe"))</f>
        <v/>
      </c>
      <c r="H213" s="16" t="str">
        <f aca="false">IF(OR(C213="",D213=""),"",ROUND(MOD(D213-C213,1)*24,2))</f>
        <v/>
      </c>
      <c r="I213" s="18"/>
      <c r="J213" s="18"/>
      <c r="K213" s="18"/>
    </row>
    <row r="214" customFormat="false" ht="15" hidden="false" customHeight="false" outlineLevel="0" collapsed="false">
      <c r="A214" s="17"/>
      <c r="B214" s="18"/>
      <c r="C214" s="19"/>
      <c r="D214" s="19"/>
      <c r="E214" s="18"/>
      <c r="F214" s="18"/>
      <c r="G214" s="13" t="str">
        <f aca="false">IF(F214="","",IFERROR(INDEX(Metas!$B$5:$B$54,MATCH(F214,Metas!$A$5:$A$54,0)),"⚠ ID de meta no existe"))</f>
        <v/>
      </c>
      <c r="H214" s="16" t="str">
        <f aca="false">IF(OR(C214="",D214=""),"",ROUND(MOD(D214-C214,1)*24,2))</f>
        <v/>
      </c>
      <c r="I214" s="18"/>
      <c r="J214" s="18"/>
      <c r="K214" s="18"/>
    </row>
    <row r="215" customFormat="false" ht="15" hidden="false" customHeight="false" outlineLevel="0" collapsed="false">
      <c r="A215" s="17"/>
      <c r="B215" s="18"/>
      <c r="C215" s="19"/>
      <c r="D215" s="19"/>
      <c r="E215" s="18"/>
      <c r="F215" s="18"/>
      <c r="G215" s="13" t="str">
        <f aca="false">IF(F215="","",IFERROR(INDEX(Metas!$B$5:$B$54,MATCH(F215,Metas!$A$5:$A$54,0)),"⚠ ID de meta no existe"))</f>
        <v/>
      </c>
      <c r="H215" s="16" t="str">
        <f aca="false">IF(OR(C215="",D215=""),"",ROUND(MOD(D215-C215,1)*24,2))</f>
        <v/>
      </c>
      <c r="I215" s="18"/>
      <c r="J215" s="18"/>
      <c r="K215" s="18"/>
    </row>
    <row r="216" customFormat="false" ht="15" hidden="false" customHeight="false" outlineLevel="0" collapsed="false">
      <c r="A216" s="17"/>
      <c r="B216" s="18"/>
      <c r="C216" s="19"/>
      <c r="D216" s="19"/>
      <c r="E216" s="18"/>
      <c r="F216" s="18"/>
      <c r="G216" s="13" t="str">
        <f aca="false">IF(F216="","",IFERROR(INDEX(Metas!$B$5:$B$54,MATCH(F216,Metas!$A$5:$A$54,0)),"⚠ ID de meta no existe"))</f>
        <v/>
      </c>
      <c r="H216" s="16" t="str">
        <f aca="false">IF(OR(C216="",D216=""),"",ROUND(MOD(D216-C216,1)*24,2))</f>
        <v/>
      </c>
      <c r="I216" s="18"/>
      <c r="J216" s="18"/>
      <c r="K216" s="18"/>
    </row>
    <row r="217" customFormat="false" ht="15" hidden="false" customHeight="false" outlineLevel="0" collapsed="false">
      <c r="A217" s="17"/>
      <c r="B217" s="18"/>
      <c r="C217" s="19"/>
      <c r="D217" s="19"/>
      <c r="E217" s="18"/>
      <c r="F217" s="18"/>
      <c r="G217" s="13" t="str">
        <f aca="false">IF(F217="","",IFERROR(INDEX(Metas!$B$5:$B$54,MATCH(F217,Metas!$A$5:$A$54,0)),"⚠ ID de meta no existe"))</f>
        <v/>
      </c>
      <c r="H217" s="16" t="str">
        <f aca="false">IF(OR(C217="",D217=""),"",ROUND(MOD(D217-C217,1)*24,2))</f>
        <v/>
      </c>
      <c r="I217" s="18"/>
      <c r="J217" s="18"/>
      <c r="K217" s="18"/>
    </row>
    <row r="218" customFormat="false" ht="15" hidden="false" customHeight="false" outlineLevel="0" collapsed="false">
      <c r="A218" s="17"/>
      <c r="B218" s="18"/>
      <c r="C218" s="19"/>
      <c r="D218" s="19"/>
      <c r="E218" s="18"/>
      <c r="F218" s="18"/>
      <c r="G218" s="13" t="str">
        <f aca="false">IF(F218="","",IFERROR(INDEX(Metas!$B$5:$B$54,MATCH(F218,Metas!$A$5:$A$54,0)),"⚠ ID de meta no existe"))</f>
        <v/>
      </c>
      <c r="H218" s="16" t="str">
        <f aca="false">IF(OR(C218="",D218=""),"",ROUND(MOD(D218-C218,1)*24,2))</f>
        <v/>
      </c>
      <c r="I218" s="18"/>
      <c r="J218" s="18"/>
      <c r="K218" s="18"/>
    </row>
    <row r="219" customFormat="false" ht="15" hidden="false" customHeight="false" outlineLevel="0" collapsed="false">
      <c r="A219" s="17"/>
      <c r="B219" s="18"/>
      <c r="C219" s="19"/>
      <c r="D219" s="19"/>
      <c r="E219" s="18"/>
      <c r="F219" s="18"/>
      <c r="G219" s="13" t="str">
        <f aca="false">IF(F219="","",IFERROR(INDEX(Metas!$B$5:$B$54,MATCH(F219,Metas!$A$5:$A$54,0)),"⚠ ID de meta no existe"))</f>
        <v/>
      </c>
      <c r="H219" s="16" t="str">
        <f aca="false">IF(OR(C219="",D219=""),"",ROUND(MOD(D219-C219,1)*24,2))</f>
        <v/>
      </c>
      <c r="I219" s="18"/>
      <c r="J219" s="18"/>
      <c r="K219" s="18"/>
    </row>
    <row r="220" customFormat="false" ht="15" hidden="false" customHeight="false" outlineLevel="0" collapsed="false">
      <c r="A220" s="17"/>
      <c r="B220" s="18"/>
      <c r="C220" s="19"/>
      <c r="D220" s="19"/>
      <c r="E220" s="18"/>
      <c r="F220" s="18"/>
      <c r="G220" s="13" t="str">
        <f aca="false">IF(F220="","",IFERROR(INDEX(Metas!$B$5:$B$54,MATCH(F220,Metas!$A$5:$A$54,0)),"⚠ ID de meta no existe"))</f>
        <v/>
      </c>
      <c r="H220" s="16" t="str">
        <f aca="false">IF(OR(C220="",D220=""),"",ROUND(MOD(D220-C220,1)*24,2))</f>
        <v/>
      </c>
      <c r="I220" s="18"/>
      <c r="J220" s="18"/>
      <c r="K220" s="18"/>
    </row>
    <row r="221" customFormat="false" ht="15" hidden="false" customHeight="false" outlineLevel="0" collapsed="false">
      <c r="A221" s="17"/>
      <c r="B221" s="18"/>
      <c r="C221" s="19"/>
      <c r="D221" s="19"/>
      <c r="E221" s="18"/>
      <c r="F221" s="18"/>
      <c r="G221" s="13" t="str">
        <f aca="false">IF(F221="","",IFERROR(INDEX(Metas!$B$5:$B$54,MATCH(F221,Metas!$A$5:$A$54,0)),"⚠ ID de meta no existe"))</f>
        <v/>
      </c>
      <c r="H221" s="16" t="str">
        <f aca="false">IF(OR(C221="",D221=""),"",ROUND(MOD(D221-C221,1)*24,2))</f>
        <v/>
      </c>
      <c r="I221" s="18"/>
      <c r="J221" s="18"/>
      <c r="K221" s="18"/>
    </row>
    <row r="222" customFormat="false" ht="15" hidden="false" customHeight="false" outlineLevel="0" collapsed="false">
      <c r="A222" s="17"/>
      <c r="B222" s="18"/>
      <c r="C222" s="19"/>
      <c r="D222" s="19"/>
      <c r="E222" s="18"/>
      <c r="F222" s="18"/>
      <c r="G222" s="13" t="str">
        <f aca="false">IF(F222="","",IFERROR(INDEX(Metas!$B$5:$B$54,MATCH(F222,Metas!$A$5:$A$54,0)),"⚠ ID de meta no existe"))</f>
        <v/>
      </c>
      <c r="H222" s="16" t="str">
        <f aca="false">IF(OR(C222="",D222=""),"",ROUND(MOD(D222-C222,1)*24,2))</f>
        <v/>
      </c>
      <c r="I222" s="18"/>
      <c r="J222" s="18"/>
      <c r="K222" s="18"/>
    </row>
    <row r="223" customFormat="false" ht="15" hidden="false" customHeight="false" outlineLevel="0" collapsed="false">
      <c r="A223" s="17"/>
      <c r="B223" s="18"/>
      <c r="C223" s="19"/>
      <c r="D223" s="19"/>
      <c r="E223" s="18"/>
      <c r="F223" s="18"/>
      <c r="G223" s="13" t="str">
        <f aca="false">IF(F223="","",IFERROR(INDEX(Metas!$B$5:$B$54,MATCH(F223,Metas!$A$5:$A$54,0)),"⚠ ID de meta no existe"))</f>
        <v/>
      </c>
      <c r="H223" s="16" t="str">
        <f aca="false">IF(OR(C223="",D223=""),"",ROUND(MOD(D223-C223,1)*24,2))</f>
        <v/>
      </c>
      <c r="I223" s="18"/>
      <c r="J223" s="18"/>
      <c r="K223" s="18"/>
    </row>
    <row r="224" customFormat="false" ht="15" hidden="false" customHeight="false" outlineLevel="0" collapsed="false">
      <c r="A224" s="17"/>
      <c r="B224" s="18"/>
      <c r="C224" s="19"/>
      <c r="D224" s="19"/>
      <c r="E224" s="18"/>
      <c r="F224" s="18"/>
      <c r="G224" s="13" t="str">
        <f aca="false">IF(F224="","",IFERROR(INDEX(Metas!$B$5:$B$54,MATCH(F224,Metas!$A$5:$A$54,0)),"⚠ ID de meta no existe"))</f>
        <v/>
      </c>
      <c r="H224" s="16" t="str">
        <f aca="false">IF(OR(C224="",D224=""),"",ROUND(MOD(D224-C224,1)*24,2))</f>
        <v/>
      </c>
      <c r="I224" s="18"/>
      <c r="J224" s="18"/>
      <c r="K224" s="18"/>
    </row>
    <row r="225" customFormat="false" ht="15" hidden="false" customHeight="false" outlineLevel="0" collapsed="false">
      <c r="A225" s="17"/>
      <c r="B225" s="18"/>
      <c r="C225" s="19"/>
      <c r="D225" s="19"/>
      <c r="E225" s="18"/>
      <c r="F225" s="18"/>
      <c r="G225" s="13" t="str">
        <f aca="false">IF(F225="","",IFERROR(INDEX(Metas!$B$5:$B$54,MATCH(F225,Metas!$A$5:$A$54,0)),"⚠ ID de meta no existe"))</f>
        <v/>
      </c>
      <c r="H225" s="16" t="str">
        <f aca="false">IF(OR(C225="",D225=""),"",ROUND(MOD(D225-C225,1)*24,2))</f>
        <v/>
      </c>
      <c r="I225" s="18"/>
      <c r="J225" s="18"/>
      <c r="K225" s="18"/>
    </row>
    <row r="226" customFormat="false" ht="15" hidden="false" customHeight="false" outlineLevel="0" collapsed="false">
      <c r="A226" s="17"/>
      <c r="B226" s="18"/>
      <c r="C226" s="19"/>
      <c r="D226" s="19"/>
      <c r="E226" s="18"/>
      <c r="F226" s="18"/>
      <c r="G226" s="13" t="str">
        <f aca="false">IF(F226="","",IFERROR(INDEX(Metas!$B$5:$B$54,MATCH(F226,Metas!$A$5:$A$54,0)),"⚠ ID de meta no existe"))</f>
        <v/>
      </c>
      <c r="H226" s="16" t="str">
        <f aca="false">IF(OR(C226="",D226=""),"",ROUND(MOD(D226-C226,1)*24,2))</f>
        <v/>
      </c>
      <c r="I226" s="18"/>
      <c r="J226" s="18"/>
      <c r="K226" s="18"/>
    </row>
    <row r="227" customFormat="false" ht="15" hidden="false" customHeight="false" outlineLevel="0" collapsed="false">
      <c r="A227" s="17"/>
      <c r="B227" s="18"/>
      <c r="C227" s="19"/>
      <c r="D227" s="19"/>
      <c r="E227" s="18"/>
      <c r="F227" s="18"/>
      <c r="G227" s="13" t="str">
        <f aca="false">IF(F227="","",IFERROR(INDEX(Metas!$B$5:$B$54,MATCH(F227,Metas!$A$5:$A$54,0)),"⚠ ID de meta no existe"))</f>
        <v/>
      </c>
      <c r="H227" s="16" t="str">
        <f aca="false">IF(OR(C227="",D227=""),"",ROUND(MOD(D227-C227,1)*24,2))</f>
        <v/>
      </c>
      <c r="I227" s="18"/>
      <c r="J227" s="18"/>
      <c r="K227" s="18"/>
    </row>
    <row r="228" customFormat="false" ht="15" hidden="false" customHeight="false" outlineLevel="0" collapsed="false">
      <c r="A228" s="17"/>
      <c r="B228" s="18"/>
      <c r="C228" s="19"/>
      <c r="D228" s="19"/>
      <c r="E228" s="18"/>
      <c r="F228" s="18"/>
      <c r="G228" s="13" t="str">
        <f aca="false">IF(F228="","",IFERROR(INDEX(Metas!$B$5:$B$54,MATCH(F228,Metas!$A$5:$A$54,0)),"⚠ ID de meta no existe"))</f>
        <v/>
      </c>
      <c r="H228" s="16" t="str">
        <f aca="false">IF(OR(C228="",D228=""),"",ROUND(MOD(D228-C228,1)*24,2))</f>
        <v/>
      </c>
      <c r="I228" s="18"/>
      <c r="J228" s="18"/>
      <c r="K228" s="18"/>
    </row>
    <row r="229" customFormat="false" ht="15" hidden="false" customHeight="false" outlineLevel="0" collapsed="false">
      <c r="A229" s="17"/>
      <c r="B229" s="18"/>
      <c r="C229" s="19"/>
      <c r="D229" s="19"/>
      <c r="E229" s="18"/>
      <c r="F229" s="18"/>
      <c r="G229" s="13" t="str">
        <f aca="false">IF(F229="","",IFERROR(INDEX(Metas!$B$5:$B$54,MATCH(F229,Metas!$A$5:$A$54,0)),"⚠ ID de meta no existe"))</f>
        <v/>
      </c>
      <c r="H229" s="16" t="str">
        <f aca="false">IF(OR(C229="",D229=""),"",ROUND(MOD(D229-C229,1)*24,2))</f>
        <v/>
      </c>
      <c r="I229" s="18"/>
      <c r="J229" s="18"/>
      <c r="K229" s="18"/>
    </row>
    <row r="230" customFormat="false" ht="15" hidden="false" customHeight="false" outlineLevel="0" collapsed="false">
      <c r="A230" s="17"/>
      <c r="B230" s="18"/>
      <c r="C230" s="19"/>
      <c r="D230" s="19"/>
      <c r="E230" s="18"/>
      <c r="F230" s="18"/>
      <c r="G230" s="13" t="str">
        <f aca="false">IF(F230="","",IFERROR(INDEX(Metas!$B$5:$B$54,MATCH(F230,Metas!$A$5:$A$54,0)),"⚠ ID de meta no existe"))</f>
        <v/>
      </c>
      <c r="H230" s="16" t="str">
        <f aca="false">IF(OR(C230="",D230=""),"",ROUND(MOD(D230-C230,1)*24,2))</f>
        <v/>
      </c>
      <c r="I230" s="18"/>
      <c r="J230" s="18"/>
      <c r="K230" s="18"/>
    </row>
    <row r="231" customFormat="false" ht="15" hidden="false" customHeight="false" outlineLevel="0" collapsed="false">
      <c r="A231" s="17"/>
      <c r="B231" s="18"/>
      <c r="C231" s="19"/>
      <c r="D231" s="19"/>
      <c r="E231" s="18"/>
      <c r="F231" s="18"/>
      <c r="G231" s="13" t="str">
        <f aca="false">IF(F231="","",IFERROR(INDEX(Metas!$B$5:$B$54,MATCH(F231,Metas!$A$5:$A$54,0)),"⚠ ID de meta no existe"))</f>
        <v/>
      </c>
      <c r="H231" s="16" t="str">
        <f aca="false">IF(OR(C231="",D231=""),"",ROUND(MOD(D231-C231,1)*24,2))</f>
        <v/>
      </c>
      <c r="I231" s="18"/>
      <c r="J231" s="18"/>
      <c r="K231" s="18"/>
    </row>
    <row r="232" customFormat="false" ht="15" hidden="false" customHeight="false" outlineLevel="0" collapsed="false">
      <c r="A232" s="17"/>
      <c r="B232" s="18"/>
      <c r="C232" s="19"/>
      <c r="D232" s="19"/>
      <c r="E232" s="18"/>
      <c r="F232" s="18"/>
      <c r="G232" s="13" t="str">
        <f aca="false">IF(F232="","",IFERROR(INDEX(Metas!$B$5:$B$54,MATCH(F232,Metas!$A$5:$A$54,0)),"⚠ ID de meta no existe"))</f>
        <v/>
      </c>
      <c r="H232" s="16" t="str">
        <f aca="false">IF(OR(C232="",D232=""),"",ROUND(MOD(D232-C232,1)*24,2))</f>
        <v/>
      </c>
      <c r="I232" s="18"/>
      <c r="J232" s="18"/>
      <c r="K232" s="18"/>
    </row>
    <row r="233" customFormat="false" ht="15" hidden="false" customHeight="false" outlineLevel="0" collapsed="false">
      <c r="A233" s="17"/>
      <c r="B233" s="18"/>
      <c r="C233" s="19"/>
      <c r="D233" s="19"/>
      <c r="E233" s="18"/>
      <c r="F233" s="18"/>
      <c r="G233" s="13" t="str">
        <f aca="false">IF(F233="","",IFERROR(INDEX(Metas!$B$5:$B$54,MATCH(F233,Metas!$A$5:$A$54,0)),"⚠ ID de meta no existe"))</f>
        <v/>
      </c>
      <c r="H233" s="16" t="str">
        <f aca="false">IF(OR(C233="",D233=""),"",ROUND(MOD(D233-C233,1)*24,2))</f>
        <v/>
      </c>
      <c r="I233" s="18"/>
      <c r="J233" s="18"/>
      <c r="K233" s="18"/>
    </row>
    <row r="234" customFormat="false" ht="15" hidden="false" customHeight="false" outlineLevel="0" collapsed="false">
      <c r="A234" s="17"/>
      <c r="B234" s="18"/>
      <c r="C234" s="19"/>
      <c r="D234" s="19"/>
      <c r="E234" s="18"/>
      <c r="F234" s="18"/>
      <c r="G234" s="13" t="str">
        <f aca="false">IF(F234="","",IFERROR(INDEX(Metas!$B$5:$B$54,MATCH(F234,Metas!$A$5:$A$54,0)),"⚠ ID de meta no existe"))</f>
        <v/>
      </c>
      <c r="H234" s="16" t="str">
        <f aca="false">IF(OR(C234="",D234=""),"",ROUND(MOD(D234-C234,1)*24,2))</f>
        <v/>
      </c>
      <c r="I234" s="18"/>
      <c r="J234" s="18"/>
      <c r="K234" s="18"/>
    </row>
    <row r="235" customFormat="false" ht="15" hidden="false" customHeight="false" outlineLevel="0" collapsed="false">
      <c r="A235" s="17"/>
      <c r="B235" s="18"/>
      <c r="C235" s="19"/>
      <c r="D235" s="19"/>
      <c r="E235" s="18"/>
      <c r="F235" s="18"/>
      <c r="G235" s="13" t="str">
        <f aca="false">IF(F235="","",IFERROR(INDEX(Metas!$B$5:$B$54,MATCH(F235,Metas!$A$5:$A$54,0)),"⚠ ID de meta no existe"))</f>
        <v/>
      </c>
      <c r="H235" s="16" t="str">
        <f aca="false">IF(OR(C235="",D235=""),"",ROUND(MOD(D235-C235,1)*24,2))</f>
        <v/>
      </c>
      <c r="I235" s="18"/>
      <c r="J235" s="18"/>
      <c r="K235" s="18"/>
    </row>
    <row r="236" customFormat="false" ht="15" hidden="false" customHeight="false" outlineLevel="0" collapsed="false">
      <c r="A236" s="17"/>
      <c r="B236" s="18"/>
      <c r="C236" s="19"/>
      <c r="D236" s="19"/>
      <c r="E236" s="18"/>
      <c r="F236" s="18"/>
      <c r="G236" s="13" t="str">
        <f aca="false">IF(F236="","",IFERROR(INDEX(Metas!$B$5:$B$54,MATCH(F236,Metas!$A$5:$A$54,0)),"⚠ ID de meta no existe"))</f>
        <v/>
      </c>
      <c r="H236" s="16" t="str">
        <f aca="false">IF(OR(C236="",D236=""),"",ROUND(MOD(D236-C236,1)*24,2))</f>
        <v/>
      </c>
      <c r="I236" s="18"/>
      <c r="J236" s="18"/>
      <c r="K236" s="18"/>
    </row>
    <row r="237" customFormat="false" ht="15" hidden="false" customHeight="false" outlineLevel="0" collapsed="false">
      <c r="A237" s="17"/>
      <c r="B237" s="18"/>
      <c r="C237" s="19"/>
      <c r="D237" s="19"/>
      <c r="E237" s="18"/>
      <c r="F237" s="18"/>
      <c r="G237" s="13" t="str">
        <f aca="false">IF(F237="","",IFERROR(INDEX(Metas!$B$5:$B$54,MATCH(F237,Metas!$A$5:$A$54,0)),"⚠ ID de meta no existe"))</f>
        <v/>
      </c>
      <c r="H237" s="16" t="str">
        <f aca="false">IF(OR(C237="",D237=""),"",ROUND(MOD(D237-C237,1)*24,2))</f>
        <v/>
      </c>
      <c r="I237" s="18"/>
      <c r="J237" s="18"/>
      <c r="K237" s="18"/>
    </row>
    <row r="238" customFormat="false" ht="15" hidden="false" customHeight="false" outlineLevel="0" collapsed="false">
      <c r="A238" s="17"/>
      <c r="B238" s="18"/>
      <c r="C238" s="19"/>
      <c r="D238" s="19"/>
      <c r="E238" s="18"/>
      <c r="F238" s="18"/>
      <c r="G238" s="13" t="str">
        <f aca="false">IF(F238="","",IFERROR(INDEX(Metas!$B$5:$B$54,MATCH(F238,Metas!$A$5:$A$54,0)),"⚠ ID de meta no existe"))</f>
        <v/>
      </c>
      <c r="H238" s="16" t="str">
        <f aca="false">IF(OR(C238="",D238=""),"",ROUND(MOD(D238-C238,1)*24,2))</f>
        <v/>
      </c>
      <c r="I238" s="18"/>
      <c r="J238" s="18"/>
      <c r="K238" s="18"/>
    </row>
    <row r="239" customFormat="false" ht="15" hidden="false" customHeight="false" outlineLevel="0" collapsed="false">
      <c r="A239" s="17"/>
      <c r="B239" s="18"/>
      <c r="C239" s="19"/>
      <c r="D239" s="19"/>
      <c r="E239" s="18"/>
      <c r="F239" s="18"/>
      <c r="G239" s="13" t="str">
        <f aca="false">IF(F239="","",IFERROR(INDEX(Metas!$B$5:$B$54,MATCH(F239,Metas!$A$5:$A$54,0)),"⚠ ID de meta no existe"))</f>
        <v/>
      </c>
      <c r="H239" s="16" t="str">
        <f aca="false">IF(OR(C239="",D239=""),"",ROUND(MOD(D239-C239,1)*24,2))</f>
        <v/>
      </c>
      <c r="I239" s="18"/>
      <c r="J239" s="18"/>
      <c r="K239" s="18"/>
    </row>
    <row r="240" customFormat="false" ht="15" hidden="false" customHeight="false" outlineLevel="0" collapsed="false">
      <c r="A240" s="17"/>
      <c r="B240" s="18"/>
      <c r="C240" s="19"/>
      <c r="D240" s="19"/>
      <c r="E240" s="18"/>
      <c r="F240" s="18"/>
      <c r="G240" s="13" t="str">
        <f aca="false">IF(F240="","",IFERROR(INDEX(Metas!$B$5:$B$54,MATCH(F240,Metas!$A$5:$A$54,0)),"⚠ ID de meta no existe"))</f>
        <v/>
      </c>
      <c r="H240" s="16" t="str">
        <f aca="false">IF(OR(C240="",D240=""),"",ROUND(MOD(D240-C240,1)*24,2))</f>
        <v/>
      </c>
      <c r="I240" s="18"/>
      <c r="J240" s="18"/>
      <c r="K240" s="18"/>
    </row>
    <row r="241" customFormat="false" ht="15" hidden="false" customHeight="false" outlineLevel="0" collapsed="false">
      <c r="A241" s="17"/>
      <c r="B241" s="18"/>
      <c r="C241" s="19"/>
      <c r="D241" s="19"/>
      <c r="E241" s="18"/>
      <c r="F241" s="18"/>
      <c r="G241" s="13" t="str">
        <f aca="false">IF(F241="","",IFERROR(INDEX(Metas!$B$5:$B$54,MATCH(F241,Metas!$A$5:$A$54,0)),"⚠ ID de meta no existe"))</f>
        <v/>
      </c>
      <c r="H241" s="16" t="str">
        <f aca="false">IF(OR(C241="",D241=""),"",ROUND(MOD(D241-C241,1)*24,2))</f>
        <v/>
      </c>
      <c r="I241" s="18"/>
      <c r="J241" s="18"/>
      <c r="K241" s="18"/>
    </row>
    <row r="242" customFormat="false" ht="15" hidden="false" customHeight="false" outlineLevel="0" collapsed="false">
      <c r="A242" s="17"/>
      <c r="B242" s="18"/>
      <c r="C242" s="19"/>
      <c r="D242" s="19"/>
      <c r="E242" s="18"/>
      <c r="F242" s="18"/>
      <c r="G242" s="13" t="str">
        <f aca="false">IF(F242="","",IFERROR(INDEX(Metas!$B$5:$B$54,MATCH(F242,Metas!$A$5:$A$54,0)),"⚠ ID de meta no existe"))</f>
        <v/>
      </c>
      <c r="H242" s="16" t="str">
        <f aca="false">IF(OR(C242="",D242=""),"",ROUND(MOD(D242-C242,1)*24,2))</f>
        <v/>
      </c>
      <c r="I242" s="18"/>
      <c r="J242" s="18"/>
      <c r="K242" s="18"/>
    </row>
    <row r="243" customFormat="false" ht="15" hidden="false" customHeight="false" outlineLevel="0" collapsed="false">
      <c r="A243" s="17"/>
      <c r="B243" s="18"/>
      <c r="C243" s="19"/>
      <c r="D243" s="19"/>
      <c r="E243" s="18"/>
      <c r="F243" s="18"/>
      <c r="G243" s="13" t="str">
        <f aca="false">IF(F243="","",IFERROR(INDEX(Metas!$B$5:$B$54,MATCH(F243,Metas!$A$5:$A$54,0)),"⚠ ID de meta no existe"))</f>
        <v/>
      </c>
      <c r="H243" s="16" t="str">
        <f aca="false">IF(OR(C243="",D243=""),"",ROUND(MOD(D243-C243,1)*24,2))</f>
        <v/>
      </c>
      <c r="I243" s="18"/>
      <c r="J243" s="18"/>
      <c r="K243" s="18"/>
    </row>
    <row r="244" customFormat="false" ht="15" hidden="false" customHeight="false" outlineLevel="0" collapsed="false">
      <c r="A244" s="17"/>
      <c r="B244" s="18"/>
      <c r="C244" s="19"/>
      <c r="D244" s="19"/>
      <c r="E244" s="18"/>
      <c r="F244" s="18"/>
      <c r="G244" s="13" t="str">
        <f aca="false">IF(F244="","",IFERROR(INDEX(Metas!$B$5:$B$54,MATCH(F244,Metas!$A$5:$A$54,0)),"⚠ ID de meta no existe"))</f>
        <v/>
      </c>
      <c r="H244" s="16" t="str">
        <f aca="false">IF(OR(C244="",D244=""),"",ROUND(MOD(D244-C244,1)*24,2))</f>
        <v/>
      </c>
      <c r="I244" s="18"/>
      <c r="J244" s="18"/>
      <c r="K244" s="18"/>
    </row>
    <row r="245" customFormat="false" ht="15" hidden="false" customHeight="false" outlineLevel="0" collapsed="false">
      <c r="A245" s="17"/>
      <c r="B245" s="18"/>
      <c r="C245" s="19"/>
      <c r="D245" s="19"/>
      <c r="E245" s="18"/>
      <c r="F245" s="18"/>
      <c r="G245" s="13" t="str">
        <f aca="false">IF(F245="","",IFERROR(INDEX(Metas!$B$5:$B$54,MATCH(F245,Metas!$A$5:$A$54,0)),"⚠ ID de meta no existe"))</f>
        <v/>
      </c>
      <c r="H245" s="16" t="str">
        <f aca="false">IF(OR(C245="",D245=""),"",ROUND(MOD(D245-C245,1)*24,2))</f>
        <v/>
      </c>
      <c r="I245" s="18"/>
      <c r="J245" s="18"/>
      <c r="K245" s="18"/>
    </row>
    <row r="246" customFormat="false" ht="15" hidden="false" customHeight="false" outlineLevel="0" collapsed="false">
      <c r="A246" s="17"/>
      <c r="B246" s="18"/>
      <c r="C246" s="19"/>
      <c r="D246" s="19"/>
      <c r="E246" s="18"/>
      <c r="F246" s="18"/>
      <c r="G246" s="13" t="str">
        <f aca="false">IF(F246="","",IFERROR(INDEX(Metas!$B$5:$B$54,MATCH(F246,Metas!$A$5:$A$54,0)),"⚠ ID de meta no existe"))</f>
        <v/>
      </c>
      <c r="H246" s="16" t="str">
        <f aca="false">IF(OR(C246="",D246=""),"",ROUND(MOD(D246-C246,1)*24,2))</f>
        <v/>
      </c>
      <c r="I246" s="18"/>
      <c r="J246" s="18"/>
      <c r="K246" s="18"/>
    </row>
    <row r="247" customFormat="false" ht="15" hidden="false" customHeight="false" outlineLevel="0" collapsed="false">
      <c r="A247" s="17"/>
      <c r="B247" s="18"/>
      <c r="C247" s="19"/>
      <c r="D247" s="19"/>
      <c r="E247" s="18"/>
      <c r="F247" s="18"/>
      <c r="G247" s="13" t="str">
        <f aca="false">IF(F247="","",IFERROR(INDEX(Metas!$B$5:$B$54,MATCH(F247,Metas!$A$5:$A$54,0)),"⚠ ID de meta no existe"))</f>
        <v/>
      </c>
      <c r="H247" s="16" t="str">
        <f aca="false">IF(OR(C247="",D247=""),"",ROUND(MOD(D247-C247,1)*24,2))</f>
        <v/>
      </c>
      <c r="I247" s="18"/>
      <c r="J247" s="18"/>
      <c r="K247" s="18"/>
    </row>
    <row r="248" customFormat="false" ht="15" hidden="false" customHeight="false" outlineLevel="0" collapsed="false">
      <c r="A248" s="17"/>
      <c r="B248" s="18"/>
      <c r="C248" s="19"/>
      <c r="D248" s="19"/>
      <c r="E248" s="18"/>
      <c r="F248" s="18"/>
      <c r="G248" s="13" t="str">
        <f aca="false">IF(F248="","",IFERROR(INDEX(Metas!$B$5:$B$54,MATCH(F248,Metas!$A$5:$A$54,0)),"⚠ ID de meta no existe"))</f>
        <v/>
      </c>
      <c r="H248" s="16" t="str">
        <f aca="false">IF(OR(C248="",D248=""),"",ROUND(MOD(D248-C248,1)*24,2))</f>
        <v/>
      </c>
      <c r="I248" s="18"/>
      <c r="J248" s="18"/>
      <c r="K248" s="18"/>
    </row>
    <row r="249" customFormat="false" ht="15" hidden="false" customHeight="false" outlineLevel="0" collapsed="false">
      <c r="A249" s="17"/>
      <c r="B249" s="18"/>
      <c r="C249" s="19"/>
      <c r="D249" s="19"/>
      <c r="E249" s="18"/>
      <c r="F249" s="18"/>
      <c r="G249" s="13" t="str">
        <f aca="false">IF(F249="","",IFERROR(INDEX(Metas!$B$5:$B$54,MATCH(F249,Metas!$A$5:$A$54,0)),"⚠ ID de meta no existe"))</f>
        <v/>
      </c>
      <c r="H249" s="16" t="str">
        <f aca="false">IF(OR(C249="",D249=""),"",ROUND(MOD(D249-C249,1)*24,2))</f>
        <v/>
      </c>
      <c r="I249" s="18"/>
      <c r="J249" s="18"/>
      <c r="K249" s="18"/>
    </row>
    <row r="250" customFormat="false" ht="15" hidden="false" customHeight="false" outlineLevel="0" collapsed="false">
      <c r="A250" s="17"/>
      <c r="B250" s="18"/>
      <c r="C250" s="19"/>
      <c r="D250" s="19"/>
      <c r="E250" s="18"/>
      <c r="F250" s="18"/>
      <c r="G250" s="13" t="str">
        <f aca="false">IF(F250="","",IFERROR(INDEX(Metas!$B$5:$B$54,MATCH(F250,Metas!$A$5:$A$54,0)),"⚠ ID de meta no existe"))</f>
        <v/>
      </c>
      <c r="H250" s="16" t="str">
        <f aca="false">IF(OR(C250="",D250=""),"",ROUND(MOD(D250-C250,1)*24,2))</f>
        <v/>
      </c>
      <c r="I250" s="18"/>
      <c r="J250" s="18"/>
      <c r="K250" s="18"/>
    </row>
    <row r="251" customFormat="false" ht="15" hidden="false" customHeight="false" outlineLevel="0" collapsed="false">
      <c r="A251" s="17"/>
      <c r="B251" s="18"/>
      <c r="C251" s="19"/>
      <c r="D251" s="19"/>
      <c r="E251" s="18"/>
      <c r="F251" s="18"/>
      <c r="G251" s="13" t="str">
        <f aca="false">IF(F251="","",IFERROR(INDEX(Metas!$B$5:$B$54,MATCH(F251,Metas!$A$5:$A$54,0)),"⚠ ID de meta no existe"))</f>
        <v/>
      </c>
      <c r="H251" s="16" t="str">
        <f aca="false">IF(OR(C251="",D251=""),"",ROUND(MOD(D251-C251,1)*24,2))</f>
        <v/>
      </c>
      <c r="I251" s="18"/>
      <c r="J251" s="18"/>
      <c r="K251" s="18"/>
    </row>
    <row r="252" customFormat="false" ht="15" hidden="false" customHeight="false" outlineLevel="0" collapsed="false">
      <c r="A252" s="17"/>
      <c r="B252" s="18"/>
      <c r="C252" s="19"/>
      <c r="D252" s="19"/>
      <c r="E252" s="18"/>
      <c r="F252" s="18"/>
      <c r="G252" s="13" t="str">
        <f aca="false">IF(F252="","",IFERROR(INDEX(Metas!$B$5:$B$54,MATCH(F252,Metas!$A$5:$A$54,0)),"⚠ ID de meta no existe"))</f>
        <v/>
      </c>
      <c r="H252" s="16" t="str">
        <f aca="false">IF(OR(C252="",D252=""),"",ROUND(MOD(D252-C252,1)*24,2))</f>
        <v/>
      </c>
      <c r="I252" s="18"/>
      <c r="J252" s="18"/>
      <c r="K252" s="18"/>
    </row>
    <row r="253" customFormat="false" ht="15" hidden="false" customHeight="false" outlineLevel="0" collapsed="false">
      <c r="A253" s="17"/>
      <c r="B253" s="18"/>
      <c r="C253" s="19"/>
      <c r="D253" s="19"/>
      <c r="E253" s="18"/>
      <c r="F253" s="18"/>
      <c r="G253" s="13" t="str">
        <f aca="false">IF(F253="","",IFERROR(INDEX(Metas!$B$5:$B$54,MATCH(F253,Metas!$A$5:$A$54,0)),"⚠ ID de meta no existe"))</f>
        <v/>
      </c>
      <c r="H253" s="16" t="str">
        <f aca="false">IF(OR(C253="",D253=""),"",ROUND(MOD(D253-C253,1)*24,2))</f>
        <v/>
      </c>
      <c r="I253" s="18"/>
      <c r="J253" s="18"/>
      <c r="K253" s="18"/>
    </row>
    <row r="254" customFormat="false" ht="15" hidden="false" customHeight="false" outlineLevel="0" collapsed="false">
      <c r="A254" s="17"/>
      <c r="B254" s="18"/>
      <c r="C254" s="19"/>
      <c r="D254" s="19"/>
      <c r="E254" s="18"/>
      <c r="F254" s="18"/>
      <c r="G254" s="13" t="str">
        <f aca="false">IF(F254="","",IFERROR(INDEX(Metas!$B$5:$B$54,MATCH(F254,Metas!$A$5:$A$54,0)),"⚠ ID de meta no existe"))</f>
        <v/>
      </c>
      <c r="H254" s="16" t="str">
        <f aca="false">IF(OR(C254="",D254=""),"",ROUND(MOD(D254-C254,1)*24,2))</f>
        <v/>
      </c>
      <c r="I254" s="18"/>
      <c r="J254" s="18"/>
      <c r="K254" s="18"/>
    </row>
    <row r="255" customFormat="false" ht="15" hidden="false" customHeight="false" outlineLevel="0" collapsed="false">
      <c r="A255" s="17"/>
      <c r="B255" s="18"/>
      <c r="C255" s="19"/>
      <c r="D255" s="19"/>
      <c r="E255" s="18"/>
      <c r="F255" s="18"/>
      <c r="G255" s="13" t="str">
        <f aca="false">IF(F255="","",IFERROR(INDEX(Metas!$B$5:$B$54,MATCH(F255,Metas!$A$5:$A$54,0)),"⚠ ID de meta no existe"))</f>
        <v/>
      </c>
      <c r="H255" s="16" t="str">
        <f aca="false">IF(OR(C255="",D255=""),"",ROUND(MOD(D255-C255,1)*24,2))</f>
        <v/>
      </c>
      <c r="I255" s="18"/>
      <c r="J255" s="18"/>
      <c r="K255" s="18"/>
    </row>
    <row r="256" customFormat="false" ht="15" hidden="false" customHeight="false" outlineLevel="0" collapsed="false">
      <c r="A256" s="17"/>
      <c r="B256" s="18"/>
      <c r="C256" s="19"/>
      <c r="D256" s="19"/>
      <c r="E256" s="18"/>
      <c r="F256" s="18"/>
      <c r="G256" s="13" t="str">
        <f aca="false">IF(F256="","",IFERROR(INDEX(Metas!$B$5:$B$54,MATCH(F256,Metas!$A$5:$A$54,0)),"⚠ ID de meta no existe"))</f>
        <v/>
      </c>
      <c r="H256" s="16" t="str">
        <f aca="false">IF(OR(C256="",D256=""),"",ROUND(MOD(D256-C256,1)*24,2))</f>
        <v/>
      </c>
      <c r="I256" s="18"/>
      <c r="J256" s="18"/>
      <c r="K256" s="18"/>
    </row>
    <row r="257" customFormat="false" ht="15" hidden="false" customHeight="false" outlineLevel="0" collapsed="false">
      <c r="A257" s="17"/>
      <c r="B257" s="18"/>
      <c r="C257" s="19"/>
      <c r="D257" s="19"/>
      <c r="E257" s="18"/>
      <c r="F257" s="18"/>
      <c r="G257" s="13" t="str">
        <f aca="false">IF(F257="","",IFERROR(INDEX(Metas!$B$5:$B$54,MATCH(F257,Metas!$A$5:$A$54,0)),"⚠ ID de meta no existe"))</f>
        <v/>
      </c>
      <c r="H257" s="16" t="str">
        <f aca="false">IF(OR(C257="",D257=""),"",ROUND(MOD(D257-C257,1)*24,2))</f>
        <v/>
      </c>
      <c r="I257" s="18"/>
      <c r="J257" s="18"/>
      <c r="K257" s="18"/>
    </row>
    <row r="258" customFormat="false" ht="15" hidden="false" customHeight="false" outlineLevel="0" collapsed="false">
      <c r="A258" s="17"/>
      <c r="B258" s="18"/>
      <c r="C258" s="19"/>
      <c r="D258" s="19"/>
      <c r="E258" s="18"/>
      <c r="F258" s="18"/>
      <c r="G258" s="13" t="str">
        <f aca="false">IF(F258="","",IFERROR(INDEX(Metas!$B$5:$B$54,MATCH(F258,Metas!$A$5:$A$54,0)),"⚠ ID de meta no existe"))</f>
        <v/>
      </c>
      <c r="H258" s="16" t="str">
        <f aca="false">IF(OR(C258="",D258=""),"",ROUND(MOD(D258-C258,1)*24,2))</f>
        <v/>
      </c>
      <c r="I258" s="18"/>
      <c r="J258" s="18"/>
      <c r="K258" s="18"/>
    </row>
    <row r="259" customFormat="false" ht="15" hidden="false" customHeight="false" outlineLevel="0" collapsed="false">
      <c r="A259" s="17"/>
      <c r="B259" s="18"/>
      <c r="C259" s="19"/>
      <c r="D259" s="19"/>
      <c r="E259" s="18"/>
      <c r="F259" s="18"/>
      <c r="G259" s="13" t="str">
        <f aca="false">IF(F259="","",IFERROR(INDEX(Metas!$B$5:$B$54,MATCH(F259,Metas!$A$5:$A$54,0)),"⚠ ID de meta no existe"))</f>
        <v/>
      </c>
      <c r="H259" s="16" t="str">
        <f aca="false">IF(OR(C259="",D259=""),"",ROUND(MOD(D259-C259,1)*24,2))</f>
        <v/>
      </c>
      <c r="I259" s="18"/>
      <c r="J259" s="18"/>
      <c r="K259" s="18"/>
    </row>
    <row r="260" customFormat="false" ht="15" hidden="false" customHeight="false" outlineLevel="0" collapsed="false">
      <c r="A260" s="17"/>
      <c r="B260" s="18"/>
      <c r="C260" s="19"/>
      <c r="D260" s="19"/>
      <c r="E260" s="18"/>
      <c r="F260" s="18"/>
      <c r="G260" s="13" t="str">
        <f aca="false">IF(F260="","",IFERROR(INDEX(Metas!$B$5:$B$54,MATCH(F260,Metas!$A$5:$A$54,0)),"⚠ ID de meta no existe"))</f>
        <v/>
      </c>
      <c r="H260" s="16" t="str">
        <f aca="false">IF(OR(C260="",D260=""),"",ROUND(MOD(D260-C260,1)*24,2))</f>
        <v/>
      </c>
      <c r="I260" s="18"/>
      <c r="J260" s="18"/>
      <c r="K260" s="18"/>
    </row>
    <row r="261" customFormat="false" ht="15" hidden="false" customHeight="false" outlineLevel="0" collapsed="false">
      <c r="A261" s="17"/>
      <c r="B261" s="18"/>
      <c r="C261" s="19"/>
      <c r="D261" s="19"/>
      <c r="E261" s="18"/>
      <c r="F261" s="18"/>
      <c r="G261" s="13" t="str">
        <f aca="false">IF(F261="","",IFERROR(INDEX(Metas!$B$5:$B$54,MATCH(F261,Metas!$A$5:$A$54,0)),"⚠ ID de meta no existe"))</f>
        <v/>
      </c>
      <c r="H261" s="16" t="str">
        <f aca="false">IF(OR(C261="",D261=""),"",ROUND(MOD(D261-C261,1)*24,2))</f>
        <v/>
      </c>
      <c r="I261" s="18"/>
      <c r="J261" s="18"/>
      <c r="K261" s="18"/>
    </row>
    <row r="262" customFormat="false" ht="15" hidden="false" customHeight="false" outlineLevel="0" collapsed="false">
      <c r="A262" s="17"/>
      <c r="B262" s="18"/>
      <c r="C262" s="19"/>
      <c r="D262" s="19"/>
      <c r="E262" s="18"/>
      <c r="F262" s="18"/>
      <c r="G262" s="13" t="str">
        <f aca="false">IF(F262="","",IFERROR(INDEX(Metas!$B$5:$B$54,MATCH(F262,Metas!$A$5:$A$54,0)),"⚠ ID de meta no existe"))</f>
        <v/>
      </c>
      <c r="H262" s="16" t="str">
        <f aca="false">IF(OR(C262="",D262=""),"",ROUND(MOD(D262-C262,1)*24,2))</f>
        <v/>
      </c>
      <c r="I262" s="18"/>
      <c r="J262" s="18"/>
      <c r="K262" s="18"/>
    </row>
    <row r="263" customFormat="false" ht="15" hidden="false" customHeight="false" outlineLevel="0" collapsed="false">
      <c r="A263" s="17"/>
      <c r="B263" s="18"/>
      <c r="C263" s="19"/>
      <c r="D263" s="19"/>
      <c r="E263" s="18"/>
      <c r="F263" s="18"/>
      <c r="G263" s="13" t="str">
        <f aca="false">IF(F263="","",IFERROR(INDEX(Metas!$B$5:$B$54,MATCH(F263,Metas!$A$5:$A$54,0)),"⚠ ID de meta no existe"))</f>
        <v/>
      </c>
      <c r="H263" s="16" t="str">
        <f aca="false">IF(OR(C263="",D263=""),"",ROUND(MOD(D263-C263,1)*24,2))</f>
        <v/>
      </c>
      <c r="I263" s="18"/>
      <c r="J263" s="18"/>
      <c r="K263" s="18"/>
    </row>
    <row r="264" customFormat="false" ht="15" hidden="false" customHeight="false" outlineLevel="0" collapsed="false">
      <c r="A264" s="17"/>
      <c r="B264" s="18"/>
      <c r="C264" s="19"/>
      <c r="D264" s="19"/>
      <c r="E264" s="18"/>
      <c r="F264" s="18"/>
      <c r="G264" s="13" t="str">
        <f aca="false">IF(F264="","",IFERROR(INDEX(Metas!$B$5:$B$54,MATCH(F264,Metas!$A$5:$A$54,0)),"⚠ ID de meta no existe"))</f>
        <v/>
      </c>
      <c r="H264" s="16" t="str">
        <f aca="false">IF(OR(C264="",D264=""),"",ROUND(MOD(D264-C264,1)*24,2))</f>
        <v/>
      </c>
      <c r="I264" s="18"/>
      <c r="J264" s="18"/>
      <c r="K264" s="18"/>
    </row>
    <row r="265" customFormat="false" ht="15" hidden="false" customHeight="false" outlineLevel="0" collapsed="false">
      <c r="A265" s="17"/>
      <c r="B265" s="18"/>
      <c r="C265" s="19"/>
      <c r="D265" s="19"/>
      <c r="E265" s="18"/>
      <c r="F265" s="18"/>
      <c r="G265" s="13" t="str">
        <f aca="false">IF(F265="","",IFERROR(INDEX(Metas!$B$5:$B$54,MATCH(F265,Metas!$A$5:$A$54,0)),"⚠ ID de meta no existe"))</f>
        <v/>
      </c>
      <c r="H265" s="16" t="str">
        <f aca="false">IF(OR(C265="",D265=""),"",ROUND(MOD(D265-C265,1)*24,2))</f>
        <v/>
      </c>
      <c r="I265" s="18"/>
      <c r="J265" s="18"/>
      <c r="K265" s="18"/>
    </row>
    <row r="266" customFormat="false" ht="15" hidden="false" customHeight="false" outlineLevel="0" collapsed="false">
      <c r="A266" s="17"/>
      <c r="B266" s="18"/>
      <c r="C266" s="19"/>
      <c r="D266" s="19"/>
      <c r="E266" s="18"/>
      <c r="F266" s="18"/>
      <c r="G266" s="13" t="str">
        <f aca="false">IF(F266="","",IFERROR(INDEX(Metas!$B$5:$B$54,MATCH(F266,Metas!$A$5:$A$54,0)),"⚠ ID de meta no existe"))</f>
        <v/>
      </c>
      <c r="H266" s="16" t="str">
        <f aca="false">IF(OR(C266="",D266=""),"",ROUND(MOD(D266-C266,1)*24,2))</f>
        <v/>
      </c>
      <c r="I266" s="18"/>
      <c r="J266" s="18"/>
      <c r="K266" s="18"/>
    </row>
    <row r="267" customFormat="false" ht="15" hidden="false" customHeight="false" outlineLevel="0" collapsed="false">
      <c r="A267" s="17"/>
      <c r="B267" s="18"/>
      <c r="C267" s="19"/>
      <c r="D267" s="19"/>
      <c r="E267" s="18"/>
      <c r="F267" s="18"/>
      <c r="G267" s="13" t="str">
        <f aca="false">IF(F267="","",IFERROR(INDEX(Metas!$B$5:$B$54,MATCH(F267,Metas!$A$5:$A$54,0)),"⚠ ID de meta no existe"))</f>
        <v/>
      </c>
      <c r="H267" s="16" t="str">
        <f aca="false">IF(OR(C267="",D267=""),"",ROUND(MOD(D267-C267,1)*24,2))</f>
        <v/>
      </c>
      <c r="I267" s="18"/>
      <c r="J267" s="18"/>
      <c r="K267" s="18"/>
    </row>
    <row r="268" customFormat="false" ht="15" hidden="false" customHeight="false" outlineLevel="0" collapsed="false">
      <c r="A268" s="17"/>
      <c r="B268" s="18"/>
      <c r="C268" s="19"/>
      <c r="D268" s="19"/>
      <c r="E268" s="18"/>
      <c r="F268" s="18"/>
      <c r="G268" s="13" t="str">
        <f aca="false">IF(F268="","",IFERROR(INDEX(Metas!$B$5:$B$54,MATCH(F268,Metas!$A$5:$A$54,0)),"⚠ ID de meta no existe"))</f>
        <v/>
      </c>
      <c r="H268" s="16" t="str">
        <f aca="false">IF(OR(C268="",D268=""),"",ROUND(MOD(D268-C268,1)*24,2))</f>
        <v/>
      </c>
      <c r="I268" s="18"/>
      <c r="J268" s="18"/>
      <c r="K268" s="18"/>
    </row>
    <row r="269" customFormat="false" ht="15" hidden="false" customHeight="false" outlineLevel="0" collapsed="false">
      <c r="A269" s="17"/>
      <c r="B269" s="18"/>
      <c r="C269" s="19"/>
      <c r="D269" s="19"/>
      <c r="E269" s="18"/>
      <c r="F269" s="18"/>
      <c r="G269" s="13" t="str">
        <f aca="false">IF(F269="","",IFERROR(INDEX(Metas!$B$5:$B$54,MATCH(F269,Metas!$A$5:$A$54,0)),"⚠ ID de meta no existe"))</f>
        <v/>
      </c>
      <c r="H269" s="16" t="str">
        <f aca="false">IF(OR(C269="",D269=""),"",ROUND(MOD(D269-C269,1)*24,2))</f>
        <v/>
      </c>
      <c r="I269" s="18"/>
      <c r="J269" s="18"/>
      <c r="K269" s="18"/>
    </row>
    <row r="270" customFormat="false" ht="15" hidden="false" customHeight="false" outlineLevel="0" collapsed="false">
      <c r="A270" s="17"/>
      <c r="B270" s="18"/>
      <c r="C270" s="19"/>
      <c r="D270" s="19"/>
      <c r="E270" s="18"/>
      <c r="F270" s="18"/>
      <c r="G270" s="13" t="str">
        <f aca="false">IF(F270="","",IFERROR(INDEX(Metas!$B$5:$B$54,MATCH(F270,Metas!$A$5:$A$54,0)),"⚠ ID de meta no existe"))</f>
        <v/>
      </c>
      <c r="H270" s="16" t="str">
        <f aca="false">IF(OR(C270="",D270=""),"",ROUND(MOD(D270-C270,1)*24,2))</f>
        <v/>
      </c>
      <c r="I270" s="18"/>
      <c r="J270" s="18"/>
      <c r="K270" s="18"/>
    </row>
    <row r="271" customFormat="false" ht="15" hidden="false" customHeight="false" outlineLevel="0" collapsed="false">
      <c r="A271" s="17"/>
      <c r="B271" s="18"/>
      <c r="C271" s="19"/>
      <c r="D271" s="19"/>
      <c r="E271" s="18"/>
      <c r="F271" s="18"/>
      <c r="G271" s="13" t="str">
        <f aca="false">IF(F271="","",IFERROR(INDEX(Metas!$B$5:$B$54,MATCH(F271,Metas!$A$5:$A$54,0)),"⚠ ID de meta no existe"))</f>
        <v/>
      </c>
      <c r="H271" s="16" t="str">
        <f aca="false">IF(OR(C271="",D271=""),"",ROUND(MOD(D271-C271,1)*24,2))</f>
        <v/>
      </c>
      <c r="I271" s="18"/>
      <c r="J271" s="18"/>
      <c r="K271" s="18"/>
    </row>
    <row r="272" customFormat="false" ht="15" hidden="false" customHeight="false" outlineLevel="0" collapsed="false">
      <c r="A272" s="17"/>
      <c r="B272" s="18"/>
      <c r="C272" s="19"/>
      <c r="D272" s="19"/>
      <c r="E272" s="18"/>
      <c r="F272" s="18"/>
      <c r="G272" s="13" t="str">
        <f aca="false">IF(F272="","",IFERROR(INDEX(Metas!$B$5:$B$54,MATCH(F272,Metas!$A$5:$A$54,0)),"⚠ ID de meta no existe"))</f>
        <v/>
      </c>
      <c r="H272" s="16" t="str">
        <f aca="false">IF(OR(C272="",D272=""),"",ROUND(MOD(D272-C272,1)*24,2))</f>
        <v/>
      </c>
      <c r="I272" s="18"/>
      <c r="J272" s="18"/>
      <c r="K272" s="18"/>
    </row>
    <row r="273" customFormat="false" ht="15" hidden="false" customHeight="false" outlineLevel="0" collapsed="false">
      <c r="A273" s="17"/>
      <c r="B273" s="18"/>
      <c r="C273" s="19"/>
      <c r="D273" s="19"/>
      <c r="E273" s="18"/>
      <c r="F273" s="18"/>
      <c r="G273" s="13" t="str">
        <f aca="false">IF(F273="","",IFERROR(INDEX(Metas!$B$5:$B$54,MATCH(F273,Metas!$A$5:$A$54,0)),"⚠ ID de meta no existe"))</f>
        <v/>
      </c>
      <c r="H273" s="16" t="str">
        <f aca="false">IF(OR(C273="",D273=""),"",ROUND(MOD(D273-C273,1)*24,2))</f>
        <v/>
      </c>
      <c r="I273" s="18"/>
      <c r="J273" s="18"/>
      <c r="K273" s="18"/>
    </row>
    <row r="274" customFormat="false" ht="15" hidden="false" customHeight="false" outlineLevel="0" collapsed="false">
      <c r="A274" s="17"/>
      <c r="B274" s="18"/>
      <c r="C274" s="19"/>
      <c r="D274" s="19"/>
      <c r="E274" s="18"/>
      <c r="F274" s="18"/>
      <c r="G274" s="13" t="str">
        <f aca="false">IF(F274="","",IFERROR(INDEX(Metas!$B$5:$B$54,MATCH(F274,Metas!$A$5:$A$54,0)),"⚠ ID de meta no existe"))</f>
        <v/>
      </c>
      <c r="H274" s="16" t="str">
        <f aca="false">IF(OR(C274="",D274=""),"",ROUND(MOD(D274-C274,1)*24,2))</f>
        <v/>
      </c>
      <c r="I274" s="18"/>
      <c r="J274" s="18"/>
      <c r="K274" s="18"/>
    </row>
    <row r="275" customFormat="false" ht="15" hidden="false" customHeight="false" outlineLevel="0" collapsed="false">
      <c r="A275" s="17"/>
      <c r="B275" s="18"/>
      <c r="C275" s="19"/>
      <c r="D275" s="19"/>
      <c r="E275" s="18"/>
      <c r="F275" s="18"/>
      <c r="G275" s="13" t="str">
        <f aca="false">IF(F275="","",IFERROR(INDEX(Metas!$B$5:$B$54,MATCH(F275,Metas!$A$5:$A$54,0)),"⚠ ID de meta no existe"))</f>
        <v/>
      </c>
      <c r="H275" s="16" t="str">
        <f aca="false">IF(OR(C275="",D275=""),"",ROUND(MOD(D275-C275,1)*24,2))</f>
        <v/>
      </c>
      <c r="I275" s="18"/>
      <c r="J275" s="18"/>
      <c r="K275" s="18"/>
    </row>
    <row r="276" customFormat="false" ht="15" hidden="false" customHeight="false" outlineLevel="0" collapsed="false">
      <c r="A276" s="17"/>
      <c r="B276" s="18"/>
      <c r="C276" s="19"/>
      <c r="D276" s="19"/>
      <c r="E276" s="18"/>
      <c r="F276" s="18"/>
      <c r="G276" s="13" t="str">
        <f aca="false">IF(F276="","",IFERROR(INDEX(Metas!$B$5:$B$54,MATCH(F276,Metas!$A$5:$A$54,0)),"⚠ ID de meta no existe"))</f>
        <v/>
      </c>
      <c r="H276" s="16" t="str">
        <f aca="false">IF(OR(C276="",D276=""),"",ROUND(MOD(D276-C276,1)*24,2))</f>
        <v/>
      </c>
      <c r="I276" s="18"/>
      <c r="J276" s="18"/>
      <c r="K276" s="18"/>
    </row>
    <row r="277" customFormat="false" ht="15" hidden="false" customHeight="false" outlineLevel="0" collapsed="false">
      <c r="A277" s="17"/>
      <c r="B277" s="18"/>
      <c r="C277" s="19"/>
      <c r="D277" s="19"/>
      <c r="E277" s="18"/>
      <c r="F277" s="18"/>
      <c r="G277" s="13" t="str">
        <f aca="false">IF(F277="","",IFERROR(INDEX(Metas!$B$5:$B$54,MATCH(F277,Metas!$A$5:$A$54,0)),"⚠ ID de meta no existe"))</f>
        <v/>
      </c>
      <c r="H277" s="16" t="str">
        <f aca="false">IF(OR(C277="",D277=""),"",ROUND(MOD(D277-C277,1)*24,2))</f>
        <v/>
      </c>
      <c r="I277" s="18"/>
      <c r="J277" s="18"/>
      <c r="K277" s="18"/>
    </row>
    <row r="278" customFormat="false" ht="15" hidden="false" customHeight="false" outlineLevel="0" collapsed="false">
      <c r="A278" s="17"/>
      <c r="B278" s="18"/>
      <c r="C278" s="19"/>
      <c r="D278" s="19"/>
      <c r="E278" s="18"/>
      <c r="F278" s="18"/>
      <c r="G278" s="13" t="str">
        <f aca="false">IF(F278="","",IFERROR(INDEX(Metas!$B$5:$B$54,MATCH(F278,Metas!$A$5:$A$54,0)),"⚠ ID de meta no existe"))</f>
        <v/>
      </c>
      <c r="H278" s="16" t="str">
        <f aca="false">IF(OR(C278="",D278=""),"",ROUND(MOD(D278-C278,1)*24,2))</f>
        <v/>
      </c>
      <c r="I278" s="18"/>
      <c r="J278" s="18"/>
      <c r="K278" s="18"/>
    </row>
    <row r="279" customFormat="false" ht="15" hidden="false" customHeight="false" outlineLevel="0" collapsed="false">
      <c r="A279" s="17"/>
      <c r="B279" s="18"/>
      <c r="C279" s="19"/>
      <c r="D279" s="19"/>
      <c r="E279" s="18"/>
      <c r="F279" s="18"/>
      <c r="G279" s="13" t="str">
        <f aca="false">IF(F279="","",IFERROR(INDEX(Metas!$B$5:$B$54,MATCH(F279,Metas!$A$5:$A$54,0)),"⚠ ID de meta no existe"))</f>
        <v/>
      </c>
      <c r="H279" s="16" t="str">
        <f aca="false">IF(OR(C279="",D279=""),"",ROUND(MOD(D279-C279,1)*24,2))</f>
        <v/>
      </c>
      <c r="I279" s="18"/>
      <c r="J279" s="18"/>
      <c r="K279" s="18"/>
    </row>
    <row r="280" customFormat="false" ht="15" hidden="false" customHeight="false" outlineLevel="0" collapsed="false">
      <c r="A280" s="17"/>
      <c r="B280" s="18"/>
      <c r="C280" s="19"/>
      <c r="D280" s="19"/>
      <c r="E280" s="18"/>
      <c r="F280" s="18"/>
      <c r="G280" s="13" t="str">
        <f aca="false">IF(F280="","",IFERROR(INDEX(Metas!$B$5:$B$54,MATCH(F280,Metas!$A$5:$A$54,0)),"⚠ ID de meta no existe"))</f>
        <v/>
      </c>
      <c r="H280" s="16" t="str">
        <f aca="false">IF(OR(C280="",D280=""),"",ROUND(MOD(D280-C280,1)*24,2))</f>
        <v/>
      </c>
      <c r="I280" s="18"/>
      <c r="J280" s="18"/>
      <c r="K280" s="18"/>
    </row>
    <row r="281" customFormat="false" ht="15" hidden="false" customHeight="false" outlineLevel="0" collapsed="false">
      <c r="A281" s="17"/>
      <c r="B281" s="18"/>
      <c r="C281" s="19"/>
      <c r="D281" s="19"/>
      <c r="E281" s="18"/>
      <c r="F281" s="18"/>
      <c r="G281" s="13" t="str">
        <f aca="false">IF(F281="","",IFERROR(INDEX(Metas!$B$5:$B$54,MATCH(F281,Metas!$A$5:$A$54,0)),"⚠ ID de meta no existe"))</f>
        <v/>
      </c>
      <c r="H281" s="16" t="str">
        <f aca="false">IF(OR(C281="",D281=""),"",ROUND(MOD(D281-C281,1)*24,2))</f>
        <v/>
      </c>
      <c r="I281" s="18"/>
      <c r="J281" s="18"/>
      <c r="K281" s="18"/>
    </row>
    <row r="282" customFormat="false" ht="15" hidden="false" customHeight="false" outlineLevel="0" collapsed="false">
      <c r="A282" s="17"/>
      <c r="B282" s="18"/>
      <c r="C282" s="19"/>
      <c r="D282" s="19"/>
      <c r="E282" s="18"/>
      <c r="F282" s="18"/>
      <c r="G282" s="13" t="str">
        <f aca="false">IF(F282="","",IFERROR(INDEX(Metas!$B$5:$B$54,MATCH(F282,Metas!$A$5:$A$54,0)),"⚠ ID de meta no existe"))</f>
        <v/>
      </c>
      <c r="H282" s="16" t="str">
        <f aca="false">IF(OR(C282="",D282=""),"",ROUND(MOD(D282-C282,1)*24,2))</f>
        <v/>
      </c>
      <c r="I282" s="18"/>
      <c r="J282" s="18"/>
      <c r="K282" s="18"/>
    </row>
    <row r="283" customFormat="false" ht="15" hidden="false" customHeight="false" outlineLevel="0" collapsed="false">
      <c r="A283" s="17"/>
      <c r="B283" s="18"/>
      <c r="C283" s="19"/>
      <c r="D283" s="19"/>
      <c r="E283" s="18"/>
      <c r="F283" s="18"/>
      <c r="G283" s="13" t="str">
        <f aca="false">IF(F283="","",IFERROR(INDEX(Metas!$B$5:$B$54,MATCH(F283,Metas!$A$5:$A$54,0)),"⚠ ID de meta no existe"))</f>
        <v/>
      </c>
      <c r="H283" s="16" t="str">
        <f aca="false">IF(OR(C283="",D283=""),"",ROUND(MOD(D283-C283,1)*24,2))</f>
        <v/>
      </c>
      <c r="I283" s="18"/>
      <c r="J283" s="18"/>
      <c r="K283" s="18"/>
    </row>
    <row r="284" customFormat="false" ht="15" hidden="false" customHeight="false" outlineLevel="0" collapsed="false">
      <c r="A284" s="17"/>
      <c r="B284" s="18"/>
      <c r="C284" s="19"/>
      <c r="D284" s="19"/>
      <c r="E284" s="18"/>
      <c r="F284" s="18"/>
      <c r="G284" s="13" t="str">
        <f aca="false">IF(F284="","",IFERROR(INDEX(Metas!$B$5:$B$54,MATCH(F284,Metas!$A$5:$A$54,0)),"⚠ ID de meta no existe"))</f>
        <v/>
      </c>
      <c r="H284" s="16" t="str">
        <f aca="false">IF(OR(C284="",D284=""),"",ROUND(MOD(D284-C284,1)*24,2))</f>
        <v/>
      </c>
      <c r="I284" s="18"/>
      <c r="J284" s="18"/>
      <c r="K284" s="18"/>
    </row>
    <row r="285" customFormat="false" ht="15" hidden="false" customHeight="false" outlineLevel="0" collapsed="false">
      <c r="A285" s="17"/>
      <c r="B285" s="18"/>
      <c r="C285" s="19"/>
      <c r="D285" s="19"/>
      <c r="E285" s="18"/>
      <c r="F285" s="18"/>
      <c r="G285" s="13" t="str">
        <f aca="false">IF(F285="","",IFERROR(INDEX(Metas!$B$5:$B$54,MATCH(F285,Metas!$A$5:$A$54,0)),"⚠ ID de meta no existe"))</f>
        <v/>
      </c>
      <c r="H285" s="16" t="str">
        <f aca="false">IF(OR(C285="",D285=""),"",ROUND(MOD(D285-C285,1)*24,2))</f>
        <v/>
      </c>
      <c r="I285" s="18"/>
      <c r="J285" s="18"/>
      <c r="K285" s="18"/>
    </row>
    <row r="286" customFormat="false" ht="15" hidden="false" customHeight="false" outlineLevel="0" collapsed="false">
      <c r="A286" s="17"/>
      <c r="B286" s="18"/>
      <c r="C286" s="19"/>
      <c r="D286" s="19"/>
      <c r="E286" s="18"/>
      <c r="F286" s="18"/>
      <c r="G286" s="13" t="str">
        <f aca="false">IF(F286="","",IFERROR(INDEX(Metas!$B$5:$B$54,MATCH(F286,Metas!$A$5:$A$54,0)),"⚠ ID de meta no existe"))</f>
        <v/>
      </c>
      <c r="H286" s="16" t="str">
        <f aca="false">IF(OR(C286="",D286=""),"",ROUND(MOD(D286-C286,1)*24,2))</f>
        <v/>
      </c>
      <c r="I286" s="18"/>
      <c r="J286" s="18"/>
      <c r="K286" s="18"/>
    </row>
    <row r="287" customFormat="false" ht="15" hidden="false" customHeight="false" outlineLevel="0" collapsed="false">
      <c r="A287" s="17"/>
      <c r="B287" s="18"/>
      <c r="C287" s="19"/>
      <c r="D287" s="19"/>
      <c r="E287" s="18"/>
      <c r="F287" s="18"/>
      <c r="G287" s="13" t="str">
        <f aca="false">IF(F287="","",IFERROR(INDEX(Metas!$B$5:$B$54,MATCH(F287,Metas!$A$5:$A$54,0)),"⚠ ID de meta no existe"))</f>
        <v/>
      </c>
      <c r="H287" s="16" t="str">
        <f aca="false">IF(OR(C287="",D287=""),"",ROUND(MOD(D287-C287,1)*24,2))</f>
        <v/>
      </c>
      <c r="I287" s="18"/>
      <c r="J287" s="18"/>
      <c r="K287" s="18"/>
    </row>
    <row r="288" customFormat="false" ht="15" hidden="false" customHeight="false" outlineLevel="0" collapsed="false">
      <c r="A288" s="17"/>
      <c r="B288" s="18"/>
      <c r="C288" s="19"/>
      <c r="D288" s="19"/>
      <c r="E288" s="18"/>
      <c r="F288" s="18"/>
      <c r="G288" s="13" t="str">
        <f aca="false">IF(F288="","",IFERROR(INDEX(Metas!$B$5:$B$54,MATCH(F288,Metas!$A$5:$A$54,0)),"⚠ ID de meta no existe"))</f>
        <v/>
      </c>
      <c r="H288" s="16" t="str">
        <f aca="false">IF(OR(C288="",D288=""),"",ROUND(MOD(D288-C288,1)*24,2))</f>
        <v/>
      </c>
      <c r="I288" s="18"/>
      <c r="J288" s="18"/>
      <c r="K288" s="18"/>
    </row>
    <row r="289" customFormat="false" ht="15" hidden="false" customHeight="false" outlineLevel="0" collapsed="false">
      <c r="A289" s="17"/>
      <c r="B289" s="18"/>
      <c r="C289" s="19"/>
      <c r="D289" s="19"/>
      <c r="E289" s="18"/>
      <c r="F289" s="18"/>
      <c r="G289" s="13" t="str">
        <f aca="false">IF(F289="","",IFERROR(INDEX(Metas!$B$5:$B$54,MATCH(F289,Metas!$A$5:$A$54,0)),"⚠ ID de meta no existe"))</f>
        <v/>
      </c>
      <c r="H289" s="16" t="str">
        <f aca="false">IF(OR(C289="",D289=""),"",ROUND(MOD(D289-C289,1)*24,2))</f>
        <v/>
      </c>
      <c r="I289" s="18"/>
      <c r="J289" s="18"/>
      <c r="K289" s="18"/>
    </row>
    <row r="290" customFormat="false" ht="15" hidden="false" customHeight="false" outlineLevel="0" collapsed="false">
      <c r="A290" s="17"/>
      <c r="B290" s="18"/>
      <c r="C290" s="19"/>
      <c r="D290" s="19"/>
      <c r="E290" s="18"/>
      <c r="F290" s="18"/>
      <c r="G290" s="13" t="str">
        <f aca="false">IF(F290="","",IFERROR(INDEX(Metas!$B$5:$B$54,MATCH(F290,Metas!$A$5:$A$54,0)),"⚠ ID de meta no existe"))</f>
        <v/>
      </c>
      <c r="H290" s="16" t="str">
        <f aca="false">IF(OR(C290="",D290=""),"",ROUND(MOD(D290-C290,1)*24,2))</f>
        <v/>
      </c>
      <c r="I290" s="18"/>
      <c r="J290" s="18"/>
      <c r="K290" s="18"/>
    </row>
    <row r="291" customFormat="false" ht="15" hidden="false" customHeight="false" outlineLevel="0" collapsed="false">
      <c r="A291" s="17"/>
      <c r="B291" s="18"/>
      <c r="C291" s="19"/>
      <c r="D291" s="19"/>
      <c r="E291" s="18"/>
      <c r="F291" s="18"/>
      <c r="G291" s="13" t="str">
        <f aca="false">IF(F291="","",IFERROR(INDEX(Metas!$B$5:$B$54,MATCH(F291,Metas!$A$5:$A$54,0)),"⚠ ID de meta no existe"))</f>
        <v/>
      </c>
      <c r="H291" s="16" t="str">
        <f aca="false">IF(OR(C291="",D291=""),"",ROUND(MOD(D291-C291,1)*24,2))</f>
        <v/>
      </c>
      <c r="I291" s="18"/>
      <c r="J291" s="18"/>
      <c r="K291" s="18"/>
    </row>
    <row r="292" customFormat="false" ht="15" hidden="false" customHeight="false" outlineLevel="0" collapsed="false">
      <c r="A292" s="17"/>
      <c r="B292" s="18"/>
      <c r="C292" s="19"/>
      <c r="D292" s="19"/>
      <c r="E292" s="18"/>
      <c r="F292" s="18"/>
      <c r="G292" s="13" t="str">
        <f aca="false">IF(F292="","",IFERROR(INDEX(Metas!$B$5:$B$54,MATCH(F292,Metas!$A$5:$A$54,0)),"⚠ ID de meta no existe"))</f>
        <v/>
      </c>
      <c r="H292" s="16" t="str">
        <f aca="false">IF(OR(C292="",D292=""),"",ROUND(MOD(D292-C292,1)*24,2))</f>
        <v/>
      </c>
      <c r="I292" s="18"/>
      <c r="J292" s="18"/>
      <c r="K292" s="18"/>
    </row>
    <row r="293" customFormat="false" ht="15" hidden="false" customHeight="false" outlineLevel="0" collapsed="false">
      <c r="A293" s="17"/>
      <c r="B293" s="18"/>
      <c r="C293" s="19"/>
      <c r="D293" s="19"/>
      <c r="E293" s="18"/>
      <c r="F293" s="18"/>
      <c r="G293" s="13" t="str">
        <f aca="false">IF(F293="","",IFERROR(INDEX(Metas!$B$5:$B$54,MATCH(F293,Metas!$A$5:$A$54,0)),"⚠ ID de meta no existe"))</f>
        <v/>
      </c>
      <c r="H293" s="16" t="str">
        <f aca="false">IF(OR(C293="",D293=""),"",ROUND(MOD(D293-C293,1)*24,2))</f>
        <v/>
      </c>
      <c r="I293" s="18"/>
      <c r="J293" s="18"/>
      <c r="K293" s="18"/>
    </row>
    <row r="294" customFormat="false" ht="15" hidden="false" customHeight="false" outlineLevel="0" collapsed="false">
      <c r="A294" s="17"/>
      <c r="B294" s="18"/>
      <c r="C294" s="19"/>
      <c r="D294" s="19"/>
      <c r="E294" s="18"/>
      <c r="F294" s="18"/>
      <c r="G294" s="13" t="str">
        <f aca="false">IF(F294="","",IFERROR(INDEX(Metas!$B$5:$B$54,MATCH(F294,Metas!$A$5:$A$54,0)),"⚠ ID de meta no existe"))</f>
        <v/>
      </c>
      <c r="H294" s="16" t="str">
        <f aca="false">IF(OR(C294="",D294=""),"",ROUND(MOD(D294-C294,1)*24,2))</f>
        <v/>
      </c>
      <c r="I294" s="18"/>
      <c r="J294" s="18"/>
      <c r="K294" s="18"/>
    </row>
    <row r="295" customFormat="false" ht="15" hidden="false" customHeight="false" outlineLevel="0" collapsed="false">
      <c r="A295" s="17"/>
      <c r="B295" s="18"/>
      <c r="C295" s="19"/>
      <c r="D295" s="19"/>
      <c r="E295" s="18"/>
      <c r="F295" s="18"/>
      <c r="G295" s="13" t="str">
        <f aca="false">IF(F295="","",IFERROR(INDEX(Metas!$B$5:$B$54,MATCH(F295,Metas!$A$5:$A$54,0)),"⚠ ID de meta no existe"))</f>
        <v/>
      </c>
      <c r="H295" s="16" t="str">
        <f aca="false">IF(OR(C295="",D295=""),"",ROUND(MOD(D295-C295,1)*24,2))</f>
        <v/>
      </c>
      <c r="I295" s="18"/>
      <c r="J295" s="18"/>
      <c r="K295" s="18"/>
    </row>
    <row r="296" customFormat="false" ht="15" hidden="false" customHeight="false" outlineLevel="0" collapsed="false">
      <c r="A296" s="17"/>
      <c r="B296" s="18"/>
      <c r="C296" s="19"/>
      <c r="D296" s="19"/>
      <c r="E296" s="18"/>
      <c r="F296" s="18"/>
      <c r="G296" s="13" t="str">
        <f aca="false">IF(F296="","",IFERROR(INDEX(Metas!$B$5:$B$54,MATCH(F296,Metas!$A$5:$A$54,0)),"⚠ ID de meta no existe"))</f>
        <v/>
      </c>
      <c r="H296" s="16" t="str">
        <f aca="false">IF(OR(C296="",D296=""),"",ROUND(MOD(D296-C296,1)*24,2))</f>
        <v/>
      </c>
      <c r="I296" s="18"/>
      <c r="J296" s="18"/>
      <c r="K296" s="18"/>
    </row>
    <row r="297" customFormat="false" ht="15" hidden="false" customHeight="false" outlineLevel="0" collapsed="false">
      <c r="A297" s="17"/>
      <c r="B297" s="18"/>
      <c r="C297" s="19"/>
      <c r="D297" s="19"/>
      <c r="E297" s="18"/>
      <c r="F297" s="18"/>
      <c r="G297" s="13" t="str">
        <f aca="false">IF(F297="","",IFERROR(INDEX(Metas!$B$5:$B$54,MATCH(F297,Metas!$A$5:$A$54,0)),"⚠ ID de meta no existe"))</f>
        <v/>
      </c>
      <c r="H297" s="16" t="str">
        <f aca="false">IF(OR(C297="",D297=""),"",ROUND(MOD(D297-C297,1)*24,2))</f>
        <v/>
      </c>
      <c r="I297" s="18"/>
      <c r="J297" s="18"/>
      <c r="K297" s="18"/>
    </row>
    <row r="298" customFormat="false" ht="15" hidden="false" customHeight="false" outlineLevel="0" collapsed="false">
      <c r="A298" s="17"/>
      <c r="B298" s="18"/>
      <c r="C298" s="19"/>
      <c r="D298" s="19"/>
      <c r="E298" s="18"/>
      <c r="F298" s="18"/>
      <c r="G298" s="13" t="str">
        <f aca="false">IF(F298="","",IFERROR(INDEX(Metas!$B$5:$B$54,MATCH(F298,Metas!$A$5:$A$54,0)),"⚠ ID de meta no existe"))</f>
        <v/>
      </c>
      <c r="H298" s="16" t="str">
        <f aca="false">IF(OR(C298="",D298=""),"",ROUND(MOD(D298-C298,1)*24,2))</f>
        <v/>
      </c>
      <c r="I298" s="18"/>
      <c r="J298" s="18"/>
      <c r="K298" s="18"/>
    </row>
    <row r="299" customFormat="false" ht="15" hidden="false" customHeight="false" outlineLevel="0" collapsed="false">
      <c r="A299" s="17"/>
      <c r="B299" s="18"/>
      <c r="C299" s="19"/>
      <c r="D299" s="19"/>
      <c r="E299" s="18"/>
      <c r="F299" s="18"/>
      <c r="G299" s="13" t="str">
        <f aca="false">IF(F299="","",IFERROR(INDEX(Metas!$B$5:$B$54,MATCH(F299,Metas!$A$5:$A$54,0)),"⚠ ID de meta no existe"))</f>
        <v/>
      </c>
      <c r="H299" s="16" t="str">
        <f aca="false">IF(OR(C299="",D299=""),"",ROUND(MOD(D299-C299,1)*24,2))</f>
        <v/>
      </c>
      <c r="I299" s="18"/>
      <c r="J299" s="18"/>
      <c r="K299" s="18"/>
    </row>
    <row r="300" customFormat="false" ht="15" hidden="false" customHeight="false" outlineLevel="0" collapsed="false">
      <c r="A300" s="17"/>
      <c r="B300" s="18"/>
      <c r="C300" s="19"/>
      <c r="D300" s="19"/>
      <c r="E300" s="18"/>
      <c r="F300" s="18"/>
      <c r="G300" s="13" t="str">
        <f aca="false">IF(F300="","",IFERROR(INDEX(Metas!$B$5:$B$54,MATCH(F300,Metas!$A$5:$A$54,0)),"⚠ ID de meta no existe"))</f>
        <v/>
      </c>
      <c r="H300" s="16" t="str">
        <f aca="false">IF(OR(C300="",D300=""),"",ROUND(MOD(D300-C300,1)*24,2))</f>
        <v/>
      </c>
      <c r="I300" s="18"/>
      <c r="J300" s="18"/>
      <c r="K300" s="18"/>
    </row>
    <row r="301" customFormat="false" ht="15" hidden="false" customHeight="false" outlineLevel="0" collapsed="false">
      <c r="A301" s="17"/>
      <c r="B301" s="18"/>
      <c r="C301" s="19"/>
      <c r="D301" s="19"/>
      <c r="E301" s="18"/>
      <c r="F301" s="18"/>
      <c r="G301" s="13" t="str">
        <f aca="false">IF(F301="","",IFERROR(INDEX(Metas!$B$5:$B$54,MATCH(F301,Metas!$A$5:$A$54,0)),"⚠ ID de meta no existe"))</f>
        <v/>
      </c>
      <c r="H301" s="16" t="str">
        <f aca="false">IF(OR(C301="",D301=""),"",ROUND(MOD(D301-C301,1)*24,2))</f>
        <v/>
      </c>
      <c r="I301" s="18"/>
      <c r="J301" s="18"/>
      <c r="K301" s="18"/>
    </row>
    <row r="302" customFormat="false" ht="15" hidden="false" customHeight="false" outlineLevel="0" collapsed="false">
      <c r="A302" s="17"/>
      <c r="B302" s="18"/>
      <c r="C302" s="19"/>
      <c r="D302" s="19"/>
      <c r="E302" s="18"/>
      <c r="F302" s="18"/>
      <c r="G302" s="13" t="str">
        <f aca="false">IF(F302="","",IFERROR(INDEX(Metas!$B$5:$B$54,MATCH(F302,Metas!$A$5:$A$54,0)),"⚠ ID de meta no existe"))</f>
        <v/>
      </c>
      <c r="H302" s="16" t="str">
        <f aca="false">IF(OR(C302="",D302=""),"",ROUND(MOD(D302-C302,1)*24,2))</f>
        <v/>
      </c>
      <c r="I302" s="18"/>
      <c r="J302" s="18"/>
      <c r="K302" s="18"/>
    </row>
    <row r="303" customFormat="false" ht="15" hidden="false" customHeight="false" outlineLevel="0" collapsed="false">
      <c r="A303" s="17"/>
      <c r="B303" s="18"/>
      <c r="C303" s="19"/>
      <c r="D303" s="19"/>
      <c r="E303" s="18"/>
      <c r="F303" s="18"/>
      <c r="G303" s="13" t="str">
        <f aca="false">IF(F303="","",IFERROR(INDEX(Metas!$B$5:$B$54,MATCH(F303,Metas!$A$5:$A$54,0)),"⚠ ID de meta no existe"))</f>
        <v/>
      </c>
      <c r="H303" s="16" t="str">
        <f aca="false">IF(OR(C303="",D303=""),"",ROUND(MOD(D303-C303,1)*24,2))</f>
        <v/>
      </c>
      <c r="I303" s="18"/>
      <c r="J303" s="18"/>
      <c r="K303" s="18"/>
    </row>
    <row r="304" customFormat="false" ht="15" hidden="false" customHeight="false" outlineLevel="0" collapsed="false">
      <c r="A304" s="17"/>
      <c r="B304" s="18"/>
      <c r="C304" s="19"/>
      <c r="D304" s="19"/>
      <c r="E304" s="18"/>
      <c r="F304" s="18"/>
      <c r="G304" s="13" t="str">
        <f aca="false">IF(F304="","",IFERROR(INDEX(Metas!$B$5:$B$54,MATCH(F304,Metas!$A$5:$A$54,0)),"⚠ ID de meta no existe"))</f>
        <v/>
      </c>
      <c r="H304" s="16" t="str">
        <f aca="false">IF(OR(C304="",D304=""),"",ROUND(MOD(D304-C304,1)*24,2))</f>
        <v/>
      </c>
      <c r="I304" s="18"/>
      <c r="J304" s="18"/>
      <c r="K304" s="18"/>
    </row>
    <row r="305" customFormat="false" ht="15" hidden="false" customHeight="false" outlineLevel="0" collapsed="false">
      <c r="A305" s="17"/>
      <c r="B305" s="18"/>
      <c r="C305" s="19"/>
      <c r="D305" s="19"/>
      <c r="E305" s="18"/>
      <c r="F305" s="18"/>
      <c r="G305" s="13" t="str">
        <f aca="false">IF(F305="","",IFERROR(INDEX(Metas!$B$5:$B$54,MATCH(F305,Metas!$A$5:$A$54,0)),"⚠ ID de meta no existe"))</f>
        <v/>
      </c>
      <c r="H305" s="16" t="str">
        <f aca="false">IF(OR(C305="",D305=""),"",ROUND(MOD(D305-C305,1)*24,2))</f>
        <v/>
      </c>
      <c r="I305" s="18"/>
      <c r="J305" s="18"/>
      <c r="K305" s="18"/>
    </row>
    <row r="306" customFormat="false" ht="15" hidden="false" customHeight="false" outlineLevel="0" collapsed="false">
      <c r="A306" s="17"/>
      <c r="B306" s="18"/>
      <c r="C306" s="19"/>
      <c r="D306" s="19"/>
      <c r="E306" s="18"/>
      <c r="F306" s="18"/>
      <c r="G306" s="13" t="str">
        <f aca="false">IF(F306="","",IFERROR(INDEX(Metas!$B$5:$B$54,MATCH(F306,Metas!$A$5:$A$54,0)),"⚠ ID de meta no existe"))</f>
        <v/>
      </c>
      <c r="H306" s="16" t="str">
        <f aca="false">IF(OR(C306="",D306=""),"",ROUND(MOD(D306-C306,1)*24,2))</f>
        <v/>
      </c>
      <c r="I306" s="18"/>
      <c r="J306" s="18"/>
      <c r="K306" s="18"/>
    </row>
    <row r="307" customFormat="false" ht="15" hidden="false" customHeight="false" outlineLevel="0" collapsed="false">
      <c r="A307" s="17"/>
      <c r="B307" s="18"/>
      <c r="C307" s="19"/>
      <c r="D307" s="19"/>
      <c r="E307" s="18"/>
      <c r="F307" s="18"/>
      <c r="G307" s="13" t="str">
        <f aca="false">IF(F307="","",IFERROR(INDEX(Metas!$B$5:$B$54,MATCH(F307,Metas!$A$5:$A$54,0)),"⚠ ID de meta no existe"))</f>
        <v/>
      </c>
      <c r="H307" s="16" t="str">
        <f aca="false">IF(OR(C307="",D307=""),"",ROUND(MOD(D307-C307,1)*24,2))</f>
        <v/>
      </c>
      <c r="I307" s="18"/>
      <c r="J307" s="18"/>
      <c r="K307" s="18"/>
    </row>
    <row r="308" customFormat="false" ht="15" hidden="false" customHeight="false" outlineLevel="0" collapsed="false">
      <c r="A308" s="17"/>
      <c r="B308" s="18"/>
      <c r="C308" s="19"/>
      <c r="D308" s="19"/>
      <c r="E308" s="18"/>
      <c r="F308" s="18"/>
      <c r="G308" s="13" t="str">
        <f aca="false">IF(F308="","",IFERROR(INDEX(Metas!$B$5:$B$54,MATCH(F308,Metas!$A$5:$A$54,0)),"⚠ ID de meta no existe"))</f>
        <v/>
      </c>
      <c r="H308" s="16" t="str">
        <f aca="false">IF(OR(C308="",D308=""),"",ROUND(MOD(D308-C308,1)*24,2))</f>
        <v/>
      </c>
      <c r="I308" s="18"/>
      <c r="J308" s="18"/>
      <c r="K308" s="18"/>
    </row>
    <row r="309" customFormat="false" ht="15" hidden="false" customHeight="false" outlineLevel="0" collapsed="false">
      <c r="A309" s="17"/>
      <c r="B309" s="18"/>
      <c r="C309" s="19"/>
      <c r="D309" s="19"/>
      <c r="E309" s="18"/>
      <c r="F309" s="18"/>
      <c r="G309" s="13" t="str">
        <f aca="false">IF(F309="","",IFERROR(INDEX(Metas!$B$5:$B$54,MATCH(F309,Metas!$A$5:$A$54,0)),"⚠ ID de meta no existe"))</f>
        <v/>
      </c>
      <c r="H309" s="16" t="str">
        <f aca="false">IF(OR(C309="",D309=""),"",ROUND(MOD(D309-C309,1)*24,2))</f>
        <v/>
      </c>
      <c r="I309" s="18"/>
      <c r="J309" s="18"/>
      <c r="K309" s="18"/>
    </row>
    <row r="310" customFormat="false" ht="15" hidden="false" customHeight="false" outlineLevel="0" collapsed="false">
      <c r="A310" s="17"/>
      <c r="B310" s="18"/>
      <c r="C310" s="19"/>
      <c r="D310" s="19"/>
      <c r="E310" s="18"/>
      <c r="F310" s="18"/>
      <c r="G310" s="13" t="str">
        <f aca="false">IF(F310="","",IFERROR(INDEX(Metas!$B$5:$B$54,MATCH(F310,Metas!$A$5:$A$54,0)),"⚠ ID de meta no existe"))</f>
        <v/>
      </c>
      <c r="H310" s="16" t="str">
        <f aca="false">IF(OR(C310="",D310=""),"",ROUND(MOD(D310-C310,1)*24,2))</f>
        <v/>
      </c>
      <c r="I310" s="18"/>
      <c r="J310" s="18"/>
      <c r="K310" s="18"/>
    </row>
    <row r="311" customFormat="false" ht="15" hidden="false" customHeight="false" outlineLevel="0" collapsed="false">
      <c r="A311" s="17"/>
      <c r="B311" s="18"/>
      <c r="C311" s="19"/>
      <c r="D311" s="19"/>
      <c r="E311" s="18"/>
      <c r="F311" s="18"/>
      <c r="G311" s="13" t="str">
        <f aca="false">IF(F311="","",IFERROR(INDEX(Metas!$B$5:$B$54,MATCH(F311,Metas!$A$5:$A$54,0)),"⚠ ID de meta no existe"))</f>
        <v/>
      </c>
      <c r="H311" s="16" t="str">
        <f aca="false">IF(OR(C311="",D311=""),"",ROUND(MOD(D311-C311,1)*24,2))</f>
        <v/>
      </c>
      <c r="I311" s="18"/>
      <c r="J311" s="18"/>
      <c r="K311" s="18"/>
    </row>
    <row r="312" customFormat="false" ht="15" hidden="false" customHeight="false" outlineLevel="0" collapsed="false">
      <c r="A312" s="17"/>
      <c r="B312" s="18"/>
      <c r="C312" s="19"/>
      <c r="D312" s="19"/>
      <c r="E312" s="18"/>
      <c r="F312" s="18"/>
      <c r="G312" s="13" t="str">
        <f aca="false">IF(F312="","",IFERROR(INDEX(Metas!$B$5:$B$54,MATCH(F312,Metas!$A$5:$A$54,0)),"⚠ ID de meta no existe"))</f>
        <v/>
      </c>
      <c r="H312" s="16" t="str">
        <f aca="false">IF(OR(C312="",D312=""),"",ROUND(MOD(D312-C312,1)*24,2))</f>
        <v/>
      </c>
      <c r="I312" s="18"/>
      <c r="J312" s="18"/>
      <c r="K312" s="18"/>
    </row>
    <row r="313" customFormat="false" ht="15" hidden="false" customHeight="false" outlineLevel="0" collapsed="false">
      <c r="A313" s="17"/>
      <c r="B313" s="18"/>
      <c r="C313" s="19"/>
      <c r="D313" s="19"/>
      <c r="E313" s="18"/>
      <c r="F313" s="18"/>
      <c r="G313" s="13" t="str">
        <f aca="false">IF(F313="","",IFERROR(INDEX(Metas!$B$5:$B$54,MATCH(F313,Metas!$A$5:$A$54,0)),"⚠ ID de meta no existe"))</f>
        <v/>
      </c>
      <c r="H313" s="16" t="str">
        <f aca="false">IF(OR(C313="",D313=""),"",ROUND(MOD(D313-C313,1)*24,2))</f>
        <v/>
      </c>
      <c r="I313" s="18"/>
      <c r="J313" s="18"/>
      <c r="K313" s="18"/>
    </row>
    <row r="314" customFormat="false" ht="15" hidden="false" customHeight="false" outlineLevel="0" collapsed="false">
      <c r="A314" s="17"/>
      <c r="B314" s="18"/>
      <c r="C314" s="19"/>
      <c r="D314" s="19"/>
      <c r="E314" s="18"/>
      <c r="F314" s="18"/>
      <c r="G314" s="13" t="str">
        <f aca="false">IF(F314="","",IFERROR(INDEX(Metas!$B$5:$B$54,MATCH(F314,Metas!$A$5:$A$54,0)),"⚠ ID de meta no existe"))</f>
        <v/>
      </c>
      <c r="H314" s="16" t="str">
        <f aca="false">IF(OR(C314="",D314=""),"",ROUND(MOD(D314-C314,1)*24,2))</f>
        <v/>
      </c>
      <c r="I314" s="18"/>
      <c r="J314" s="18"/>
      <c r="K314" s="18"/>
    </row>
    <row r="315" customFormat="false" ht="15" hidden="false" customHeight="false" outlineLevel="0" collapsed="false">
      <c r="A315" s="17"/>
      <c r="B315" s="18"/>
      <c r="C315" s="19"/>
      <c r="D315" s="19"/>
      <c r="E315" s="18"/>
      <c r="F315" s="18"/>
      <c r="G315" s="13" t="str">
        <f aca="false">IF(F315="","",IFERROR(INDEX(Metas!$B$5:$B$54,MATCH(F315,Metas!$A$5:$A$54,0)),"⚠ ID de meta no existe"))</f>
        <v/>
      </c>
      <c r="H315" s="16" t="str">
        <f aca="false">IF(OR(C315="",D315=""),"",ROUND(MOD(D315-C315,1)*24,2))</f>
        <v/>
      </c>
      <c r="I315" s="18"/>
      <c r="J315" s="18"/>
      <c r="K315" s="18"/>
    </row>
    <row r="316" customFormat="false" ht="15" hidden="false" customHeight="false" outlineLevel="0" collapsed="false">
      <c r="A316" s="17"/>
      <c r="B316" s="18"/>
      <c r="C316" s="19"/>
      <c r="D316" s="19"/>
      <c r="E316" s="18"/>
      <c r="F316" s="18"/>
      <c r="G316" s="13" t="str">
        <f aca="false">IF(F316="","",IFERROR(INDEX(Metas!$B$5:$B$54,MATCH(F316,Metas!$A$5:$A$54,0)),"⚠ ID de meta no existe"))</f>
        <v/>
      </c>
      <c r="H316" s="16" t="str">
        <f aca="false">IF(OR(C316="",D316=""),"",ROUND(MOD(D316-C316,1)*24,2))</f>
        <v/>
      </c>
      <c r="I316" s="18"/>
      <c r="J316" s="18"/>
      <c r="K316" s="18"/>
    </row>
    <row r="317" customFormat="false" ht="15" hidden="false" customHeight="false" outlineLevel="0" collapsed="false">
      <c r="A317" s="17"/>
      <c r="B317" s="18"/>
      <c r="C317" s="19"/>
      <c r="D317" s="19"/>
      <c r="E317" s="18"/>
      <c r="F317" s="18"/>
      <c r="G317" s="13" t="str">
        <f aca="false">IF(F317="","",IFERROR(INDEX(Metas!$B$5:$B$54,MATCH(F317,Metas!$A$5:$A$54,0)),"⚠ ID de meta no existe"))</f>
        <v/>
      </c>
      <c r="H317" s="16" t="str">
        <f aca="false">IF(OR(C317="",D317=""),"",ROUND(MOD(D317-C317,1)*24,2))</f>
        <v/>
      </c>
      <c r="I317" s="18"/>
      <c r="J317" s="18"/>
      <c r="K317" s="18"/>
    </row>
    <row r="318" customFormat="false" ht="15" hidden="false" customHeight="false" outlineLevel="0" collapsed="false">
      <c r="A318" s="17"/>
      <c r="B318" s="18"/>
      <c r="C318" s="19"/>
      <c r="D318" s="19"/>
      <c r="E318" s="18"/>
      <c r="F318" s="18"/>
      <c r="G318" s="13" t="str">
        <f aca="false">IF(F318="","",IFERROR(INDEX(Metas!$B$5:$B$54,MATCH(F318,Metas!$A$5:$A$54,0)),"⚠ ID de meta no existe"))</f>
        <v/>
      </c>
      <c r="H318" s="16" t="str">
        <f aca="false">IF(OR(C318="",D318=""),"",ROUND(MOD(D318-C318,1)*24,2))</f>
        <v/>
      </c>
      <c r="I318" s="18"/>
      <c r="J318" s="18"/>
      <c r="K318" s="18"/>
    </row>
    <row r="319" customFormat="false" ht="15" hidden="false" customHeight="false" outlineLevel="0" collapsed="false">
      <c r="A319" s="17"/>
      <c r="B319" s="18"/>
      <c r="C319" s="19"/>
      <c r="D319" s="19"/>
      <c r="E319" s="18"/>
      <c r="F319" s="18"/>
      <c r="G319" s="13" t="str">
        <f aca="false">IF(F319="","",IFERROR(INDEX(Metas!$B$5:$B$54,MATCH(F319,Metas!$A$5:$A$54,0)),"⚠ ID de meta no existe"))</f>
        <v/>
      </c>
      <c r="H319" s="16" t="str">
        <f aca="false">IF(OR(C319="",D319=""),"",ROUND(MOD(D319-C319,1)*24,2))</f>
        <v/>
      </c>
      <c r="I319" s="18"/>
      <c r="J319" s="18"/>
      <c r="K319" s="18"/>
    </row>
    <row r="320" customFormat="false" ht="15" hidden="false" customHeight="false" outlineLevel="0" collapsed="false">
      <c r="A320" s="17"/>
      <c r="B320" s="18"/>
      <c r="C320" s="19"/>
      <c r="D320" s="19"/>
      <c r="E320" s="18"/>
      <c r="F320" s="18"/>
      <c r="G320" s="13" t="str">
        <f aca="false">IF(F320="","",IFERROR(INDEX(Metas!$B$5:$B$54,MATCH(F320,Metas!$A$5:$A$54,0)),"⚠ ID de meta no existe"))</f>
        <v/>
      </c>
      <c r="H320" s="16" t="str">
        <f aca="false">IF(OR(C320="",D320=""),"",ROUND(MOD(D320-C320,1)*24,2))</f>
        <v/>
      </c>
      <c r="I320" s="18"/>
      <c r="J320" s="18"/>
      <c r="K320" s="18"/>
    </row>
    <row r="321" customFormat="false" ht="15" hidden="false" customHeight="false" outlineLevel="0" collapsed="false">
      <c r="A321" s="17"/>
      <c r="B321" s="18"/>
      <c r="C321" s="19"/>
      <c r="D321" s="19"/>
      <c r="E321" s="18"/>
      <c r="F321" s="18"/>
      <c r="G321" s="13" t="str">
        <f aca="false">IF(F321="","",IFERROR(INDEX(Metas!$B$5:$B$54,MATCH(F321,Metas!$A$5:$A$54,0)),"⚠ ID de meta no existe"))</f>
        <v/>
      </c>
      <c r="H321" s="16" t="str">
        <f aca="false">IF(OR(C321="",D321=""),"",ROUND(MOD(D321-C321,1)*24,2))</f>
        <v/>
      </c>
      <c r="I321" s="18"/>
      <c r="J321" s="18"/>
      <c r="K321" s="18"/>
    </row>
    <row r="322" customFormat="false" ht="15" hidden="false" customHeight="false" outlineLevel="0" collapsed="false">
      <c r="A322" s="17"/>
      <c r="B322" s="18"/>
      <c r="C322" s="19"/>
      <c r="D322" s="19"/>
      <c r="E322" s="18"/>
      <c r="F322" s="18"/>
      <c r="G322" s="13" t="str">
        <f aca="false">IF(F322="","",IFERROR(INDEX(Metas!$B$5:$B$54,MATCH(F322,Metas!$A$5:$A$54,0)),"⚠ ID de meta no existe"))</f>
        <v/>
      </c>
      <c r="H322" s="16" t="str">
        <f aca="false">IF(OR(C322="",D322=""),"",ROUND(MOD(D322-C322,1)*24,2))</f>
        <v/>
      </c>
      <c r="I322" s="18"/>
      <c r="J322" s="18"/>
      <c r="K322" s="18"/>
    </row>
    <row r="323" customFormat="false" ht="15" hidden="false" customHeight="false" outlineLevel="0" collapsed="false">
      <c r="A323" s="17"/>
      <c r="B323" s="18"/>
      <c r="C323" s="19"/>
      <c r="D323" s="19"/>
      <c r="E323" s="18"/>
      <c r="F323" s="18"/>
      <c r="G323" s="13" t="str">
        <f aca="false">IF(F323="","",IFERROR(INDEX(Metas!$B$5:$B$54,MATCH(F323,Metas!$A$5:$A$54,0)),"⚠ ID de meta no existe"))</f>
        <v/>
      </c>
      <c r="H323" s="16" t="str">
        <f aca="false">IF(OR(C323="",D323=""),"",ROUND(MOD(D323-C323,1)*24,2))</f>
        <v/>
      </c>
      <c r="I323" s="18"/>
      <c r="J323" s="18"/>
      <c r="K323" s="18"/>
    </row>
    <row r="324" customFormat="false" ht="15" hidden="false" customHeight="false" outlineLevel="0" collapsed="false">
      <c r="A324" s="17"/>
      <c r="B324" s="18"/>
      <c r="C324" s="19"/>
      <c r="D324" s="19"/>
      <c r="E324" s="18"/>
      <c r="F324" s="18"/>
      <c r="G324" s="13" t="str">
        <f aca="false">IF(F324="","",IFERROR(INDEX(Metas!$B$5:$B$54,MATCH(F324,Metas!$A$5:$A$54,0)),"⚠ ID de meta no existe"))</f>
        <v/>
      </c>
      <c r="H324" s="16" t="str">
        <f aca="false">IF(OR(C324="",D324=""),"",ROUND(MOD(D324-C324,1)*24,2))</f>
        <v/>
      </c>
      <c r="I324" s="18"/>
      <c r="J324" s="18"/>
      <c r="K324" s="18"/>
    </row>
    <row r="325" customFormat="false" ht="15" hidden="false" customHeight="false" outlineLevel="0" collapsed="false">
      <c r="A325" s="17"/>
      <c r="B325" s="18"/>
      <c r="C325" s="19"/>
      <c r="D325" s="19"/>
      <c r="E325" s="18"/>
      <c r="F325" s="18"/>
      <c r="G325" s="13" t="str">
        <f aca="false">IF(F325="","",IFERROR(INDEX(Metas!$B$5:$B$54,MATCH(F325,Metas!$A$5:$A$54,0)),"⚠ ID de meta no existe"))</f>
        <v/>
      </c>
      <c r="H325" s="16" t="str">
        <f aca="false">IF(OR(C325="",D325=""),"",ROUND(MOD(D325-C325,1)*24,2))</f>
        <v/>
      </c>
      <c r="I325" s="18"/>
      <c r="J325" s="18"/>
      <c r="K325" s="18"/>
    </row>
    <row r="326" customFormat="false" ht="15" hidden="false" customHeight="false" outlineLevel="0" collapsed="false">
      <c r="A326" s="17"/>
      <c r="B326" s="18"/>
      <c r="C326" s="19"/>
      <c r="D326" s="19"/>
      <c r="E326" s="18"/>
      <c r="F326" s="18"/>
      <c r="G326" s="13" t="str">
        <f aca="false">IF(F326="","",IFERROR(INDEX(Metas!$B$5:$B$54,MATCH(F326,Metas!$A$5:$A$54,0)),"⚠ ID de meta no existe"))</f>
        <v/>
      </c>
      <c r="H326" s="16" t="str">
        <f aca="false">IF(OR(C326="",D326=""),"",ROUND(MOD(D326-C326,1)*24,2))</f>
        <v/>
      </c>
      <c r="I326" s="18"/>
      <c r="J326" s="18"/>
      <c r="K326" s="18"/>
    </row>
    <row r="327" customFormat="false" ht="15" hidden="false" customHeight="false" outlineLevel="0" collapsed="false">
      <c r="A327" s="17"/>
      <c r="B327" s="18"/>
      <c r="C327" s="19"/>
      <c r="D327" s="19"/>
      <c r="E327" s="18"/>
      <c r="F327" s="18"/>
      <c r="G327" s="13" t="str">
        <f aca="false">IF(F327="","",IFERROR(INDEX(Metas!$B$5:$B$54,MATCH(F327,Metas!$A$5:$A$54,0)),"⚠ ID de meta no existe"))</f>
        <v/>
      </c>
      <c r="H327" s="16" t="str">
        <f aca="false">IF(OR(C327="",D327=""),"",ROUND(MOD(D327-C327,1)*24,2))</f>
        <v/>
      </c>
      <c r="I327" s="18"/>
      <c r="J327" s="18"/>
      <c r="K327" s="18"/>
    </row>
    <row r="328" customFormat="false" ht="15" hidden="false" customHeight="false" outlineLevel="0" collapsed="false">
      <c r="A328" s="17"/>
      <c r="B328" s="18"/>
      <c r="C328" s="19"/>
      <c r="D328" s="19"/>
      <c r="E328" s="18"/>
      <c r="F328" s="18"/>
      <c r="G328" s="13" t="str">
        <f aca="false">IF(F328="","",IFERROR(INDEX(Metas!$B$5:$B$54,MATCH(F328,Metas!$A$5:$A$54,0)),"⚠ ID de meta no existe"))</f>
        <v/>
      </c>
      <c r="H328" s="16" t="str">
        <f aca="false">IF(OR(C328="",D328=""),"",ROUND(MOD(D328-C328,1)*24,2))</f>
        <v/>
      </c>
      <c r="I328" s="18"/>
      <c r="J328" s="18"/>
      <c r="K328" s="18"/>
    </row>
    <row r="329" customFormat="false" ht="15" hidden="false" customHeight="false" outlineLevel="0" collapsed="false">
      <c r="A329" s="17"/>
      <c r="B329" s="18"/>
      <c r="C329" s="19"/>
      <c r="D329" s="19"/>
      <c r="E329" s="18"/>
      <c r="F329" s="18"/>
      <c r="G329" s="13" t="str">
        <f aca="false">IF(F329="","",IFERROR(INDEX(Metas!$B$5:$B$54,MATCH(F329,Metas!$A$5:$A$54,0)),"⚠ ID de meta no existe"))</f>
        <v/>
      </c>
      <c r="H329" s="16" t="str">
        <f aca="false">IF(OR(C329="",D329=""),"",ROUND(MOD(D329-C329,1)*24,2))</f>
        <v/>
      </c>
      <c r="I329" s="18"/>
      <c r="J329" s="18"/>
      <c r="K329" s="18"/>
    </row>
    <row r="330" customFormat="false" ht="15" hidden="false" customHeight="false" outlineLevel="0" collapsed="false">
      <c r="A330" s="17"/>
      <c r="B330" s="18"/>
      <c r="C330" s="19"/>
      <c r="D330" s="19"/>
      <c r="E330" s="18"/>
      <c r="F330" s="18"/>
      <c r="G330" s="13" t="str">
        <f aca="false">IF(F330="","",IFERROR(INDEX(Metas!$B$5:$B$54,MATCH(F330,Metas!$A$5:$A$54,0)),"⚠ ID de meta no existe"))</f>
        <v/>
      </c>
      <c r="H330" s="16" t="str">
        <f aca="false">IF(OR(C330="",D330=""),"",ROUND(MOD(D330-C330,1)*24,2))</f>
        <v/>
      </c>
      <c r="I330" s="18"/>
      <c r="J330" s="18"/>
      <c r="K330" s="18"/>
    </row>
    <row r="331" customFormat="false" ht="15" hidden="false" customHeight="false" outlineLevel="0" collapsed="false">
      <c r="A331" s="17"/>
      <c r="B331" s="18"/>
      <c r="C331" s="19"/>
      <c r="D331" s="19"/>
      <c r="E331" s="18"/>
      <c r="F331" s="18"/>
      <c r="G331" s="13" t="str">
        <f aca="false">IF(F331="","",IFERROR(INDEX(Metas!$B$5:$B$54,MATCH(F331,Metas!$A$5:$A$54,0)),"⚠ ID de meta no existe"))</f>
        <v/>
      </c>
      <c r="H331" s="16" t="str">
        <f aca="false">IF(OR(C331="",D331=""),"",ROUND(MOD(D331-C331,1)*24,2))</f>
        <v/>
      </c>
      <c r="I331" s="18"/>
      <c r="J331" s="18"/>
      <c r="K331" s="18"/>
    </row>
    <row r="332" customFormat="false" ht="15" hidden="false" customHeight="false" outlineLevel="0" collapsed="false">
      <c r="A332" s="17"/>
      <c r="B332" s="18"/>
      <c r="C332" s="19"/>
      <c r="D332" s="19"/>
      <c r="E332" s="18"/>
      <c r="F332" s="18"/>
      <c r="G332" s="13" t="str">
        <f aca="false">IF(F332="","",IFERROR(INDEX(Metas!$B$5:$B$54,MATCH(F332,Metas!$A$5:$A$54,0)),"⚠ ID de meta no existe"))</f>
        <v/>
      </c>
      <c r="H332" s="16" t="str">
        <f aca="false">IF(OR(C332="",D332=""),"",ROUND(MOD(D332-C332,1)*24,2))</f>
        <v/>
      </c>
      <c r="I332" s="18"/>
      <c r="J332" s="18"/>
      <c r="K332" s="18"/>
    </row>
    <row r="333" customFormat="false" ht="15" hidden="false" customHeight="false" outlineLevel="0" collapsed="false">
      <c r="A333" s="17"/>
      <c r="B333" s="18"/>
      <c r="C333" s="19"/>
      <c r="D333" s="19"/>
      <c r="E333" s="18"/>
      <c r="F333" s="18"/>
      <c r="G333" s="13" t="str">
        <f aca="false">IF(F333="","",IFERROR(INDEX(Metas!$B$5:$B$54,MATCH(F333,Metas!$A$5:$A$54,0)),"⚠ ID de meta no existe"))</f>
        <v/>
      </c>
      <c r="H333" s="16" t="str">
        <f aca="false">IF(OR(C333="",D333=""),"",ROUND(MOD(D333-C333,1)*24,2))</f>
        <v/>
      </c>
      <c r="I333" s="18"/>
      <c r="J333" s="18"/>
      <c r="K333" s="18"/>
    </row>
    <row r="334" customFormat="false" ht="15" hidden="false" customHeight="false" outlineLevel="0" collapsed="false">
      <c r="A334" s="17"/>
      <c r="B334" s="18"/>
      <c r="C334" s="19"/>
      <c r="D334" s="19"/>
      <c r="E334" s="18"/>
      <c r="F334" s="18"/>
      <c r="G334" s="13" t="str">
        <f aca="false">IF(F334="","",IFERROR(INDEX(Metas!$B$5:$B$54,MATCH(F334,Metas!$A$5:$A$54,0)),"⚠ ID de meta no existe"))</f>
        <v/>
      </c>
      <c r="H334" s="16" t="str">
        <f aca="false">IF(OR(C334="",D334=""),"",ROUND(MOD(D334-C334,1)*24,2))</f>
        <v/>
      </c>
      <c r="I334" s="18"/>
      <c r="J334" s="18"/>
      <c r="K334" s="18"/>
    </row>
    <row r="335" customFormat="false" ht="15" hidden="false" customHeight="false" outlineLevel="0" collapsed="false">
      <c r="A335" s="17"/>
      <c r="B335" s="18"/>
      <c r="C335" s="19"/>
      <c r="D335" s="19"/>
      <c r="E335" s="18"/>
      <c r="F335" s="18"/>
      <c r="G335" s="13" t="str">
        <f aca="false">IF(F335="","",IFERROR(INDEX(Metas!$B$5:$B$54,MATCH(F335,Metas!$A$5:$A$54,0)),"⚠ ID de meta no existe"))</f>
        <v/>
      </c>
      <c r="H335" s="16" t="str">
        <f aca="false">IF(OR(C335="",D335=""),"",ROUND(MOD(D335-C335,1)*24,2))</f>
        <v/>
      </c>
      <c r="I335" s="18"/>
      <c r="J335" s="18"/>
      <c r="K335" s="18"/>
    </row>
    <row r="336" customFormat="false" ht="15" hidden="false" customHeight="false" outlineLevel="0" collapsed="false">
      <c r="A336" s="17"/>
      <c r="B336" s="18"/>
      <c r="C336" s="19"/>
      <c r="D336" s="19"/>
      <c r="E336" s="18"/>
      <c r="F336" s="18"/>
      <c r="G336" s="13" t="str">
        <f aca="false">IF(F336="","",IFERROR(INDEX(Metas!$B$5:$B$54,MATCH(F336,Metas!$A$5:$A$54,0)),"⚠ ID de meta no existe"))</f>
        <v/>
      </c>
      <c r="H336" s="16" t="str">
        <f aca="false">IF(OR(C336="",D336=""),"",ROUND(MOD(D336-C336,1)*24,2))</f>
        <v/>
      </c>
      <c r="I336" s="18"/>
      <c r="J336" s="18"/>
      <c r="K336" s="18"/>
    </row>
    <row r="337" customFormat="false" ht="15" hidden="false" customHeight="false" outlineLevel="0" collapsed="false">
      <c r="A337" s="17"/>
      <c r="B337" s="18"/>
      <c r="C337" s="19"/>
      <c r="D337" s="19"/>
      <c r="E337" s="18"/>
      <c r="F337" s="18"/>
      <c r="G337" s="13" t="str">
        <f aca="false">IF(F337="","",IFERROR(INDEX(Metas!$B$5:$B$54,MATCH(F337,Metas!$A$5:$A$54,0)),"⚠ ID de meta no existe"))</f>
        <v/>
      </c>
      <c r="H337" s="16" t="str">
        <f aca="false">IF(OR(C337="",D337=""),"",ROUND(MOD(D337-C337,1)*24,2))</f>
        <v/>
      </c>
      <c r="I337" s="18"/>
      <c r="J337" s="18"/>
      <c r="K337" s="18"/>
    </row>
    <row r="338" customFormat="false" ht="15" hidden="false" customHeight="false" outlineLevel="0" collapsed="false">
      <c r="A338" s="17"/>
      <c r="B338" s="18"/>
      <c r="C338" s="19"/>
      <c r="D338" s="19"/>
      <c r="E338" s="18"/>
      <c r="F338" s="18"/>
      <c r="G338" s="13" t="str">
        <f aca="false">IF(F338="","",IFERROR(INDEX(Metas!$B$5:$B$54,MATCH(F338,Metas!$A$5:$A$54,0)),"⚠ ID de meta no existe"))</f>
        <v/>
      </c>
      <c r="H338" s="16" t="str">
        <f aca="false">IF(OR(C338="",D338=""),"",ROUND(MOD(D338-C338,1)*24,2))</f>
        <v/>
      </c>
      <c r="I338" s="18"/>
      <c r="J338" s="18"/>
      <c r="K338" s="18"/>
    </row>
    <row r="339" customFormat="false" ht="15" hidden="false" customHeight="false" outlineLevel="0" collapsed="false">
      <c r="A339" s="17"/>
      <c r="B339" s="18"/>
      <c r="C339" s="19"/>
      <c r="D339" s="19"/>
      <c r="E339" s="18"/>
      <c r="F339" s="18"/>
      <c r="G339" s="13" t="str">
        <f aca="false">IF(F339="","",IFERROR(INDEX(Metas!$B$5:$B$54,MATCH(F339,Metas!$A$5:$A$54,0)),"⚠ ID de meta no existe"))</f>
        <v/>
      </c>
      <c r="H339" s="16" t="str">
        <f aca="false">IF(OR(C339="",D339=""),"",ROUND(MOD(D339-C339,1)*24,2))</f>
        <v/>
      </c>
      <c r="I339" s="18"/>
      <c r="J339" s="18"/>
      <c r="K339" s="18"/>
    </row>
    <row r="340" customFormat="false" ht="15" hidden="false" customHeight="false" outlineLevel="0" collapsed="false">
      <c r="A340" s="17"/>
      <c r="B340" s="18"/>
      <c r="C340" s="19"/>
      <c r="D340" s="19"/>
      <c r="E340" s="18"/>
      <c r="F340" s="18"/>
      <c r="G340" s="13" t="str">
        <f aca="false">IF(F340="","",IFERROR(INDEX(Metas!$B$5:$B$54,MATCH(F340,Metas!$A$5:$A$54,0)),"⚠ ID de meta no existe"))</f>
        <v/>
      </c>
      <c r="H340" s="16" t="str">
        <f aca="false">IF(OR(C340="",D340=""),"",ROUND(MOD(D340-C340,1)*24,2))</f>
        <v/>
      </c>
      <c r="I340" s="18"/>
      <c r="J340" s="18"/>
      <c r="K340" s="18"/>
    </row>
    <row r="341" customFormat="false" ht="15" hidden="false" customHeight="false" outlineLevel="0" collapsed="false">
      <c r="A341" s="17"/>
      <c r="B341" s="18"/>
      <c r="C341" s="19"/>
      <c r="D341" s="19"/>
      <c r="E341" s="18"/>
      <c r="F341" s="18"/>
      <c r="G341" s="13" t="str">
        <f aca="false">IF(F341="","",IFERROR(INDEX(Metas!$B$5:$B$54,MATCH(F341,Metas!$A$5:$A$54,0)),"⚠ ID de meta no existe"))</f>
        <v/>
      </c>
      <c r="H341" s="16" t="str">
        <f aca="false">IF(OR(C341="",D341=""),"",ROUND(MOD(D341-C341,1)*24,2))</f>
        <v/>
      </c>
      <c r="I341" s="18"/>
      <c r="J341" s="18"/>
      <c r="K341" s="18"/>
    </row>
    <row r="342" customFormat="false" ht="15" hidden="false" customHeight="false" outlineLevel="0" collapsed="false">
      <c r="A342" s="17"/>
      <c r="B342" s="18"/>
      <c r="C342" s="19"/>
      <c r="D342" s="19"/>
      <c r="E342" s="18"/>
      <c r="F342" s="18"/>
      <c r="G342" s="13" t="str">
        <f aca="false">IF(F342="","",IFERROR(INDEX(Metas!$B$5:$B$54,MATCH(F342,Metas!$A$5:$A$54,0)),"⚠ ID de meta no existe"))</f>
        <v/>
      </c>
      <c r="H342" s="16" t="str">
        <f aca="false">IF(OR(C342="",D342=""),"",ROUND(MOD(D342-C342,1)*24,2))</f>
        <v/>
      </c>
      <c r="I342" s="18"/>
      <c r="J342" s="18"/>
      <c r="K342" s="18"/>
    </row>
    <row r="343" customFormat="false" ht="15" hidden="false" customHeight="false" outlineLevel="0" collapsed="false">
      <c r="A343" s="17"/>
      <c r="B343" s="18"/>
      <c r="C343" s="19"/>
      <c r="D343" s="19"/>
      <c r="E343" s="18"/>
      <c r="F343" s="18"/>
      <c r="G343" s="13" t="str">
        <f aca="false">IF(F343="","",IFERROR(INDEX(Metas!$B$5:$B$54,MATCH(F343,Metas!$A$5:$A$54,0)),"⚠ ID de meta no existe"))</f>
        <v/>
      </c>
      <c r="H343" s="16" t="str">
        <f aca="false">IF(OR(C343="",D343=""),"",ROUND(MOD(D343-C343,1)*24,2))</f>
        <v/>
      </c>
      <c r="I343" s="18"/>
      <c r="J343" s="18"/>
      <c r="K343" s="18"/>
    </row>
    <row r="344" customFormat="false" ht="15" hidden="false" customHeight="false" outlineLevel="0" collapsed="false">
      <c r="A344" s="17"/>
      <c r="B344" s="18"/>
      <c r="C344" s="19"/>
      <c r="D344" s="19"/>
      <c r="E344" s="18"/>
      <c r="F344" s="18"/>
      <c r="G344" s="13" t="str">
        <f aca="false">IF(F344="","",IFERROR(INDEX(Metas!$B$5:$B$54,MATCH(F344,Metas!$A$5:$A$54,0)),"⚠ ID de meta no existe"))</f>
        <v/>
      </c>
      <c r="H344" s="16" t="str">
        <f aca="false">IF(OR(C344="",D344=""),"",ROUND(MOD(D344-C344,1)*24,2))</f>
        <v/>
      </c>
      <c r="I344" s="18"/>
      <c r="J344" s="18"/>
      <c r="K344" s="18"/>
    </row>
    <row r="345" customFormat="false" ht="15" hidden="false" customHeight="false" outlineLevel="0" collapsed="false">
      <c r="A345" s="17"/>
      <c r="B345" s="18"/>
      <c r="C345" s="19"/>
      <c r="D345" s="19"/>
      <c r="E345" s="18"/>
      <c r="F345" s="18"/>
      <c r="G345" s="13" t="str">
        <f aca="false">IF(F345="","",IFERROR(INDEX(Metas!$B$5:$B$54,MATCH(F345,Metas!$A$5:$A$54,0)),"⚠ ID de meta no existe"))</f>
        <v/>
      </c>
      <c r="H345" s="16" t="str">
        <f aca="false">IF(OR(C345="",D345=""),"",ROUND(MOD(D345-C345,1)*24,2))</f>
        <v/>
      </c>
      <c r="I345" s="18"/>
      <c r="J345" s="18"/>
      <c r="K345" s="18"/>
    </row>
    <row r="346" customFormat="false" ht="15" hidden="false" customHeight="false" outlineLevel="0" collapsed="false">
      <c r="A346" s="17"/>
      <c r="B346" s="18"/>
      <c r="C346" s="19"/>
      <c r="D346" s="19"/>
      <c r="E346" s="18"/>
      <c r="F346" s="18"/>
      <c r="G346" s="13" t="str">
        <f aca="false">IF(F346="","",IFERROR(INDEX(Metas!$B$5:$B$54,MATCH(F346,Metas!$A$5:$A$54,0)),"⚠ ID de meta no existe"))</f>
        <v/>
      </c>
      <c r="H346" s="16" t="str">
        <f aca="false">IF(OR(C346="",D346=""),"",ROUND(MOD(D346-C346,1)*24,2))</f>
        <v/>
      </c>
      <c r="I346" s="18"/>
      <c r="J346" s="18"/>
      <c r="K346" s="18"/>
    </row>
    <row r="347" customFormat="false" ht="15" hidden="false" customHeight="false" outlineLevel="0" collapsed="false">
      <c r="A347" s="17"/>
      <c r="B347" s="18"/>
      <c r="C347" s="19"/>
      <c r="D347" s="19"/>
      <c r="E347" s="18"/>
      <c r="F347" s="18"/>
      <c r="G347" s="13" t="str">
        <f aca="false">IF(F347="","",IFERROR(INDEX(Metas!$B$5:$B$54,MATCH(F347,Metas!$A$5:$A$54,0)),"⚠ ID de meta no existe"))</f>
        <v/>
      </c>
      <c r="H347" s="16" t="str">
        <f aca="false">IF(OR(C347="",D347=""),"",ROUND(MOD(D347-C347,1)*24,2))</f>
        <v/>
      </c>
      <c r="I347" s="18"/>
      <c r="J347" s="18"/>
      <c r="K347" s="18"/>
    </row>
    <row r="348" customFormat="false" ht="15" hidden="false" customHeight="false" outlineLevel="0" collapsed="false">
      <c r="A348" s="17"/>
      <c r="B348" s="18"/>
      <c r="C348" s="19"/>
      <c r="D348" s="19"/>
      <c r="E348" s="18"/>
      <c r="F348" s="18"/>
      <c r="G348" s="13" t="str">
        <f aca="false">IF(F348="","",IFERROR(INDEX(Metas!$B$5:$B$54,MATCH(F348,Metas!$A$5:$A$54,0)),"⚠ ID de meta no existe"))</f>
        <v/>
      </c>
      <c r="H348" s="16" t="str">
        <f aca="false">IF(OR(C348="",D348=""),"",ROUND(MOD(D348-C348,1)*24,2))</f>
        <v/>
      </c>
      <c r="I348" s="18"/>
      <c r="J348" s="18"/>
      <c r="K348" s="18"/>
    </row>
    <row r="349" customFormat="false" ht="15" hidden="false" customHeight="false" outlineLevel="0" collapsed="false">
      <c r="A349" s="17"/>
      <c r="B349" s="18"/>
      <c r="C349" s="19"/>
      <c r="D349" s="19"/>
      <c r="E349" s="18"/>
      <c r="F349" s="18"/>
      <c r="G349" s="13" t="str">
        <f aca="false">IF(F349="","",IFERROR(INDEX(Metas!$B$5:$B$54,MATCH(F349,Metas!$A$5:$A$54,0)),"⚠ ID de meta no existe"))</f>
        <v/>
      </c>
      <c r="H349" s="16" t="str">
        <f aca="false">IF(OR(C349="",D349=""),"",ROUND(MOD(D349-C349,1)*24,2))</f>
        <v/>
      </c>
      <c r="I349" s="18"/>
      <c r="J349" s="18"/>
      <c r="K349" s="18"/>
    </row>
    <row r="350" customFormat="false" ht="15" hidden="false" customHeight="false" outlineLevel="0" collapsed="false">
      <c r="A350" s="17"/>
      <c r="B350" s="18"/>
      <c r="C350" s="19"/>
      <c r="D350" s="19"/>
      <c r="E350" s="18"/>
      <c r="F350" s="18"/>
      <c r="G350" s="13" t="str">
        <f aca="false">IF(F350="","",IFERROR(INDEX(Metas!$B$5:$B$54,MATCH(F350,Metas!$A$5:$A$54,0)),"⚠ ID de meta no existe"))</f>
        <v/>
      </c>
      <c r="H350" s="16" t="str">
        <f aca="false">IF(OR(C350="",D350=""),"",ROUND(MOD(D350-C350,1)*24,2))</f>
        <v/>
      </c>
      <c r="I350" s="18"/>
      <c r="J350" s="18"/>
      <c r="K350" s="18"/>
    </row>
    <row r="351" customFormat="false" ht="15" hidden="false" customHeight="false" outlineLevel="0" collapsed="false">
      <c r="A351" s="17"/>
      <c r="B351" s="18"/>
      <c r="C351" s="19"/>
      <c r="D351" s="19"/>
      <c r="E351" s="18"/>
      <c r="F351" s="18"/>
      <c r="G351" s="13" t="str">
        <f aca="false">IF(F351="","",IFERROR(INDEX(Metas!$B$5:$B$54,MATCH(F351,Metas!$A$5:$A$54,0)),"⚠ ID de meta no existe"))</f>
        <v/>
      </c>
      <c r="H351" s="16" t="str">
        <f aca="false">IF(OR(C351="",D351=""),"",ROUND(MOD(D351-C351,1)*24,2))</f>
        <v/>
      </c>
      <c r="I351" s="18"/>
      <c r="J351" s="18"/>
      <c r="K351" s="18"/>
    </row>
    <row r="352" customFormat="false" ht="15" hidden="false" customHeight="false" outlineLevel="0" collapsed="false">
      <c r="A352" s="17"/>
      <c r="B352" s="18"/>
      <c r="C352" s="19"/>
      <c r="D352" s="19"/>
      <c r="E352" s="18"/>
      <c r="F352" s="18"/>
      <c r="G352" s="13" t="str">
        <f aca="false">IF(F352="","",IFERROR(INDEX(Metas!$B$5:$B$54,MATCH(F352,Metas!$A$5:$A$54,0)),"⚠ ID de meta no existe"))</f>
        <v/>
      </c>
      <c r="H352" s="16" t="str">
        <f aca="false">IF(OR(C352="",D352=""),"",ROUND(MOD(D352-C352,1)*24,2))</f>
        <v/>
      </c>
      <c r="I352" s="18"/>
      <c r="J352" s="18"/>
      <c r="K352" s="18"/>
    </row>
    <row r="353" customFormat="false" ht="15" hidden="false" customHeight="false" outlineLevel="0" collapsed="false">
      <c r="A353" s="17"/>
      <c r="B353" s="18"/>
      <c r="C353" s="19"/>
      <c r="D353" s="19"/>
      <c r="E353" s="18"/>
      <c r="F353" s="18"/>
      <c r="G353" s="13" t="str">
        <f aca="false">IF(F353="","",IFERROR(INDEX(Metas!$B$5:$B$54,MATCH(F353,Metas!$A$5:$A$54,0)),"⚠ ID de meta no existe"))</f>
        <v/>
      </c>
      <c r="H353" s="16" t="str">
        <f aca="false">IF(OR(C353="",D353=""),"",ROUND(MOD(D353-C353,1)*24,2))</f>
        <v/>
      </c>
      <c r="I353" s="18"/>
      <c r="J353" s="18"/>
      <c r="K353" s="18"/>
    </row>
    <row r="354" customFormat="false" ht="15" hidden="false" customHeight="false" outlineLevel="0" collapsed="false">
      <c r="A354" s="17"/>
      <c r="B354" s="18"/>
      <c r="C354" s="19"/>
      <c r="D354" s="19"/>
      <c r="E354" s="18"/>
      <c r="F354" s="18"/>
      <c r="G354" s="13" t="str">
        <f aca="false">IF(F354="","",IFERROR(INDEX(Metas!$B$5:$B$54,MATCH(F354,Metas!$A$5:$A$54,0)),"⚠ ID de meta no existe"))</f>
        <v/>
      </c>
      <c r="H354" s="16" t="str">
        <f aca="false">IF(OR(C354="",D354=""),"",ROUND(MOD(D354-C354,1)*24,2))</f>
        <v/>
      </c>
      <c r="I354" s="18"/>
      <c r="J354" s="18"/>
      <c r="K354" s="18"/>
    </row>
    <row r="355" customFormat="false" ht="15" hidden="false" customHeight="false" outlineLevel="0" collapsed="false">
      <c r="A355" s="17"/>
      <c r="B355" s="18"/>
      <c r="C355" s="19"/>
      <c r="D355" s="19"/>
      <c r="E355" s="18"/>
      <c r="F355" s="18"/>
      <c r="G355" s="13" t="str">
        <f aca="false">IF(F355="","",IFERROR(INDEX(Metas!$B$5:$B$54,MATCH(F355,Metas!$A$5:$A$54,0)),"⚠ ID de meta no existe"))</f>
        <v/>
      </c>
      <c r="H355" s="16" t="str">
        <f aca="false">IF(OR(C355="",D355=""),"",ROUND(MOD(D355-C355,1)*24,2))</f>
        <v/>
      </c>
      <c r="I355" s="18"/>
      <c r="J355" s="18"/>
      <c r="K355" s="18"/>
    </row>
    <row r="356" customFormat="false" ht="15" hidden="false" customHeight="false" outlineLevel="0" collapsed="false">
      <c r="A356" s="17"/>
      <c r="B356" s="18"/>
      <c r="C356" s="19"/>
      <c r="D356" s="19"/>
      <c r="E356" s="18"/>
      <c r="F356" s="18"/>
      <c r="G356" s="13" t="str">
        <f aca="false">IF(F356="","",IFERROR(INDEX(Metas!$B$5:$B$54,MATCH(F356,Metas!$A$5:$A$54,0)),"⚠ ID de meta no existe"))</f>
        <v/>
      </c>
      <c r="H356" s="16" t="str">
        <f aca="false">IF(OR(C356="",D356=""),"",ROUND(MOD(D356-C356,1)*24,2))</f>
        <v/>
      </c>
      <c r="I356" s="18"/>
      <c r="J356" s="18"/>
      <c r="K356" s="18"/>
    </row>
    <row r="357" customFormat="false" ht="15" hidden="false" customHeight="false" outlineLevel="0" collapsed="false">
      <c r="A357" s="17"/>
      <c r="B357" s="18"/>
      <c r="C357" s="19"/>
      <c r="D357" s="19"/>
      <c r="E357" s="18"/>
      <c r="F357" s="18"/>
      <c r="G357" s="13" t="str">
        <f aca="false">IF(F357="","",IFERROR(INDEX(Metas!$B$5:$B$54,MATCH(F357,Metas!$A$5:$A$54,0)),"⚠ ID de meta no existe"))</f>
        <v/>
      </c>
      <c r="H357" s="16" t="str">
        <f aca="false">IF(OR(C357="",D357=""),"",ROUND(MOD(D357-C357,1)*24,2))</f>
        <v/>
      </c>
      <c r="I357" s="18"/>
      <c r="J357" s="18"/>
      <c r="K357" s="18"/>
    </row>
    <row r="358" customFormat="false" ht="15" hidden="false" customHeight="false" outlineLevel="0" collapsed="false">
      <c r="A358" s="17"/>
      <c r="B358" s="18"/>
      <c r="C358" s="19"/>
      <c r="D358" s="19"/>
      <c r="E358" s="18"/>
      <c r="F358" s="18"/>
      <c r="G358" s="13" t="str">
        <f aca="false">IF(F358="","",IFERROR(INDEX(Metas!$B$5:$B$54,MATCH(F358,Metas!$A$5:$A$54,0)),"⚠ ID de meta no existe"))</f>
        <v/>
      </c>
      <c r="H358" s="16" t="str">
        <f aca="false">IF(OR(C358="",D358=""),"",ROUND(MOD(D358-C358,1)*24,2))</f>
        <v/>
      </c>
      <c r="I358" s="18"/>
      <c r="J358" s="18"/>
      <c r="K358" s="18"/>
    </row>
    <row r="359" customFormat="false" ht="15" hidden="false" customHeight="false" outlineLevel="0" collapsed="false">
      <c r="A359" s="17"/>
      <c r="B359" s="18"/>
      <c r="C359" s="19"/>
      <c r="D359" s="19"/>
      <c r="E359" s="18"/>
      <c r="F359" s="18"/>
      <c r="G359" s="13" t="str">
        <f aca="false">IF(F359="","",IFERROR(INDEX(Metas!$B$5:$B$54,MATCH(F359,Metas!$A$5:$A$54,0)),"⚠ ID de meta no existe"))</f>
        <v/>
      </c>
      <c r="H359" s="16" t="str">
        <f aca="false">IF(OR(C359="",D359=""),"",ROUND(MOD(D359-C359,1)*24,2))</f>
        <v/>
      </c>
      <c r="I359" s="18"/>
      <c r="J359" s="18"/>
      <c r="K359" s="18"/>
    </row>
    <row r="360" customFormat="false" ht="15" hidden="false" customHeight="false" outlineLevel="0" collapsed="false">
      <c r="A360" s="17"/>
      <c r="B360" s="18"/>
      <c r="C360" s="19"/>
      <c r="D360" s="19"/>
      <c r="E360" s="18"/>
      <c r="F360" s="18"/>
      <c r="G360" s="13" t="str">
        <f aca="false">IF(F360="","",IFERROR(INDEX(Metas!$B$5:$B$54,MATCH(F360,Metas!$A$5:$A$54,0)),"⚠ ID de meta no existe"))</f>
        <v/>
      </c>
      <c r="H360" s="16" t="str">
        <f aca="false">IF(OR(C360="",D360=""),"",ROUND(MOD(D360-C360,1)*24,2))</f>
        <v/>
      </c>
      <c r="I360" s="18"/>
      <c r="J360" s="18"/>
      <c r="K360" s="18"/>
    </row>
    <row r="361" customFormat="false" ht="15" hidden="false" customHeight="false" outlineLevel="0" collapsed="false">
      <c r="A361" s="17"/>
      <c r="B361" s="18"/>
      <c r="C361" s="19"/>
      <c r="D361" s="19"/>
      <c r="E361" s="18"/>
      <c r="F361" s="18"/>
      <c r="G361" s="13" t="str">
        <f aca="false">IF(F361="","",IFERROR(INDEX(Metas!$B$5:$B$54,MATCH(F361,Metas!$A$5:$A$54,0)),"⚠ ID de meta no existe"))</f>
        <v/>
      </c>
      <c r="H361" s="16" t="str">
        <f aca="false">IF(OR(C361="",D361=""),"",ROUND(MOD(D361-C361,1)*24,2))</f>
        <v/>
      </c>
      <c r="I361" s="18"/>
      <c r="J361" s="18"/>
      <c r="K361" s="18"/>
    </row>
    <row r="362" customFormat="false" ht="15" hidden="false" customHeight="false" outlineLevel="0" collapsed="false">
      <c r="A362" s="17"/>
      <c r="B362" s="18"/>
      <c r="C362" s="19"/>
      <c r="D362" s="19"/>
      <c r="E362" s="18"/>
      <c r="F362" s="18"/>
      <c r="G362" s="13" t="str">
        <f aca="false">IF(F362="","",IFERROR(INDEX(Metas!$B$5:$B$54,MATCH(F362,Metas!$A$5:$A$54,0)),"⚠ ID de meta no existe"))</f>
        <v/>
      </c>
      <c r="H362" s="16" t="str">
        <f aca="false">IF(OR(C362="",D362=""),"",ROUND(MOD(D362-C362,1)*24,2))</f>
        <v/>
      </c>
      <c r="I362" s="18"/>
      <c r="J362" s="18"/>
      <c r="K362" s="18"/>
    </row>
    <row r="363" customFormat="false" ht="15" hidden="false" customHeight="false" outlineLevel="0" collapsed="false">
      <c r="A363" s="17"/>
      <c r="B363" s="18"/>
      <c r="C363" s="19"/>
      <c r="D363" s="19"/>
      <c r="E363" s="18"/>
      <c r="F363" s="18"/>
      <c r="G363" s="13" t="str">
        <f aca="false">IF(F363="","",IFERROR(INDEX(Metas!$B$5:$B$54,MATCH(F363,Metas!$A$5:$A$54,0)),"⚠ ID de meta no existe"))</f>
        <v/>
      </c>
      <c r="H363" s="16" t="str">
        <f aca="false">IF(OR(C363="",D363=""),"",ROUND(MOD(D363-C363,1)*24,2))</f>
        <v/>
      </c>
      <c r="I363" s="18"/>
      <c r="J363" s="18"/>
      <c r="K363" s="18"/>
    </row>
    <row r="364" customFormat="false" ht="15" hidden="false" customHeight="false" outlineLevel="0" collapsed="false">
      <c r="A364" s="17"/>
      <c r="B364" s="18"/>
      <c r="C364" s="19"/>
      <c r="D364" s="19"/>
      <c r="E364" s="18"/>
      <c r="F364" s="18"/>
      <c r="G364" s="13" t="str">
        <f aca="false">IF(F364="","",IFERROR(INDEX(Metas!$B$5:$B$54,MATCH(F364,Metas!$A$5:$A$54,0)),"⚠ ID de meta no existe"))</f>
        <v/>
      </c>
      <c r="H364" s="16" t="str">
        <f aca="false">IF(OR(C364="",D364=""),"",ROUND(MOD(D364-C364,1)*24,2))</f>
        <v/>
      </c>
      <c r="I364" s="18"/>
      <c r="J364" s="18"/>
      <c r="K364" s="18"/>
    </row>
    <row r="365" customFormat="false" ht="15" hidden="false" customHeight="false" outlineLevel="0" collapsed="false">
      <c r="A365" s="17"/>
      <c r="B365" s="18"/>
      <c r="C365" s="19"/>
      <c r="D365" s="19"/>
      <c r="E365" s="18"/>
      <c r="F365" s="18"/>
      <c r="G365" s="13" t="str">
        <f aca="false">IF(F365="","",IFERROR(INDEX(Metas!$B$5:$B$54,MATCH(F365,Metas!$A$5:$A$54,0)),"⚠ ID de meta no existe"))</f>
        <v/>
      </c>
      <c r="H365" s="16" t="str">
        <f aca="false">IF(OR(C365="",D365=""),"",ROUND(MOD(D365-C365,1)*24,2))</f>
        <v/>
      </c>
      <c r="I365" s="18"/>
      <c r="J365" s="18"/>
      <c r="K365" s="18"/>
    </row>
    <row r="366" customFormat="false" ht="15" hidden="false" customHeight="false" outlineLevel="0" collapsed="false">
      <c r="A366" s="17"/>
      <c r="B366" s="18"/>
      <c r="C366" s="19"/>
      <c r="D366" s="19"/>
      <c r="E366" s="18"/>
      <c r="F366" s="18"/>
      <c r="G366" s="13" t="str">
        <f aca="false">IF(F366="","",IFERROR(INDEX(Metas!$B$5:$B$54,MATCH(F366,Metas!$A$5:$A$54,0)),"⚠ ID de meta no existe"))</f>
        <v/>
      </c>
      <c r="H366" s="16" t="str">
        <f aca="false">IF(OR(C366="",D366=""),"",ROUND(MOD(D366-C366,1)*24,2))</f>
        <v/>
      </c>
      <c r="I366" s="18"/>
      <c r="J366" s="18"/>
      <c r="K366" s="18"/>
    </row>
    <row r="367" customFormat="false" ht="15" hidden="false" customHeight="false" outlineLevel="0" collapsed="false">
      <c r="A367" s="17"/>
      <c r="B367" s="18"/>
      <c r="C367" s="19"/>
      <c r="D367" s="19"/>
      <c r="E367" s="18"/>
      <c r="F367" s="18"/>
      <c r="G367" s="13" t="str">
        <f aca="false">IF(F367="","",IFERROR(INDEX(Metas!$B$5:$B$54,MATCH(F367,Metas!$A$5:$A$54,0)),"⚠ ID de meta no existe"))</f>
        <v/>
      </c>
      <c r="H367" s="16" t="str">
        <f aca="false">IF(OR(C367="",D367=""),"",ROUND(MOD(D367-C367,1)*24,2))</f>
        <v/>
      </c>
      <c r="I367" s="18"/>
      <c r="J367" s="18"/>
      <c r="K367" s="18"/>
    </row>
    <row r="368" customFormat="false" ht="15" hidden="false" customHeight="false" outlineLevel="0" collapsed="false">
      <c r="A368" s="17"/>
      <c r="B368" s="18"/>
      <c r="C368" s="19"/>
      <c r="D368" s="19"/>
      <c r="E368" s="18"/>
      <c r="F368" s="18"/>
      <c r="G368" s="13" t="str">
        <f aca="false">IF(F368="","",IFERROR(INDEX(Metas!$B$5:$B$54,MATCH(F368,Metas!$A$5:$A$54,0)),"⚠ ID de meta no existe"))</f>
        <v/>
      </c>
      <c r="H368" s="16" t="str">
        <f aca="false">IF(OR(C368="",D368=""),"",ROUND(MOD(D368-C368,1)*24,2))</f>
        <v/>
      </c>
      <c r="I368" s="18"/>
      <c r="J368" s="18"/>
      <c r="K368" s="18"/>
    </row>
    <row r="369" customFormat="false" ht="15" hidden="false" customHeight="false" outlineLevel="0" collapsed="false">
      <c r="A369" s="17"/>
      <c r="B369" s="18"/>
      <c r="C369" s="19"/>
      <c r="D369" s="19"/>
      <c r="E369" s="18"/>
      <c r="F369" s="18"/>
      <c r="G369" s="13" t="str">
        <f aca="false">IF(F369="","",IFERROR(INDEX(Metas!$B$5:$B$54,MATCH(F369,Metas!$A$5:$A$54,0)),"⚠ ID de meta no existe"))</f>
        <v/>
      </c>
      <c r="H369" s="16" t="str">
        <f aca="false">IF(OR(C369="",D369=""),"",ROUND(MOD(D369-C369,1)*24,2))</f>
        <v/>
      </c>
      <c r="I369" s="18"/>
      <c r="J369" s="18"/>
      <c r="K369" s="18"/>
    </row>
    <row r="370" customFormat="false" ht="15" hidden="false" customHeight="false" outlineLevel="0" collapsed="false">
      <c r="A370" s="17"/>
      <c r="B370" s="18"/>
      <c r="C370" s="19"/>
      <c r="D370" s="19"/>
      <c r="E370" s="18"/>
      <c r="F370" s="18"/>
      <c r="G370" s="13" t="str">
        <f aca="false">IF(F370="","",IFERROR(INDEX(Metas!$B$5:$B$54,MATCH(F370,Metas!$A$5:$A$54,0)),"⚠ ID de meta no existe"))</f>
        <v/>
      </c>
      <c r="H370" s="16" t="str">
        <f aca="false">IF(OR(C370="",D370=""),"",ROUND(MOD(D370-C370,1)*24,2))</f>
        <v/>
      </c>
      <c r="I370" s="18"/>
      <c r="J370" s="18"/>
      <c r="K370" s="18"/>
    </row>
    <row r="371" customFormat="false" ht="15" hidden="false" customHeight="false" outlineLevel="0" collapsed="false">
      <c r="A371" s="17"/>
      <c r="B371" s="18"/>
      <c r="C371" s="19"/>
      <c r="D371" s="19"/>
      <c r="E371" s="18"/>
      <c r="F371" s="18"/>
      <c r="G371" s="13" t="str">
        <f aca="false">IF(F371="","",IFERROR(INDEX(Metas!$B$5:$B$54,MATCH(F371,Metas!$A$5:$A$54,0)),"⚠ ID de meta no existe"))</f>
        <v/>
      </c>
      <c r="H371" s="16" t="str">
        <f aca="false">IF(OR(C371="",D371=""),"",ROUND(MOD(D371-C371,1)*24,2))</f>
        <v/>
      </c>
      <c r="I371" s="18"/>
      <c r="J371" s="18"/>
      <c r="K371" s="18"/>
    </row>
    <row r="372" customFormat="false" ht="15" hidden="false" customHeight="false" outlineLevel="0" collapsed="false">
      <c r="A372" s="17"/>
      <c r="B372" s="18"/>
      <c r="C372" s="19"/>
      <c r="D372" s="19"/>
      <c r="E372" s="18"/>
      <c r="F372" s="18"/>
      <c r="G372" s="13" t="str">
        <f aca="false">IF(F372="","",IFERROR(INDEX(Metas!$B$5:$B$54,MATCH(F372,Metas!$A$5:$A$54,0)),"⚠ ID de meta no existe"))</f>
        <v/>
      </c>
      <c r="H372" s="16" t="str">
        <f aca="false">IF(OR(C372="",D372=""),"",ROUND(MOD(D372-C372,1)*24,2))</f>
        <v/>
      </c>
      <c r="I372" s="18"/>
      <c r="J372" s="18"/>
      <c r="K372" s="18"/>
    </row>
    <row r="373" customFormat="false" ht="15" hidden="false" customHeight="false" outlineLevel="0" collapsed="false">
      <c r="A373" s="17"/>
      <c r="B373" s="18"/>
      <c r="C373" s="19"/>
      <c r="D373" s="19"/>
      <c r="E373" s="18"/>
      <c r="F373" s="18"/>
      <c r="G373" s="13" t="str">
        <f aca="false">IF(F373="","",IFERROR(INDEX(Metas!$B$5:$B$54,MATCH(F373,Metas!$A$5:$A$54,0)),"⚠ ID de meta no existe"))</f>
        <v/>
      </c>
      <c r="H373" s="16" t="str">
        <f aca="false">IF(OR(C373="",D373=""),"",ROUND(MOD(D373-C373,1)*24,2))</f>
        <v/>
      </c>
      <c r="I373" s="18"/>
      <c r="J373" s="18"/>
      <c r="K373" s="18"/>
    </row>
    <row r="374" customFormat="false" ht="15" hidden="false" customHeight="false" outlineLevel="0" collapsed="false">
      <c r="A374" s="17"/>
      <c r="B374" s="18"/>
      <c r="C374" s="19"/>
      <c r="D374" s="19"/>
      <c r="E374" s="18"/>
      <c r="F374" s="18"/>
      <c r="G374" s="13" t="str">
        <f aca="false">IF(F374="","",IFERROR(INDEX(Metas!$B$5:$B$54,MATCH(F374,Metas!$A$5:$A$54,0)),"⚠ ID de meta no existe"))</f>
        <v/>
      </c>
      <c r="H374" s="16" t="str">
        <f aca="false">IF(OR(C374="",D374=""),"",ROUND(MOD(D374-C374,1)*24,2))</f>
        <v/>
      </c>
      <c r="I374" s="18"/>
      <c r="J374" s="18"/>
      <c r="K374" s="18"/>
    </row>
    <row r="375" customFormat="false" ht="15" hidden="false" customHeight="false" outlineLevel="0" collapsed="false">
      <c r="A375" s="17"/>
      <c r="B375" s="18"/>
      <c r="C375" s="19"/>
      <c r="D375" s="19"/>
      <c r="E375" s="18"/>
      <c r="F375" s="18"/>
      <c r="G375" s="13" t="str">
        <f aca="false">IF(F375="","",IFERROR(INDEX(Metas!$B$5:$B$54,MATCH(F375,Metas!$A$5:$A$54,0)),"⚠ ID de meta no existe"))</f>
        <v/>
      </c>
      <c r="H375" s="16" t="str">
        <f aca="false">IF(OR(C375="",D375=""),"",ROUND(MOD(D375-C375,1)*24,2))</f>
        <v/>
      </c>
      <c r="I375" s="18"/>
      <c r="J375" s="18"/>
      <c r="K375" s="18"/>
    </row>
    <row r="376" customFormat="false" ht="15" hidden="false" customHeight="false" outlineLevel="0" collapsed="false">
      <c r="A376" s="17"/>
      <c r="B376" s="18"/>
      <c r="C376" s="19"/>
      <c r="D376" s="19"/>
      <c r="E376" s="18"/>
      <c r="F376" s="18"/>
      <c r="G376" s="13" t="str">
        <f aca="false">IF(F376="","",IFERROR(INDEX(Metas!$B$5:$B$54,MATCH(F376,Metas!$A$5:$A$54,0)),"⚠ ID de meta no existe"))</f>
        <v/>
      </c>
      <c r="H376" s="16" t="str">
        <f aca="false">IF(OR(C376="",D376=""),"",ROUND(MOD(D376-C376,1)*24,2))</f>
        <v/>
      </c>
      <c r="I376" s="18"/>
      <c r="J376" s="18"/>
      <c r="K376" s="18"/>
    </row>
    <row r="377" customFormat="false" ht="15" hidden="false" customHeight="false" outlineLevel="0" collapsed="false">
      <c r="A377" s="17"/>
      <c r="B377" s="18"/>
      <c r="C377" s="19"/>
      <c r="D377" s="19"/>
      <c r="E377" s="18"/>
      <c r="F377" s="18"/>
      <c r="G377" s="13" t="str">
        <f aca="false">IF(F377="","",IFERROR(INDEX(Metas!$B$5:$B$54,MATCH(F377,Metas!$A$5:$A$54,0)),"⚠ ID de meta no existe"))</f>
        <v/>
      </c>
      <c r="H377" s="16" t="str">
        <f aca="false">IF(OR(C377="",D377=""),"",ROUND(MOD(D377-C377,1)*24,2))</f>
        <v/>
      </c>
      <c r="I377" s="18"/>
      <c r="J377" s="18"/>
      <c r="K377" s="18"/>
    </row>
    <row r="378" customFormat="false" ht="15" hidden="false" customHeight="false" outlineLevel="0" collapsed="false">
      <c r="A378" s="17"/>
      <c r="B378" s="18"/>
      <c r="C378" s="19"/>
      <c r="D378" s="19"/>
      <c r="E378" s="18"/>
      <c r="F378" s="18"/>
      <c r="G378" s="13" t="str">
        <f aca="false">IF(F378="","",IFERROR(INDEX(Metas!$B$5:$B$54,MATCH(F378,Metas!$A$5:$A$54,0)),"⚠ ID de meta no existe"))</f>
        <v/>
      </c>
      <c r="H378" s="16" t="str">
        <f aca="false">IF(OR(C378="",D378=""),"",ROUND(MOD(D378-C378,1)*24,2))</f>
        <v/>
      </c>
      <c r="I378" s="18"/>
      <c r="J378" s="18"/>
      <c r="K378" s="18"/>
    </row>
    <row r="379" customFormat="false" ht="15" hidden="false" customHeight="false" outlineLevel="0" collapsed="false">
      <c r="A379" s="17"/>
      <c r="B379" s="18"/>
      <c r="C379" s="19"/>
      <c r="D379" s="19"/>
      <c r="E379" s="18"/>
      <c r="F379" s="18"/>
      <c r="G379" s="13" t="str">
        <f aca="false">IF(F379="","",IFERROR(INDEX(Metas!$B$5:$B$54,MATCH(F379,Metas!$A$5:$A$54,0)),"⚠ ID de meta no existe"))</f>
        <v/>
      </c>
      <c r="H379" s="16" t="str">
        <f aca="false">IF(OR(C379="",D379=""),"",ROUND(MOD(D379-C379,1)*24,2))</f>
        <v/>
      </c>
      <c r="I379" s="18"/>
      <c r="J379" s="18"/>
      <c r="K379" s="18"/>
    </row>
    <row r="380" customFormat="false" ht="15" hidden="false" customHeight="false" outlineLevel="0" collapsed="false">
      <c r="A380" s="17"/>
      <c r="B380" s="18"/>
      <c r="C380" s="19"/>
      <c r="D380" s="19"/>
      <c r="E380" s="18"/>
      <c r="F380" s="18"/>
      <c r="G380" s="13" t="str">
        <f aca="false">IF(F380="","",IFERROR(INDEX(Metas!$B$5:$B$54,MATCH(F380,Metas!$A$5:$A$54,0)),"⚠ ID de meta no existe"))</f>
        <v/>
      </c>
      <c r="H380" s="16" t="str">
        <f aca="false">IF(OR(C380="",D380=""),"",ROUND(MOD(D380-C380,1)*24,2))</f>
        <v/>
      </c>
      <c r="I380" s="18"/>
      <c r="J380" s="18"/>
      <c r="K380" s="18"/>
    </row>
    <row r="381" customFormat="false" ht="15" hidden="false" customHeight="false" outlineLevel="0" collapsed="false">
      <c r="A381" s="17"/>
      <c r="B381" s="18"/>
      <c r="C381" s="19"/>
      <c r="D381" s="19"/>
      <c r="E381" s="18"/>
      <c r="F381" s="18"/>
      <c r="G381" s="13" t="str">
        <f aca="false">IF(F381="","",IFERROR(INDEX(Metas!$B$5:$B$54,MATCH(F381,Metas!$A$5:$A$54,0)),"⚠ ID de meta no existe"))</f>
        <v/>
      </c>
      <c r="H381" s="16" t="str">
        <f aca="false">IF(OR(C381="",D381=""),"",ROUND(MOD(D381-C381,1)*24,2))</f>
        <v/>
      </c>
      <c r="I381" s="18"/>
      <c r="J381" s="18"/>
      <c r="K381" s="18"/>
    </row>
    <row r="382" customFormat="false" ht="15" hidden="false" customHeight="false" outlineLevel="0" collapsed="false">
      <c r="A382" s="17"/>
      <c r="B382" s="18"/>
      <c r="C382" s="19"/>
      <c r="D382" s="19"/>
      <c r="E382" s="18"/>
      <c r="F382" s="18"/>
      <c r="G382" s="13" t="str">
        <f aca="false">IF(F382="","",IFERROR(INDEX(Metas!$B$5:$B$54,MATCH(F382,Metas!$A$5:$A$54,0)),"⚠ ID de meta no existe"))</f>
        <v/>
      </c>
      <c r="H382" s="16" t="str">
        <f aca="false">IF(OR(C382="",D382=""),"",ROUND(MOD(D382-C382,1)*24,2))</f>
        <v/>
      </c>
      <c r="I382" s="18"/>
      <c r="J382" s="18"/>
      <c r="K382" s="18"/>
    </row>
    <row r="383" customFormat="false" ht="15" hidden="false" customHeight="false" outlineLevel="0" collapsed="false">
      <c r="A383" s="17"/>
      <c r="B383" s="18"/>
      <c r="C383" s="19"/>
      <c r="D383" s="19"/>
      <c r="E383" s="18"/>
      <c r="F383" s="18"/>
      <c r="G383" s="13" t="str">
        <f aca="false">IF(F383="","",IFERROR(INDEX(Metas!$B$5:$B$54,MATCH(F383,Metas!$A$5:$A$54,0)),"⚠ ID de meta no existe"))</f>
        <v/>
      </c>
      <c r="H383" s="16" t="str">
        <f aca="false">IF(OR(C383="",D383=""),"",ROUND(MOD(D383-C383,1)*24,2))</f>
        <v/>
      </c>
      <c r="I383" s="18"/>
      <c r="J383" s="18"/>
      <c r="K383" s="18"/>
    </row>
    <row r="384" customFormat="false" ht="15" hidden="false" customHeight="false" outlineLevel="0" collapsed="false">
      <c r="A384" s="17"/>
      <c r="B384" s="18"/>
      <c r="C384" s="19"/>
      <c r="D384" s="19"/>
      <c r="E384" s="18"/>
      <c r="F384" s="18"/>
      <c r="G384" s="13" t="str">
        <f aca="false">IF(F384="","",IFERROR(INDEX(Metas!$B$5:$B$54,MATCH(F384,Metas!$A$5:$A$54,0)),"⚠ ID de meta no existe"))</f>
        <v/>
      </c>
      <c r="H384" s="16" t="str">
        <f aca="false">IF(OR(C384="",D384=""),"",ROUND(MOD(D384-C384,1)*24,2))</f>
        <v/>
      </c>
      <c r="I384" s="18"/>
      <c r="J384" s="18"/>
      <c r="K384" s="18"/>
    </row>
    <row r="385" customFormat="false" ht="15" hidden="false" customHeight="false" outlineLevel="0" collapsed="false">
      <c r="A385" s="17"/>
      <c r="B385" s="18"/>
      <c r="C385" s="19"/>
      <c r="D385" s="19"/>
      <c r="E385" s="18"/>
      <c r="F385" s="18"/>
      <c r="G385" s="13" t="str">
        <f aca="false">IF(F385="","",IFERROR(INDEX(Metas!$B$5:$B$54,MATCH(F385,Metas!$A$5:$A$54,0)),"⚠ ID de meta no existe"))</f>
        <v/>
      </c>
      <c r="H385" s="16" t="str">
        <f aca="false">IF(OR(C385="",D385=""),"",ROUND(MOD(D385-C385,1)*24,2))</f>
        <v/>
      </c>
      <c r="I385" s="18"/>
      <c r="J385" s="18"/>
      <c r="K385" s="18"/>
    </row>
    <row r="386" customFormat="false" ht="15" hidden="false" customHeight="false" outlineLevel="0" collapsed="false">
      <c r="A386" s="17"/>
      <c r="B386" s="18"/>
      <c r="C386" s="19"/>
      <c r="D386" s="19"/>
      <c r="E386" s="18"/>
      <c r="F386" s="18"/>
      <c r="G386" s="13" t="str">
        <f aca="false">IF(F386="","",IFERROR(INDEX(Metas!$B$5:$B$54,MATCH(F386,Metas!$A$5:$A$54,0)),"⚠ ID de meta no existe"))</f>
        <v/>
      </c>
      <c r="H386" s="16" t="str">
        <f aca="false">IF(OR(C386="",D386=""),"",ROUND(MOD(D386-C386,1)*24,2))</f>
        <v/>
      </c>
      <c r="I386" s="18"/>
      <c r="J386" s="18"/>
      <c r="K386" s="18"/>
    </row>
    <row r="387" customFormat="false" ht="15" hidden="false" customHeight="false" outlineLevel="0" collapsed="false">
      <c r="A387" s="17"/>
      <c r="B387" s="18"/>
      <c r="C387" s="19"/>
      <c r="D387" s="19"/>
      <c r="E387" s="18"/>
      <c r="F387" s="18"/>
      <c r="G387" s="13" t="str">
        <f aca="false">IF(F387="","",IFERROR(INDEX(Metas!$B$5:$B$54,MATCH(F387,Metas!$A$5:$A$54,0)),"⚠ ID de meta no existe"))</f>
        <v/>
      </c>
      <c r="H387" s="16" t="str">
        <f aca="false">IF(OR(C387="",D387=""),"",ROUND(MOD(D387-C387,1)*24,2))</f>
        <v/>
      </c>
      <c r="I387" s="18"/>
      <c r="J387" s="18"/>
      <c r="K387" s="18"/>
    </row>
    <row r="388" customFormat="false" ht="15" hidden="false" customHeight="false" outlineLevel="0" collapsed="false">
      <c r="A388" s="17"/>
      <c r="B388" s="18"/>
      <c r="C388" s="19"/>
      <c r="D388" s="19"/>
      <c r="E388" s="18"/>
      <c r="F388" s="18"/>
      <c r="G388" s="13" t="str">
        <f aca="false">IF(F388="","",IFERROR(INDEX(Metas!$B$5:$B$54,MATCH(F388,Metas!$A$5:$A$54,0)),"⚠ ID de meta no existe"))</f>
        <v/>
      </c>
      <c r="H388" s="16" t="str">
        <f aca="false">IF(OR(C388="",D388=""),"",ROUND(MOD(D388-C388,1)*24,2))</f>
        <v/>
      </c>
      <c r="I388" s="18"/>
      <c r="J388" s="18"/>
      <c r="K388" s="18"/>
    </row>
    <row r="389" customFormat="false" ht="15" hidden="false" customHeight="false" outlineLevel="0" collapsed="false">
      <c r="A389" s="17"/>
      <c r="B389" s="18"/>
      <c r="C389" s="19"/>
      <c r="D389" s="19"/>
      <c r="E389" s="18"/>
      <c r="F389" s="18"/>
      <c r="G389" s="13" t="str">
        <f aca="false">IF(F389="","",IFERROR(INDEX(Metas!$B$5:$B$54,MATCH(F389,Metas!$A$5:$A$54,0)),"⚠ ID de meta no existe"))</f>
        <v/>
      </c>
      <c r="H389" s="16" t="str">
        <f aca="false">IF(OR(C389="",D389=""),"",ROUND(MOD(D389-C389,1)*24,2))</f>
        <v/>
      </c>
      <c r="I389" s="18"/>
      <c r="J389" s="18"/>
      <c r="K389" s="18"/>
    </row>
    <row r="390" customFormat="false" ht="15" hidden="false" customHeight="false" outlineLevel="0" collapsed="false">
      <c r="A390" s="17"/>
      <c r="B390" s="18"/>
      <c r="C390" s="19"/>
      <c r="D390" s="19"/>
      <c r="E390" s="18"/>
      <c r="F390" s="18"/>
      <c r="G390" s="13" t="str">
        <f aca="false">IF(F390="","",IFERROR(INDEX(Metas!$B$5:$B$54,MATCH(F390,Metas!$A$5:$A$54,0)),"⚠ ID de meta no existe"))</f>
        <v/>
      </c>
      <c r="H390" s="16" t="str">
        <f aca="false">IF(OR(C390="",D390=""),"",ROUND(MOD(D390-C390,1)*24,2))</f>
        <v/>
      </c>
      <c r="I390" s="18"/>
      <c r="J390" s="18"/>
      <c r="K390" s="18"/>
    </row>
    <row r="391" customFormat="false" ht="15" hidden="false" customHeight="false" outlineLevel="0" collapsed="false">
      <c r="A391" s="17"/>
      <c r="B391" s="18"/>
      <c r="C391" s="19"/>
      <c r="D391" s="19"/>
      <c r="E391" s="18"/>
      <c r="F391" s="18"/>
      <c r="G391" s="13" t="str">
        <f aca="false">IF(F391="","",IFERROR(INDEX(Metas!$B$5:$B$54,MATCH(F391,Metas!$A$5:$A$54,0)),"⚠ ID de meta no existe"))</f>
        <v/>
      </c>
      <c r="H391" s="16" t="str">
        <f aca="false">IF(OR(C391="",D391=""),"",ROUND(MOD(D391-C391,1)*24,2))</f>
        <v/>
      </c>
      <c r="I391" s="18"/>
      <c r="J391" s="18"/>
      <c r="K391" s="18"/>
    </row>
    <row r="392" customFormat="false" ht="15" hidden="false" customHeight="false" outlineLevel="0" collapsed="false">
      <c r="A392" s="17"/>
      <c r="B392" s="18"/>
      <c r="C392" s="19"/>
      <c r="D392" s="19"/>
      <c r="E392" s="18"/>
      <c r="F392" s="18"/>
      <c r="G392" s="13" t="str">
        <f aca="false">IF(F392="","",IFERROR(INDEX(Metas!$B$5:$B$54,MATCH(F392,Metas!$A$5:$A$54,0)),"⚠ ID de meta no existe"))</f>
        <v/>
      </c>
      <c r="H392" s="16" t="str">
        <f aca="false">IF(OR(C392="",D392=""),"",ROUND(MOD(D392-C392,1)*24,2))</f>
        <v/>
      </c>
      <c r="I392" s="18"/>
      <c r="J392" s="18"/>
      <c r="K392" s="18"/>
    </row>
    <row r="393" customFormat="false" ht="15" hidden="false" customHeight="false" outlineLevel="0" collapsed="false">
      <c r="A393" s="17"/>
      <c r="B393" s="18"/>
      <c r="C393" s="19"/>
      <c r="D393" s="19"/>
      <c r="E393" s="18"/>
      <c r="F393" s="18"/>
      <c r="G393" s="13" t="str">
        <f aca="false">IF(F393="","",IFERROR(INDEX(Metas!$B$5:$B$54,MATCH(F393,Metas!$A$5:$A$54,0)),"⚠ ID de meta no existe"))</f>
        <v/>
      </c>
      <c r="H393" s="16" t="str">
        <f aca="false">IF(OR(C393="",D393=""),"",ROUND(MOD(D393-C393,1)*24,2))</f>
        <v/>
      </c>
      <c r="I393" s="18"/>
      <c r="J393" s="18"/>
      <c r="K393" s="18"/>
    </row>
    <row r="394" customFormat="false" ht="15" hidden="false" customHeight="false" outlineLevel="0" collapsed="false">
      <c r="A394" s="17"/>
      <c r="B394" s="18"/>
      <c r="C394" s="19"/>
      <c r="D394" s="19"/>
      <c r="E394" s="18"/>
      <c r="F394" s="18"/>
      <c r="G394" s="13" t="str">
        <f aca="false">IF(F394="","",IFERROR(INDEX(Metas!$B$5:$B$54,MATCH(F394,Metas!$A$5:$A$54,0)),"⚠ ID de meta no existe"))</f>
        <v/>
      </c>
      <c r="H394" s="16" t="str">
        <f aca="false">IF(OR(C394="",D394=""),"",ROUND(MOD(D394-C394,1)*24,2))</f>
        <v/>
      </c>
      <c r="I394" s="18"/>
      <c r="J394" s="18"/>
      <c r="K394" s="18"/>
    </row>
    <row r="395" customFormat="false" ht="15" hidden="false" customHeight="false" outlineLevel="0" collapsed="false">
      <c r="A395" s="17"/>
      <c r="B395" s="18"/>
      <c r="C395" s="19"/>
      <c r="D395" s="19"/>
      <c r="E395" s="18"/>
      <c r="F395" s="18"/>
      <c r="G395" s="13" t="str">
        <f aca="false">IF(F395="","",IFERROR(INDEX(Metas!$B$5:$B$54,MATCH(F395,Metas!$A$5:$A$54,0)),"⚠ ID de meta no existe"))</f>
        <v/>
      </c>
      <c r="H395" s="16" t="str">
        <f aca="false">IF(OR(C395="",D395=""),"",ROUND(MOD(D395-C395,1)*24,2))</f>
        <v/>
      </c>
      <c r="I395" s="18"/>
      <c r="J395" s="18"/>
      <c r="K395" s="18"/>
    </row>
    <row r="396" customFormat="false" ht="15" hidden="false" customHeight="false" outlineLevel="0" collapsed="false">
      <c r="A396" s="17"/>
      <c r="B396" s="18"/>
      <c r="C396" s="19"/>
      <c r="D396" s="19"/>
      <c r="E396" s="18"/>
      <c r="F396" s="18"/>
      <c r="G396" s="13" t="str">
        <f aca="false">IF(F396="","",IFERROR(INDEX(Metas!$B$5:$B$54,MATCH(F396,Metas!$A$5:$A$54,0)),"⚠ ID de meta no existe"))</f>
        <v/>
      </c>
      <c r="H396" s="16" t="str">
        <f aca="false">IF(OR(C396="",D396=""),"",ROUND(MOD(D396-C396,1)*24,2))</f>
        <v/>
      </c>
      <c r="I396" s="18"/>
      <c r="J396" s="18"/>
      <c r="K396" s="18"/>
    </row>
    <row r="397" customFormat="false" ht="15" hidden="false" customHeight="false" outlineLevel="0" collapsed="false">
      <c r="A397" s="17"/>
      <c r="B397" s="18"/>
      <c r="C397" s="19"/>
      <c r="D397" s="19"/>
      <c r="E397" s="18"/>
      <c r="F397" s="18"/>
      <c r="G397" s="13" t="str">
        <f aca="false">IF(F397="","",IFERROR(INDEX(Metas!$B$5:$B$54,MATCH(F397,Metas!$A$5:$A$54,0)),"⚠ ID de meta no existe"))</f>
        <v/>
      </c>
      <c r="H397" s="16" t="str">
        <f aca="false">IF(OR(C397="",D397=""),"",ROUND(MOD(D397-C397,1)*24,2))</f>
        <v/>
      </c>
      <c r="I397" s="18"/>
      <c r="J397" s="18"/>
      <c r="K397" s="18"/>
    </row>
    <row r="398" customFormat="false" ht="15" hidden="false" customHeight="false" outlineLevel="0" collapsed="false">
      <c r="A398" s="17"/>
      <c r="B398" s="18"/>
      <c r="C398" s="19"/>
      <c r="D398" s="19"/>
      <c r="E398" s="18"/>
      <c r="F398" s="18"/>
      <c r="G398" s="13" t="str">
        <f aca="false">IF(F398="","",IFERROR(INDEX(Metas!$B$5:$B$54,MATCH(F398,Metas!$A$5:$A$54,0)),"⚠ ID de meta no existe"))</f>
        <v/>
      </c>
      <c r="H398" s="16" t="str">
        <f aca="false">IF(OR(C398="",D398=""),"",ROUND(MOD(D398-C398,1)*24,2))</f>
        <v/>
      </c>
      <c r="I398" s="18"/>
      <c r="J398" s="18"/>
      <c r="K398" s="18"/>
    </row>
    <row r="399" customFormat="false" ht="15" hidden="false" customHeight="false" outlineLevel="0" collapsed="false">
      <c r="A399" s="17"/>
      <c r="B399" s="18"/>
      <c r="C399" s="19"/>
      <c r="D399" s="19"/>
      <c r="E399" s="18"/>
      <c r="F399" s="18"/>
      <c r="G399" s="13" t="str">
        <f aca="false">IF(F399="","",IFERROR(INDEX(Metas!$B$5:$B$54,MATCH(F399,Metas!$A$5:$A$54,0)),"⚠ ID de meta no existe"))</f>
        <v/>
      </c>
      <c r="H399" s="16" t="str">
        <f aca="false">IF(OR(C399="",D399=""),"",ROUND(MOD(D399-C399,1)*24,2))</f>
        <v/>
      </c>
      <c r="I399" s="18"/>
      <c r="J399" s="18"/>
      <c r="K399" s="18"/>
    </row>
    <row r="400" customFormat="false" ht="15" hidden="false" customHeight="false" outlineLevel="0" collapsed="false">
      <c r="A400" s="17"/>
      <c r="B400" s="18"/>
      <c r="C400" s="19"/>
      <c r="D400" s="19"/>
      <c r="E400" s="18"/>
      <c r="F400" s="18"/>
      <c r="G400" s="13" t="str">
        <f aca="false">IF(F400="","",IFERROR(INDEX(Metas!$B$5:$B$54,MATCH(F400,Metas!$A$5:$A$54,0)),"⚠ ID de meta no existe"))</f>
        <v/>
      </c>
      <c r="H400" s="16" t="str">
        <f aca="false">IF(OR(C400="",D400=""),"",ROUND(MOD(D400-C400,1)*24,2))</f>
        <v/>
      </c>
      <c r="I400" s="18"/>
      <c r="J400" s="18"/>
      <c r="K400" s="18"/>
    </row>
    <row r="401" customFormat="false" ht="15" hidden="false" customHeight="false" outlineLevel="0" collapsed="false">
      <c r="A401" s="17"/>
      <c r="B401" s="18"/>
      <c r="C401" s="19"/>
      <c r="D401" s="19"/>
      <c r="E401" s="18"/>
      <c r="F401" s="18"/>
      <c r="G401" s="13" t="str">
        <f aca="false">IF(F401="","",IFERROR(INDEX(Metas!$B$5:$B$54,MATCH(F401,Metas!$A$5:$A$54,0)),"⚠ ID de meta no existe"))</f>
        <v/>
      </c>
      <c r="H401" s="16" t="str">
        <f aca="false">IF(OR(C401="",D401=""),"",ROUND(MOD(D401-C401,1)*24,2))</f>
        <v/>
      </c>
      <c r="I401" s="18"/>
      <c r="J401" s="18"/>
      <c r="K401" s="18"/>
    </row>
    <row r="402" customFormat="false" ht="15" hidden="false" customHeight="false" outlineLevel="0" collapsed="false">
      <c r="A402" s="17"/>
      <c r="B402" s="18"/>
      <c r="C402" s="19"/>
      <c r="D402" s="19"/>
      <c r="E402" s="18"/>
      <c r="F402" s="18"/>
      <c r="G402" s="13" t="str">
        <f aca="false">IF(F402="","",IFERROR(INDEX(Metas!$B$5:$B$54,MATCH(F402,Metas!$A$5:$A$54,0)),"⚠ ID de meta no existe"))</f>
        <v/>
      </c>
      <c r="H402" s="16" t="str">
        <f aca="false">IF(OR(C402="",D402=""),"",ROUND(MOD(D402-C402,1)*24,2))</f>
        <v/>
      </c>
      <c r="I402" s="18"/>
      <c r="J402" s="18"/>
      <c r="K402" s="18"/>
    </row>
    <row r="403" customFormat="false" ht="15" hidden="false" customHeight="false" outlineLevel="0" collapsed="false">
      <c r="A403" s="17"/>
      <c r="B403" s="18"/>
      <c r="C403" s="19"/>
      <c r="D403" s="19"/>
      <c r="E403" s="18"/>
      <c r="F403" s="18"/>
      <c r="G403" s="13" t="str">
        <f aca="false">IF(F403="","",IFERROR(INDEX(Metas!$B$5:$B$54,MATCH(F403,Metas!$A$5:$A$54,0)),"⚠ ID de meta no existe"))</f>
        <v/>
      </c>
      <c r="H403" s="16" t="str">
        <f aca="false">IF(OR(C403="",D403=""),"",ROUND(MOD(D403-C403,1)*24,2))</f>
        <v/>
      </c>
      <c r="I403" s="18"/>
      <c r="J403" s="18"/>
      <c r="K403" s="18"/>
    </row>
    <row r="404" customFormat="false" ht="15" hidden="false" customHeight="false" outlineLevel="0" collapsed="false">
      <c r="A404" s="17"/>
      <c r="B404" s="18"/>
      <c r="C404" s="19"/>
      <c r="D404" s="19"/>
      <c r="E404" s="18"/>
      <c r="F404" s="18"/>
      <c r="G404" s="13" t="str">
        <f aca="false">IF(F404="","",IFERROR(INDEX(Metas!$B$5:$B$54,MATCH(F404,Metas!$A$5:$A$54,0)),"⚠ ID de meta no existe"))</f>
        <v/>
      </c>
      <c r="H404" s="16" t="str">
        <f aca="false">IF(OR(C404="",D404=""),"",ROUND(MOD(D404-C404,1)*24,2))</f>
        <v/>
      </c>
      <c r="I404" s="18"/>
      <c r="J404" s="18"/>
      <c r="K404" s="18"/>
    </row>
    <row r="405" customFormat="false" ht="15" hidden="false" customHeight="false" outlineLevel="0" collapsed="false">
      <c r="A405" s="17"/>
      <c r="B405" s="18"/>
      <c r="C405" s="19"/>
      <c r="D405" s="19"/>
      <c r="E405" s="18"/>
      <c r="F405" s="18"/>
      <c r="G405" s="13" t="str">
        <f aca="false">IF(F405="","",IFERROR(INDEX(Metas!$B$5:$B$54,MATCH(F405,Metas!$A$5:$A$54,0)),"⚠ ID de meta no existe"))</f>
        <v/>
      </c>
      <c r="H405" s="16" t="str">
        <f aca="false">IF(OR(C405="",D405=""),"",ROUND(MOD(D405-C405,1)*24,2))</f>
        <v/>
      </c>
      <c r="I405" s="18"/>
      <c r="J405" s="18"/>
      <c r="K405" s="18"/>
    </row>
    <row r="406" customFormat="false" ht="15" hidden="false" customHeight="false" outlineLevel="0" collapsed="false">
      <c r="A406" s="17"/>
      <c r="B406" s="18"/>
      <c r="C406" s="19"/>
      <c r="D406" s="19"/>
      <c r="E406" s="18"/>
      <c r="F406" s="18"/>
      <c r="G406" s="13" t="str">
        <f aca="false">IF(F406="","",IFERROR(INDEX(Metas!$B$5:$B$54,MATCH(F406,Metas!$A$5:$A$54,0)),"⚠ ID de meta no existe"))</f>
        <v/>
      </c>
      <c r="H406" s="16" t="str">
        <f aca="false">IF(OR(C406="",D406=""),"",ROUND(MOD(D406-C406,1)*24,2))</f>
        <v/>
      </c>
      <c r="I406" s="18"/>
      <c r="J406" s="18"/>
      <c r="K406" s="18"/>
    </row>
    <row r="407" customFormat="false" ht="15" hidden="false" customHeight="false" outlineLevel="0" collapsed="false">
      <c r="A407" s="17"/>
      <c r="B407" s="18"/>
      <c r="C407" s="19"/>
      <c r="D407" s="19"/>
      <c r="E407" s="18"/>
      <c r="F407" s="18"/>
      <c r="G407" s="13" t="str">
        <f aca="false">IF(F407="","",IFERROR(INDEX(Metas!$B$5:$B$54,MATCH(F407,Metas!$A$5:$A$54,0)),"⚠ ID de meta no existe"))</f>
        <v/>
      </c>
      <c r="H407" s="16" t="str">
        <f aca="false">IF(OR(C407="",D407=""),"",ROUND(MOD(D407-C407,1)*24,2))</f>
        <v/>
      </c>
      <c r="I407" s="18"/>
      <c r="J407" s="18"/>
      <c r="K407" s="18"/>
    </row>
    <row r="408" customFormat="false" ht="15" hidden="false" customHeight="false" outlineLevel="0" collapsed="false">
      <c r="A408" s="17"/>
      <c r="B408" s="18"/>
      <c r="C408" s="19"/>
      <c r="D408" s="19"/>
      <c r="E408" s="18"/>
      <c r="F408" s="18"/>
      <c r="G408" s="13" t="str">
        <f aca="false">IF(F408="","",IFERROR(INDEX(Metas!$B$5:$B$54,MATCH(F408,Metas!$A$5:$A$54,0)),"⚠ ID de meta no existe"))</f>
        <v/>
      </c>
      <c r="H408" s="16" t="str">
        <f aca="false">IF(OR(C408="",D408=""),"",ROUND(MOD(D408-C408,1)*24,2))</f>
        <v/>
      </c>
      <c r="I408" s="18"/>
      <c r="J408" s="18"/>
      <c r="K408" s="18"/>
    </row>
    <row r="409" customFormat="false" ht="15" hidden="false" customHeight="false" outlineLevel="0" collapsed="false">
      <c r="A409" s="17"/>
      <c r="B409" s="18"/>
      <c r="C409" s="19"/>
      <c r="D409" s="19"/>
      <c r="E409" s="18"/>
      <c r="F409" s="18"/>
      <c r="G409" s="13" t="str">
        <f aca="false">IF(F409="","",IFERROR(INDEX(Metas!$B$5:$B$54,MATCH(F409,Metas!$A$5:$A$54,0)),"⚠ ID de meta no existe"))</f>
        <v/>
      </c>
      <c r="H409" s="16" t="str">
        <f aca="false">IF(OR(C409="",D409=""),"",ROUND(MOD(D409-C409,1)*24,2))</f>
        <v/>
      </c>
      <c r="I409" s="18"/>
      <c r="J409" s="18"/>
      <c r="K409" s="18"/>
    </row>
    <row r="410" customFormat="false" ht="15" hidden="false" customHeight="false" outlineLevel="0" collapsed="false">
      <c r="A410" s="17"/>
      <c r="B410" s="18"/>
      <c r="C410" s="19"/>
      <c r="D410" s="19"/>
      <c r="E410" s="18"/>
      <c r="F410" s="18"/>
      <c r="G410" s="13" t="str">
        <f aca="false">IF(F410="","",IFERROR(INDEX(Metas!$B$5:$B$54,MATCH(F410,Metas!$A$5:$A$54,0)),"⚠ ID de meta no existe"))</f>
        <v/>
      </c>
      <c r="H410" s="16" t="str">
        <f aca="false">IF(OR(C410="",D410=""),"",ROUND(MOD(D410-C410,1)*24,2))</f>
        <v/>
      </c>
      <c r="I410" s="18"/>
      <c r="J410" s="18"/>
      <c r="K410" s="18"/>
    </row>
    <row r="411" customFormat="false" ht="15" hidden="false" customHeight="false" outlineLevel="0" collapsed="false">
      <c r="A411" s="17"/>
      <c r="B411" s="18"/>
      <c r="C411" s="19"/>
      <c r="D411" s="19"/>
      <c r="E411" s="18"/>
      <c r="F411" s="18"/>
      <c r="G411" s="13" t="str">
        <f aca="false">IF(F411="","",IFERROR(INDEX(Metas!$B$5:$B$54,MATCH(F411,Metas!$A$5:$A$54,0)),"⚠ ID de meta no existe"))</f>
        <v/>
      </c>
      <c r="H411" s="16" t="str">
        <f aca="false">IF(OR(C411="",D411=""),"",ROUND(MOD(D411-C411,1)*24,2))</f>
        <v/>
      </c>
      <c r="I411" s="18"/>
      <c r="J411" s="18"/>
      <c r="K411" s="18"/>
    </row>
    <row r="412" customFormat="false" ht="15" hidden="false" customHeight="false" outlineLevel="0" collapsed="false">
      <c r="A412" s="17"/>
      <c r="B412" s="18"/>
      <c r="C412" s="19"/>
      <c r="D412" s="19"/>
      <c r="E412" s="18"/>
      <c r="F412" s="18"/>
      <c r="G412" s="13" t="str">
        <f aca="false">IF(F412="","",IFERROR(INDEX(Metas!$B$5:$B$54,MATCH(F412,Metas!$A$5:$A$54,0)),"⚠ ID de meta no existe"))</f>
        <v/>
      </c>
      <c r="H412" s="16" t="str">
        <f aca="false">IF(OR(C412="",D412=""),"",ROUND(MOD(D412-C412,1)*24,2))</f>
        <v/>
      </c>
      <c r="I412" s="18"/>
      <c r="J412" s="18"/>
      <c r="K412" s="18"/>
    </row>
    <row r="413" customFormat="false" ht="15" hidden="false" customHeight="false" outlineLevel="0" collapsed="false">
      <c r="A413" s="17"/>
      <c r="B413" s="18"/>
      <c r="C413" s="19"/>
      <c r="D413" s="19"/>
      <c r="E413" s="18"/>
      <c r="F413" s="18"/>
      <c r="G413" s="13" t="str">
        <f aca="false">IF(F413="","",IFERROR(INDEX(Metas!$B$5:$B$54,MATCH(F413,Metas!$A$5:$A$54,0)),"⚠ ID de meta no existe"))</f>
        <v/>
      </c>
      <c r="H413" s="16" t="str">
        <f aca="false">IF(OR(C413="",D413=""),"",ROUND(MOD(D413-C413,1)*24,2))</f>
        <v/>
      </c>
      <c r="I413" s="18"/>
      <c r="J413" s="18"/>
      <c r="K413" s="18"/>
    </row>
    <row r="414" customFormat="false" ht="15" hidden="false" customHeight="false" outlineLevel="0" collapsed="false">
      <c r="A414" s="17"/>
      <c r="B414" s="18"/>
      <c r="C414" s="19"/>
      <c r="D414" s="19"/>
      <c r="E414" s="18"/>
      <c r="F414" s="18"/>
      <c r="G414" s="13" t="str">
        <f aca="false">IF(F414="","",IFERROR(INDEX(Metas!$B$5:$B$54,MATCH(F414,Metas!$A$5:$A$54,0)),"⚠ ID de meta no existe"))</f>
        <v/>
      </c>
      <c r="H414" s="16" t="str">
        <f aca="false">IF(OR(C414="",D414=""),"",ROUND(MOD(D414-C414,1)*24,2))</f>
        <v/>
      </c>
      <c r="I414" s="18"/>
      <c r="J414" s="18"/>
      <c r="K414" s="18"/>
    </row>
    <row r="415" customFormat="false" ht="15" hidden="false" customHeight="false" outlineLevel="0" collapsed="false">
      <c r="A415" s="17"/>
      <c r="B415" s="18"/>
      <c r="C415" s="19"/>
      <c r="D415" s="19"/>
      <c r="E415" s="18"/>
      <c r="F415" s="18"/>
      <c r="G415" s="13" t="str">
        <f aca="false">IF(F415="","",IFERROR(INDEX(Metas!$B$5:$B$54,MATCH(F415,Metas!$A$5:$A$54,0)),"⚠ ID de meta no existe"))</f>
        <v/>
      </c>
      <c r="H415" s="16" t="str">
        <f aca="false">IF(OR(C415="",D415=""),"",ROUND(MOD(D415-C415,1)*24,2))</f>
        <v/>
      </c>
      <c r="I415" s="18"/>
      <c r="J415" s="18"/>
      <c r="K415" s="18"/>
    </row>
    <row r="416" customFormat="false" ht="15" hidden="false" customHeight="false" outlineLevel="0" collapsed="false">
      <c r="A416" s="17"/>
      <c r="B416" s="18"/>
      <c r="C416" s="19"/>
      <c r="D416" s="19"/>
      <c r="E416" s="18"/>
      <c r="F416" s="18"/>
      <c r="G416" s="13" t="str">
        <f aca="false">IF(F416="","",IFERROR(INDEX(Metas!$B$5:$B$54,MATCH(F416,Metas!$A$5:$A$54,0)),"⚠ ID de meta no existe"))</f>
        <v/>
      </c>
      <c r="H416" s="16" t="str">
        <f aca="false">IF(OR(C416="",D416=""),"",ROUND(MOD(D416-C416,1)*24,2))</f>
        <v/>
      </c>
      <c r="I416" s="18"/>
      <c r="J416" s="18"/>
      <c r="K416" s="18"/>
    </row>
    <row r="417" customFormat="false" ht="15" hidden="false" customHeight="false" outlineLevel="0" collapsed="false">
      <c r="A417" s="17"/>
      <c r="B417" s="18"/>
      <c r="C417" s="19"/>
      <c r="D417" s="19"/>
      <c r="E417" s="18"/>
      <c r="F417" s="18"/>
      <c r="G417" s="13" t="str">
        <f aca="false">IF(F417="","",IFERROR(INDEX(Metas!$B$5:$B$54,MATCH(F417,Metas!$A$5:$A$54,0)),"⚠ ID de meta no existe"))</f>
        <v/>
      </c>
      <c r="H417" s="16" t="str">
        <f aca="false">IF(OR(C417="",D417=""),"",ROUND(MOD(D417-C417,1)*24,2))</f>
        <v/>
      </c>
      <c r="I417" s="18"/>
      <c r="J417" s="18"/>
      <c r="K417" s="18"/>
    </row>
    <row r="418" customFormat="false" ht="15" hidden="false" customHeight="false" outlineLevel="0" collapsed="false">
      <c r="A418" s="17"/>
      <c r="B418" s="18"/>
      <c r="C418" s="19"/>
      <c r="D418" s="19"/>
      <c r="E418" s="18"/>
      <c r="F418" s="18"/>
      <c r="G418" s="13" t="str">
        <f aca="false">IF(F418="","",IFERROR(INDEX(Metas!$B$5:$B$54,MATCH(F418,Metas!$A$5:$A$54,0)),"⚠ ID de meta no existe"))</f>
        <v/>
      </c>
      <c r="H418" s="16" t="str">
        <f aca="false">IF(OR(C418="",D418=""),"",ROUND(MOD(D418-C418,1)*24,2))</f>
        <v/>
      </c>
      <c r="I418" s="18"/>
      <c r="J418" s="18"/>
      <c r="K418" s="18"/>
    </row>
    <row r="419" customFormat="false" ht="15" hidden="false" customHeight="false" outlineLevel="0" collapsed="false">
      <c r="A419" s="17"/>
      <c r="B419" s="18"/>
      <c r="C419" s="19"/>
      <c r="D419" s="19"/>
      <c r="E419" s="18"/>
      <c r="F419" s="18"/>
      <c r="G419" s="13" t="str">
        <f aca="false">IF(F419="","",IFERROR(INDEX(Metas!$B$5:$B$54,MATCH(F419,Metas!$A$5:$A$54,0)),"⚠ ID de meta no existe"))</f>
        <v/>
      </c>
      <c r="H419" s="16" t="str">
        <f aca="false">IF(OR(C419="",D419=""),"",ROUND(MOD(D419-C419,1)*24,2))</f>
        <v/>
      </c>
      <c r="I419" s="18"/>
      <c r="J419" s="18"/>
      <c r="K419" s="18"/>
    </row>
    <row r="420" customFormat="false" ht="15" hidden="false" customHeight="false" outlineLevel="0" collapsed="false">
      <c r="A420" s="17"/>
      <c r="B420" s="18"/>
      <c r="C420" s="19"/>
      <c r="D420" s="19"/>
      <c r="E420" s="18"/>
      <c r="F420" s="18"/>
      <c r="G420" s="13" t="str">
        <f aca="false">IF(F420="","",IFERROR(INDEX(Metas!$B$5:$B$54,MATCH(F420,Metas!$A$5:$A$54,0)),"⚠ ID de meta no existe"))</f>
        <v/>
      </c>
      <c r="H420" s="16" t="str">
        <f aca="false">IF(OR(C420="",D420=""),"",ROUND(MOD(D420-C420,1)*24,2))</f>
        <v/>
      </c>
      <c r="I420" s="18"/>
      <c r="J420" s="18"/>
      <c r="K420" s="18"/>
    </row>
    <row r="421" customFormat="false" ht="15" hidden="false" customHeight="false" outlineLevel="0" collapsed="false">
      <c r="A421" s="17"/>
      <c r="B421" s="18"/>
      <c r="C421" s="19"/>
      <c r="D421" s="19"/>
      <c r="E421" s="18"/>
      <c r="F421" s="18"/>
      <c r="G421" s="13" t="str">
        <f aca="false">IF(F421="","",IFERROR(INDEX(Metas!$B$5:$B$54,MATCH(F421,Metas!$A$5:$A$54,0)),"⚠ ID de meta no existe"))</f>
        <v/>
      </c>
      <c r="H421" s="16" t="str">
        <f aca="false">IF(OR(C421="",D421=""),"",ROUND(MOD(D421-C421,1)*24,2))</f>
        <v/>
      </c>
      <c r="I421" s="18"/>
      <c r="J421" s="18"/>
      <c r="K421" s="18"/>
    </row>
    <row r="422" customFormat="false" ht="15" hidden="false" customHeight="false" outlineLevel="0" collapsed="false">
      <c r="A422" s="17"/>
      <c r="B422" s="18"/>
      <c r="C422" s="19"/>
      <c r="D422" s="19"/>
      <c r="E422" s="18"/>
      <c r="F422" s="18"/>
      <c r="G422" s="13" t="str">
        <f aca="false">IF(F422="","",IFERROR(INDEX(Metas!$B$5:$B$54,MATCH(F422,Metas!$A$5:$A$54,0)),"⚠ ID de meta no existe"))</f>
        <v/>
      </c>
      <c r="H422" s="16" t="str">
        <f aca="false">IF(OR(C422="",D422=""),"",ROUND(MOD(D422-C422,1)*24,2))</f>
        <v/>
      </c>
      <c r="I422" s="18"/>
      <c r="J422" s="18"/>
      <c r="K422" s="18"/>
    </row>
    <row r="423" customFormat="false" ht="15" hidden="false" customHeight="false" outlineLevel="0" collapsed="false">
      <c r="A423" s="17"/>
      <c r="B423" s="18"/>
      <c r="C423" s="19"/>
      <c r="D423" s="19"/>
      <c r="E423" s="18"/>
      <c r="F423" s="18"/>
      <c r="G423" s="13" t="str">
        <f aca="false">IF(F423="","",IFERROR(INDEX(Metas!$B$5:$B$54,MATCH(F423,Metas!$A$5:$A$54,0)),"⚠ ID de meta no existe"))</f>
        <v/>
      </c>
      <c r="H423" s="16" t="str">
        <f aca="false">IF(OR(C423="",D423=""),"",ROUND(MOD(D423-C423,1)*24,2))</f>
        <v/>
      </c>
      <c r="I423" s="18"/>
      <c r="J423" s="18"/>
      <c r="K423" s="18"/>
    </row>
    <row r="424" customFormat="false" ht="15" hidden="false" customHeight="false" outlineLevel="0" collapsed="false">
      <c r="A424" s="17"/>
      <c r="B424" s="18"/>
      <c r="C424" s="19"/>
      <c r="D424" s="19"/>
      <c r="E424" s="18"/>
      <c r="F424" s="18"/>
      <c r="G424" s="13" t="str">
        <f aca="false">IF(F424="","",IFERROR(INDEX(Metas!$B$5:$B$54,MATCH(F424,Metas!$A$5:$A$54,0)),"⚠ ID de meta no existe"))</f>
        <v/>
      </c>
      <c r="H424" s="16" t="str">
        <f aca="false">IF(OR(C424="",D424=""),"",ROUND(MOD(D424-C424,1)*24,2))</f>
        <v/>
      </c>
      <c r="I424" s="18"/>
      <c r="J424" s="18"/>
      <c r="K424" s="18"/>
    </row>
    <row r="425" customFormat="false" ht="15" hidden="false" customHeight="false" outlineLevel="0" collapsed="false">
      <c r="A425" s="17"/>
      <c r="B425" s="18"/>
      <c r="C425" s="19"/>
      <c r="D425" s="19"/>
      <c r="E425" s="18"/>
      <c r="F425" s="18"/>
      <c r="G425" s="13" t="str">
        <f aca="false">IF(F425="","",IFERROR(INDEX(Metas!$B$5:$B$54,MATCH(F425,Metas!$A$5:$A$54,0)),"⚠ ID de meta no existe"))</f>
        <v/>
      </c>
      <c r="H425" s="16" t="str">
        <f aca="false">IF(OR(C425="",D425=""),"",ROUND(MOD(D425-C425,1)*24,2))</f>
        <v/>
      </c>
      <c r="I425" s="18"/>
      <c r="J425" s="18"/>
      <c r="K425" s="18"/>
    </row>
    <row r="426" customFormat="false" ht="15" hidden="false" customHeight="false" outlineLevel="0" collapsed="false">
      <c r="A426" s="17"/>
      <c r="B426" s="18"/>
      <c r="C426" s="19"/>
      <c r="D426" s="19"/>
      <c r="E426" s="18"/>
      <c r="F426" s="18"/>
      <c r="G426" s="13" t="str">
        <f aca="false">IF(F426="","",IFERROR(INDEX(Metas!$B$5:$B$54,MATCH(F426,Metas!$A$5:$A$54,0)),"⚠ ID de meta no existe"))</f>
        <v/>
      </c>
      <c r="H426" s="16" t="str">
        <f aca="false">IF(OR(C426="",D426=""),"",ROUND(MOD(D426-C426,1)*24,2))</f>
        <v/>
      </c>
      <c r="I426" s="18"/>
      <c r="J426" s="18"/>
      <c r="K426" s="18"/>
    </row>
    <row r="427" customFormat="false" ht="15" hidden="false" customHeight="false" outlineLevel="0" collapsed="false">
      <c r="A427" s="17"/>
      <c r="B427" s="18"/>
      <c r="C427" s="19"/>
      <c r="D427" s="19"/>
      <c r="E427" s="18"/>
      <c r="F427" s="18"/>
      <c r="G427" s="13" t="str">
        <f aca="false">IF(F427="","",IFERROR(INDEX(Metas!$B$5:$B$54,MATCH(F427,Metas!$A$5:$A$54,0)),"⚠ ID de meta no existe"))</f>
        <v/>
      </c>
      <c r="H427" s="16" t="str">
        <f aca="false">IF(OR(C427="",D427=""),"",ROUND(MOD(D427-C427,1)*24,2))</f>
        <v/>
      </c>
      <c r="I427" s="18"/>
      <c r="J427" s="18"/>
      <c r="K427" s="18"/>
    </row>
    <row r="428" customFormat="false" ht="15" hidden="false" customHeight="false" outlineLevel="0" collapsed="false">
      <c r="A428" s="17"/>
      <c r="B428" s="18"/>
      <c r="C428" s="19"/>
      <c r="D428" s="19"/>
      <c r="E428" s="18"/>
      <c r="F428" s="18"/>
      <c r="G428" s="13" t="str">
        <f aca="false">IF(F428="","",IFERROR(INDEX(Metas!$B$5:$B$54,MATCH(F428,Metas!$A$5:$A$54,0)),"⚠ ID de meta no existe"))</f>
        <v/>
      </c>
      <c r="H428" s="16" t="str">
        <f aca="false">IF(OR(C428="",D428=""),"",ROUND(MOD(D428-C428,1)*24,2))</f>
        <v/>
      </c>
      <c r="I428" s="18"/>
      <c r="J428" s="18"/>
      <c r="K428" s="18"/>
    </row>
    <row r="429" customFormat="false" ht="15" hidden="false" customHeight="false" outlineLevel="0" collapsed="false">
      <c r="A429" s="17"/>
      <c r="B429" s="18"/>
      <c r="C429" s="19"/>
      <c r="D429" s="19"/>
      <c r="E429" s="18"/>
      <c r="F429" s="18"/>
      <c r="G429" s="13" t="str">
        <f aca="false">IF(F429="","",IFERROR(INDEX(Metas!$B$5:$B$54,MATCH(F429,Metas!$A$5:$A$54,0)),"⚠ ID de meta no existe"))</f>
        <v/>
      </c>
      <c r="H429" s="16" t="str">
        <f aca="false">IF(OR(C429="",D429=""),"",ROUND(MOD(D429-C429,1)*24,2))</f>
        <v/>
      </c>
      <c r="I429" s="18"/>
      <c r="J429" s="18"/>
      <c r="K429" s="18"/>
    </row>
    <row r="430" customFormat="false" ht="15" hidden="false" customHeight="false" outlineLevel="0" collapsed="false">
      <c r="A430" s="17"/>
      <c r="B430" s="18"/>
      <c r="C430" s="19"/>
      <c r="D430" s="19"/>
      <c r="E430" s="18"/>
      <c r="F430" s="18"/>
      <c r="G430" s="13" t="str">
        <f aca="false">IF(F430="","",IFERROR(INDEX(Metas!$B$5:$B$54,MATCH(F430,Metas!$A$5:$A$54,0)),"⚠ ID de meta no existe"))</f>
        <v/>
      </c>
      <c r="H430" s="16" t="str">
        <f aca="false">IF(OR(C430="",D430=""),"",ROUND(MOD(D430-C430,1)*24,2))</f>
        <v/>
      </c>
      <c r="I430" s="18"/>
      <c r="J430" s="18"/>
      <c r="K430" s="18"/>
    </row>
    <row r="431" customFormat="false" ht="15" hidden="false" customHeight="false" outlineLevel="0" collapsed="false">
      <c r="A431" s="17"/>
      <c r="B431" s="18"/>
      <c r="C431" s="19"/>
      <c r="D431" s="19"/>
      <c r="E431" s="18"/>
      <c r="F431" s="18"/>
      <c r="G431" s="13" t="str">
        <f aca="false">IF(F431="","",IFERROR(INDEX(Metas!$B$5:$B$54,MATCH(F431,Metas!$A$5:$A$54,0)),"⚠ ID de meta no existe"))</f>
        <v/>
      </c>
      <c r="H431" s="16" t="str">
        <f aca="false">IF(OR(C431="",D431=""),"",ROUND(MOD(D431-C431,1)*24,2))</f>
        <v/>
      </c>
      <c r="I431" s="18"/>
      <c r="J431" s="18"/>
      <c r="K431" s="18"/>
    </row>
    <row r="432" customFormat="false" ht="15" hidden="false" customHeight="false" outlineLevel="0" collapsed="false">
      <c r="A432" s="17"/>
      <c r="B432" s="18"/>
      <c r="C432" s="19"/>
      <c r="D432" s="19"/>
      <c r="E432" s="18"/>
      <c r="F432" s="18"/>
      <c r="G432" s="13" t="str">
        <f aca="false">IF(F432="","",IFERROR(INDEX(Metas!$B$5:$B$54,MATCH(F432,Metas!$A$5:$A$54,0)),"⚠ ID de meta no existe"))</f>
        <v/>
      </c>
      <c r="H432" s="16" t="str">
        <f aca="false">IF(OR(C432="",D432=""),"",ROUND(MOD(D432-C432,1)*24,2))</f>
        <v/>
      </c>
      <c r="I432" s="18"/>
      <c r="J432" s="18"/>
      <c r="K432" s="18"/>
    </row>
    <row r="433" customFormat="false" ht="15" hidden="false" customHeight="false" outlineLevel="0" collapsed="false">
      <c r="A433" s="17"/>
      <c r="B433" s="18"/>
      <c r="C433" s="19"/>
      <c r="D433" s="19"/>
      <c r="E433" s="18"/>
      <c r="F433" s="18"/>
      <c r="G433" s="13" t="str">
        <f aca="false">IF(F433="","",IFERROR(INDEX(Metas!$B$5:$B$54,MATCH(F433,Metas!$A$5:$A$54,0)),"⚠ ID de meta no existe"))</f>
        <v/>
      </c>
      <c r="H433" s="16" t="str">
        <f aca="false">IF(OR(C433="",D433=""),"",ROUND(MOD(D433-C433,1)*24,2))</f>
        <v/>
      </c>
      <c r="I433" s="18"/>
      <c r="J433" s="18"/>
      <c r="K433" s="18"/>
    </row>
    <row r="434" customFormat="false" ht="15" hidden="false" customHeight="false" outlineLevel="0" collapsed="false">
      <c r="A434" s="17"/>
      <c r="B434" s="18"/>
      <c r="C434" s="19"/>
      <c r="D434" s="19"/>
      <c r="E434" s="18"/>
      <c r="F434" s="18"/>
      <c r="G434" s="13" t="str">
        <f aca="false">IF(F434="","",IFERROR(INDEX(Metas!$B$5:$B$54,MATCH(F434,Metas!$A$5:$A$54,0)),"⚠ ID de meta no existe"))</f>
        <v/>
      </c>
      <c r="H434" s="16" t="str">
        <f aca="false">IF(OR(C434="",D434=""),"",ROUND(MOD(D434-C434,1)*24,2))</f>
        <v/>
      </c>
      <c r="I434" s="18"/>
      <c r="J434" s="18"/>
      <c r="K434" s="18"/>
    </row>
    <row r="435" customFormat="false" ht="15" hidden="false" customHeight="false" outlineLevel="0" collapsed="false">
      <c r="A435" s="17"/>
      <c r="B435" s="18"/>
      <c r="C435" s="19"/>
      <c r="D435" s="19"/>
      <c r="E435" s="18"/>
      <c r="F435" s="18"/>
      <c r="G435" s="13" t="str">
        <f aca="false">IF(F435="","",IFERROR(INDEX(Metas!$B$5:$B$54,MATCH(F435,Metas!$A$5:$A$54,0)),"⚠ ID de meta no existe"))</f>
        <v/>
      </c>
      <c r="H435" s="16" t="str">
        <f aca="false">IF(OR(C435="",D435=""),"",ROUND(MOD(D435-C435,1)*24,2))</f>
        <v/>
      </c>
      <c r="I435" s="18"/>
      <c r="J435" s="18"/>
      <c r="K435" s="18"/>
    </row>
    <row r="436" customFormat="false" ht="15" hidden="false" customHeight="false" outlineLevel="0" collapsed="false">
      <c r="A436" s="17"/>
      <c r="B436" s="18"/>
      <c r="C436" s="19"/>
      <c r="D436" s="19"/>
      <c r="E436" s="18"/>
      <c r="F436" s="18"/>
      <c r="G436" s="13" t="str">
        <f aca="false">IF(F436="","",IFERROR(INDEX(Metas!$B$5:$B$54,MATCH(F436,Metas!$A$5:$A$54,0)),"⚠ ID de meta no existe"))</f>
        <v/>
      </c>
      <c r="H436" s="16" t="str">
        <f aca="false">IF(OR(C436="",D436=""),"",ROUND(MOD(D436-C436,1)*24,2))</f>
        <v/>
      </c>
      <c r="I436" s="18"/>
      <c r="J436" s="18"/>
      <c r="K436" s="18"/>
    </row>
    <row r="437" customFormat="false" ht="15" hidden="false" customHeight="false" outlineLevel="0" collapsed="false">
      <c r="A437" s="17"/>
      <c r="B437" s="18"/>
      <c r="C437" s="19"/>
      <c r="D437" s="19"/>
      <c r="E437" s="18"/>
      <c r="F437" s="18"/>
      <c r="G437" s="13" t="str">
        <f aca="false">IF(F437="","",IFERROR(INDEX(Metas!$B$5:$B$54,MATCH(F437,Metas!$A$5:$A$54,0)),"⚠ ID de meta no existe"))</f>
        <v/>
      </c>
      <c r="H437" s="16" t="str">
        <f aca="false">IF(OR(C437="",D437=""),"",ROUND(MOD(D437-C437,1)*24,2))</f>
        <v/>
      </c>
      <c r="I437" s="18"/>
      <c r="J437" s="18"/>
      <c r="K437" s="18"/>
    </row>
    <row r="438" customFormat="false" ht="15" hidden="false" customHeight="false" outlineLevel="0" collapsed="false">
      <c r="A438" s="17"/>
      <c r="B438" s="18"/>
      <c r="C438" s="19"/>
      <c r="D438" s="19"/>
      <c r="E438" s="18"/>
      <c r="F438" s="18"/>
      <c r="G438" s="13" t="str">
        <f aca="false">IF(F438="","",IFERROR(INDEX(Metas!$B$5:$B$54,MATCH(F438,Metas!$A$5:$A$54,0)),"⚠ ID de meta no existe"))</f>
        <v/>
      </c>
      <c r="H438" s="16" t="str">
        <f aca="false">IF(OR(C438="",D438=""),"",ROUND(MOD(D438-C438,1)*24,2))</f>
        <v/>
      </c>
      <c r="I438" s="18"/>
      <c r="J438" s="18"/>
      <c r="K438" s="18"/>
    </row>
    <row r="439" customFormat="false" ht="15" hidden="false" customHeight="false" outlineLevel="0" collapsed="false">
      <c r="A439" s="17"/>
      <c r="B439" s="18"/>
      <c r="C439" s="19"/>
      <c r="D439" s="19"/>
      <c r="E439" s="18"/>
      <c r="F439" s="18"/>
      <c r="G439" s="13" t="str">
        <f aca="false">IF(F439="","",IFERROR(INDEX(Metas!$B$5:$B$54,MATCH(F439,Metas!$A$5:$A$54,0)),"⚠ ID de meta no existe"))</f>
        <v/>
      </c>
      <c r="H439" s="16" t="str">
        <f aca="false">IF(OR(C439="",D439=""),"",ROUND(MOD(D439-C439,1)*24,2))</f>
        <v/>
      </c>
      <c r="I439" s="18"/>
      <c r="J439" s="18"/>
      <c r="K439" s="18"/>
    </row>
    <row r="440" customFormat="false" ht="15" hidden="false" customHeight="false" outlineLevel="0" collapsed="false">
      <c r="A440" s="17"/>
      <c r="B440" s="18"/>
      <c r="C440" s="19"/>
      <c r="D440" s="19"/>
      <c r="E440" s="18"/>
      <c r="F440" s="18"/>
      <c r="G440" s="13" t="str">
        <f aca="false">IF(F440="","",IFERROR(INDEX(Metas!$B$5:$B$54,MATCH(F440,Metas!$A$5:$A$54,0)),"⚠ ID de meta no existe"))</f>
        <v/>
      </c>
      <c r="H440" s="16" t="str">
        <f aca="false">IF(OR(C440="",D440=""),"",ROUND(MOD(D440-C440,1)*24,2))</f>
        <v/>
      </c>
      <c r="I440" s="18"/>
      <c r="J440" s="18"/>
      <c r="K440" s="18"/>
    </row>
    <row r="441" customFormat="false" ht="15" hidden="false" customHeight="false" outlineLevel="0" collapsed="false">
      <c r="A441" s="17"/>
      <c r="B441" s="18"/>
      <c r="C441" s="19"/>
      <c r="D441" s="19"/>
      <c r="E441" s="18"/>
      <c r="F441" s="18"/>
      <c r="G441" s="13" t="str">
        <f aca="false">IF(F441="","",IFERROR(INDEX(Metas!$B$5:$B$54,MATCH(F441,Metas!$A$5:$A$54,0)),"⚠ ID de meta no existe"))</f>
        <v/>
      </c>
      <c r="H441" s="16" t="str">
        <f aca="false">IF(OR(C441="",D441=""),"",ROUND(MOD(D441-C441,1)*24,2))</f>
        <v/>
      </c>
      <c r="I441" s="18"/>
      <c r="J441" s="18"/>
      <c r="K441" s="18"/>
    </row>
    <row r="442" customFormat="false" ht="15" hidden="false" customHeight="false" outlineLevel="0" collapsed="false">
      <c r="A442" s="17"/>
      <c r="B442" s="18"/>
      <c r="C442" s="19"/>
      <c r="D442" s="19"/>
      <c r="E442" s="18"/>
      <c r="F442" s="18"/>
      <c r="G442" s="13" t="str">
        <f aca="false">IF(F442="","",IFERROR(INDEX(Metas!$B$5:$B$54,MATCH(F442,Metas!$A$5:$A$54,0)),"⚠ ID de meta no existe"))</f>
        <v/>
      </c>
      <c r="H442" s="16" t="str">
        <f aca="false">IF(OR(C442="",D442=""),"",ROUND(MOD(D442-C442,1)*24,2))</f>
        <v/>
      </c>
      <c r="I442" s="18"/>
      <c r="J442" s="18"/>
      <c r="K442" s="18"/>
    </row>
    <row r="443" customFormat="false" ht="15" hidden="false" customHeight="false" outlineLevel="0" collapsed="false">
      <c r="A443" s="17"/>
      <c r="B443" s="18"/>
      <c r="C443" s="19"/>
      <c r="D443" s="19"/>
      <c r="E443" s="18"/>
      <c r="F443" s="18"/>
      <c r="G443" s="13" t="str">
        <f aca="false">IF(F443="","",IFERROR(INDEX(Metas!$B$5:$B$54,MATCH(F443,Metas!$A$5:$A$54,0)),"⚠ ID de meta no existe"))</f>
        <v/>
      </c>
      <c r="H443" s="16" t="str">
        <f aca="false">IF(OR(C443="",D443=""),"",ROUND(MOD(D443-C443,1)*24,2))</f>
        <v/>
      </c>
      <c r="I443" s="18"/>
      <c r="J443" s="18"/>
      <c r="K443" s="18"/>
    </row>
    <row r="444" customFormat="false" ht="15" hidden="false" customHeight="false" outlineLevel="0" collapsed="false">
      <c r="A444" s="17"/>
      <c r="B444" s="18"/>
      <c r="C444" s="19"/>
      <c r="D444" s="19"/>
      <c r="E444" s="18"/>
      <c r="F444" s="18"/>
      <c r="G444" s="13" t="str">
        <f aca="false">IF(F444="","",IFERROR(INDEX(Metas!$B$5:$B$54,MATCH(F444,Metas!$A$5:$A$54,0)),"⚠ ID de meta no existe"))</f>
        <v/>
      </c>
      <c r="H444" s="16" t="str">
        <f aca="false">IF(OR(C444="",D444=""),"",ROUND(MOD(D444-C444,1)*24,2))</f>
        <v/>
      </c>
      <c r="I444" s="18"/>
      <c r="J444" s="18"/>
      <c r="K444" s="18"/>
    </row>
    <row r="445" customFormat="false" ht="15" hidden="false" customHeight="false" outlineLevel="0" collapsed="false">
      <c r="A445" s="17"/>
      <c r="B445" s="18"/>
      <c r="C445" s="19"/>
      <c r="D445" s="19"/>
      <c r="E445" s="18"/>
      <c r="F445" s="18"/>
      <c r="G445" s="13" t="str">
        <f aca="false">IF(F445="","",IFERROR(INDEX(Metas!$B$5:$B$54,MATCH(F445,Metas!$A$5:$A$54,0)),"⚠ ID de meta no existe"))</f>
        <v/>
      </c>
      <c r="H445" s="16" t="str">
        <f aca="false">IF(OR(C445="",D445=""),"",ROUND(MOD(D445-C445,1)*24,2))</f>
        <v/>
      </c>
      <c r="I445" s="18"/>
      <c r="J445" s="18"/>
      <c r="K445" s="18"/>
    </row>
    <row r="446" customFormat="false" ht="15" hidden="false" customHeight="false" outlineLevel="0" collapsed="false">
      <c r="A446" s="17"/>
      <c r="B446" s="18"/>
      <c r="C446" s="19"/>
      <c r="D446" s="19"/>
      <c r="E446" s="18"/>
      <c r="F446" s="18"/>
      <c r="G446" s="13" t="str">
        <f aca="false">IF(F446="","",IFERROR(INDEX(Metas!$B$5:$B$54,MATCH(F446,Metas!$A$5:$A$54,0)),"⚠ ID de meta no existe"))</f>
        <v/>
      </c>
      <c r="H446" s="16" t="str">
        <f aca="false">IF(OR(C446="",D446=""),"",ROUND(MOD(D446-C446,1)*24,2))</f>
        <v/>
      </c>
      <c r="I446" s="18"/>
      <c r="J446" s="18"/>
      <c r="K446" s="18"/>
    </row>
    <row r="447" customFormat="false" ht="15" hidden="false" customHeight="false" outlineLevel="0" collapsed="false">
      <c r="A447" s="17"/>
      <c r="B447" s="18"/>
      <c r="C447" s="19"/>
      <c r="D447" s="19"/>
      <c r="E447" s="18"/>
      <c r="F447" s="18"/>
      <c r="G447" s="13" t="str">
        <f aca="false">IF(F447="","",IFERROR(INDEX(Metas!$B$5:$B$54,MATCH(F447,Metas!$A$5:$A$54,0)),"⚠ ID de meta no existe"))</f>
        <v/>
      </c>
      <c r="H447" s="16" t="str">
        <f aca="false">IF(OR(C447="",D447=""),"",ROUND(MOD(D447-C447,1)*24,2))</f>
        <v/>
      </c>
      <c r="I447" s="18"/>
      <c r="J447" s="18"/>
      <c r="K447" s="18"/>
    </row>
    <row r="448" customFormat="false" ht="15" hidden="false" customHeight="false" outlineLevel="0" collapsed="false">
      <c r="A448" s="17"/>
      <c r="B448" s="18"/>
      <c r="C448" s="19"/>
      <c r="D448" s="19"/>
      <c r="E448" s="18"/>
      <c r="F448" s="18"/>
      <c r="G448" s="13" t="str">
        <f aca="false">IF(F448="","",IFERROR(INDEX(Metas!$B$5:$B$54,MATCH(F448,Metas!$A$5:$A$54,0)),"⚠ ID de meta no existe"))</f>
        <v/>
      </c>
      <c r="H448" s="16" t="str">
        <f aca="false">IF(OR(C448="",D448=""),"",ROUND(MOD(D448-C448,1)*24,2))</f>
        <v/>
      </c>
      <c r="I448" s="18"/>
      <c r="J448" s="18"/>
      <c r="K448" s="18"/>
    </row>
    <row r="449" customFormat="false" ht="15" hidden="false" customHeight="false" outlineLevel="0" collapsed="false">
      <c r="A449" s="17"/>
      <c r="B449" s="18"/>
      <c r="C449" s="19"/>
      <c r="D449" s="19"/>
      <c r="E449" s="18"/>
      <c r="F449" s="18"/>
      <c r="G449" s="13" t="str">
        <f aca="false">IF(F449="","",IFERROR(INDEX(Metas!$B$5:$B$54,MATCH(F449,Metas!$A$5:$A$54,0)),"⚠ ID de meta no existe"))</f>
        <v/>
      </c>
      <c r="H449" s="16" t="str">
        <f aca="false">IF(OR(C449="",D449=""),"",ROUND(MOD(D449-C449,1)*24,2))</f>
        <v/>
      </c>
      <c r="I449" s="18"/>
      <c r="J449" s="18"/>
      <c r="K449" s="18"/>
    </row>
    <row r="450" customFormat="false" ht="15" hidden="false" customHeight="false" outlineLevel="0" collapsed="false">
      <c r="A450" s="17"/>
      <c r="B450" s="18"/>
      <c r="C450" s="19"/>
      <c r="D450" s="19"/>
      <c r="E450" s="18"/>
      <c r="F450" s="18"/>
      <c r="G450" s="13" t="str">
        <f aca="false">IF(F450="","",IFERROR(INDEX(Metas!$B$5:$B$54,MATCH(F450,Metas!$A$5:$A$54,0)),"⚠ ID de meta no existe"))</f>
        <v/>
      </c>
      <c r="H450" s="16" t="str">
        <f aca="false">IF(OR(C450="",D450=""),"",ROUND(MOD(D450-C450,1)*24,2))</f>
        <v/>
      </c>
      <c r="I450" s="18"/>
      <c r="J450" s="18"/>
      <c r="K450" s="18"/>
    </row>
    <row r="451" customFormat="false" ht="15" hidden="false" customHeight="false" outlineLevel="0" collapsed="false">
      <c r="A451" s="17"/>
      <c r="B451" s="18"/>
      <c r="C451" s="19"/>
      <c r="D451" s="19"/>
      <c r="E451" s="18"/>
      <c r="F451" s="18"/>
      <c r="G451" s="13" t="str">
        <f aca="false">IF(F451="","",IFERROR(INDEX(Metas!$B$5:$B$54,MATCH(F451,Metas!$A$5:$A$54,0)),"⚠ ID de meta no existe"))</f>
        <v/>
      </c>
      <c r="H451" s="16" t="str">
        <f aca="false">IF(OR(C451="",D451=""),"",ROUND(MOD(D451-C451,1)*24,2))</f>
        <v/>
      </c>
      <c r="I451" s="18"/>
      <c r="J451" s="18"/>
      <c r="K451" s="18"/>
    </row>
    <row r="452" customFormat="false" ht="15" hidden="false" customHeight="false" outlineLevel="0" collapsed="false">
      <c r="A452" s="17"/>
      <c r="B452" s="18"/>
      <c r="C452" s="19"/>
      <c r="D452" s="19"/>
      <c r="E452" s="18"/>
      <c r="F452" s="18"/>
      <c r="G452" s="13" t="str">
        <f aca="false">IF(F452="","",IFERROR(INDEX(Metas!$B$5:$B$54,MATCH(F452,Metas!$A$5:$A$54,0)),"⚠ ID de meta no existe"))</f>
        <v/>
      </c>
      <c r="H452" s="16" t="str">
        <f aca="false">IF(OR(C452="",D452=""),"",ROUND(MOD(D452-C452,1)*24,2))</f>
        <v/>
      </c>
      <c r="I452" s="18"/>
      <c r="J452" s="18"/>
      <c r="K452" s="18"/>
    </row>
    <row r="453" customFormat="false" ht="15" hidden="false" customHeight="false" outlineLevel="0" collapsed="false">
      <c r="A453" s="17"/>
      <c r="B453" s="18"/>
      <c r="C453" s="19"/>
      <c r="D453" s="19"/>
      <c r="E453" s="18"/>
      <c r="F453" s="18"/>
      <c r="G453" s="13" t="str">
        <f aca="false">IF(F453="","",IFERROR(INDEX(Metas!$B$5:$B$54,MATCH(F453,Metas!$A$5:$A$54,0)),"⚠ ID de meta no existe"))</f>
        <v/>
      </c>
      <c r="H453" s="16" t="str">
        <f aca="false">IF(OR(C453="",D453=""),"",ROUND(MOD(D453-C453,1)*24,2))</f>
        <v/>
      </c>
      <c r="I453" s="18"/>
      <c r="J453" s="18"/>
      <c r="K453" s="18"/>
    </row>
    <row r="454" customFormat="false" ht="15" hidden="false" customHeight="false" outlineLevel="0" collapsed="false">
      <c r="A454" s="17"/>
      <c r="B454" s="18"/>
      <c r="C454" s="19"/>
      <c r="D454" s="19"/>
      <c r="E454" s="18"/>
      <c r="F454" s="18"/>
      <c r="G454" s="13" t="str">
        <f aca="false">IF(F454="","",IFERROR(INDEX(Metas!$B$5:$B$54,MATCH(F454,Metas!$A$5:$A$54,0)),"⚠ ID de meta no existe"))</f>
        <v/>
      </c>
      <c r="H454" s="16" t="str">
        <f aca="false">IF(OR(C454="",D454=""),"",ROUND(MOD(D454-C454,1)*24,2))</f>
        <v/>
      </c>
      <c r="I454" s="18"/>
      <c r="J454" s="18"/>
      <c r="K454" s="18"/>
    </row>
    <row r="455" customFormat="false" ht="15" hidden="false" customHeight="false" outlineLevel="0" collapsed="false">
      <c r="A455" s="17"/>
      <c r="B455" s="18"/>
      <c r="C455" s="19"/>
      <c r="D455" s="19"/>
      <c r="E455" s="18"/>
      <c r="F455" s="18"/>
      <c r="G455" s="13" t="str">
        <f aca="false">IF(F455="","",IFERROR(INDEX(Metas!$B$5:$B$54,MATCH(F455,Metas!$A$5:$A$54,0)),"⚠ ID de meta no existe"))</f>
        <v/>
      </c>
      <c r="H455" s="16" t="str">
        <f aca="false">IF(OR(C455="",D455=""),"",ROUND(MOD(D455-C455,1)*24,2))</f>
        <v/>
      </c>
      <c r="I455" s="18"/>
      <c r="J455" s="18"/>
      <c r="K455" s="18"/>
    </row>
    <row r="456" customFormat="false" ht="15" hidden="false" customHeight="false" outlineLevel="0" collapsed="false">
      <c r="A456" s="17"/>
      <c r="B456" s="18"/>
      <c r="C456" s="19"/>
      <c r="D456" s="19"/>
      <c r="E456" s="18"/>
      <c r="F456" s="18"/>
      <c r="G456" s="13" t="str">
        <f aca="false">IF(F456="","",IFERROR(INDEX(Metas!$B$5:$B$54,MATCH(F456,Metas!$A$5:$A$54,0)),"⚠ ID de meta no existe"))</f>
        <v/>
      </c>
      <c r="H456" s="16" t="str">
        <f aca="false">IF(OR(C456="",D456=""),"",ROUND(MOD(D456-C456,1)*24,2))</f>
        <v/>
      </c>
      <c r="I456" s="18"/>
      <c r="J456" s="18"/>
      <c r="K456" s="18"/>
    </row>
    <row r="457" customFormat="false" ht="15" hidden="false" customHeight="false" outlineLevel="0" collapsed="false">
      <c r="A457" s="17"/>
      <c r="B457" s="18"/>
      <c r="C457" s="19"/>
      <c r="D457" s="19"/>
      <c r="E457" s="18"/>
      <c r="F457" s="18"/>
      <c r="G457" s="13" t="str">
        <f aca="false">IF(F457="","",IFERROR(INDEX(Metas!$B$5:$B$54,MATCH(F457,Metas!$A$5:$A$54,0)),"⚠ ID de meta no existe"))</f>
        <v/>
      </c>
      <c r="H457" s="16" t="str">
        <f aca="false">IF(OR(C457="",D457=""),"",ROUND(MOD(D457-C457,1)*24,2))</f>
        <v/>
      </c>
      <c r="I457" s="18"/>
      <c r="J457" s="18"/>
      <c r="K457" s="18"/>
    </row>
    <row r="458" customFormat="false" ht="15" hidden="false" customHeight="false" outlineLevel="0" collapsed="false">
      <c r="A458" s="17"/>
      <c r="B458" s="18"/>
      <c r="C458" s="19"/>
      <c r="D458" s="19"/>
      <c r="E458" s="18"/>
      <c r="F458" s="18"/>
      <c r="G458" s="13" t="str">
        <f aca="false">IF(F458="","",IFERROR(INDEX(Metas!$B$5:$B$54,MATCH(F458,Metas!$A$5:$A$54,0)),"⚠ ID de meta no existe"))</f>
        <v/>
      </c>
      <c r="H458" s="16" t="str">
        <f aca="false">IF(OR(C458="",D458=""),"",ROUND(MOD(D458-C458,1)*24,2))</f>
        <v/>
      </c>
      <c r="I458" s="18"/>
      <c r="J458" s="18"/>
      <c r="K458" s="18"/>
    </row>
    <row r="459" customFormat="false" ht="15" hidden="false" customHeight="false" outlineLevel="0" collapsed="false">
      <c r="A459" s="17"/>
      <c r="B459" s="18"/>
      <c r="C459" s="19"/>
      <c r="D459" s="19"/>
      <c r="E459" s="18"/>
      <c r="F459" s="18"/>
      <c r="G459" s="13" t="str">
        <f aca="false">IF(F459="","",IFERROR(INDEX(Metas!$B$5:$B$54,MATCH(F459,Metas!$A$5:$A$54,0)),"⚠ ID de meta no existe"))</f>
        <v/>
      </c>
      <c r="H459" s="16" t="str">
        <f aca="false">IF(OR(C459="",D459=""),"",ROUND(MOD(D459-C459,1)*24,2))</f>
        <v/>
      </c>
      <c r="I459" s="18"/>
      <c r="J459" s="18"/>
      <c r="K459" s="18"/>
    </row>
    <row r="460" customFormat="false" ht="15" hidden="false" customHeight="false" outlineLevel="0" collapsed="false">
      <c r="A460" s="17"/>
      <c r="B460" s="18"/>
      <c r="C460" s="19"/>
      <c r="D460" s="19"/>
      <c r="E460" s="18"/>
      <c r="F460" s="18"/>
      <c r="G460" s="13" t="str">
        <f aca="false">IF(F460="","",IFERROR(INDEX(Metas!$B$5:$B$54,MATCH(F460,Metas!$A$5:$A$54,0)),"⚠ ID de meta no existe"))</f>
        <v/>
      </c>
      <c r="H460" s="16" t="str">
        <f aca="false">IF(OR(C460="",D460=""),"",ROUND(MOD(D460-C460,1)*24,2))</f>
        <v/>
      </c>
      <c r="I460" s="18"/>
      <c r="J460" s="18"/>
      <c r="K460" s="18"/>
    </row>
    <row r="461" customFormat="false" ht="15" hidden="false" customHeight="false" outlineLevel="0" collapsed="false">
      <c r="A461" s="17"/>
      <c r="B461" s="18"/>
      <c r="C461" s="19"/>
      <c r="D461" s="19"/>
      <c r="E461" s="18"/>
      <c r="F461" s="18"/>
      <c r="G461" s="13" t="str">
        <f aca="false">IF(F461="","",IFERROR(INDEX(Metas!$B$5:$B$54,MATCH(F461,Metas!$A$5:$A$54,0)),"⚠ ID de meta no existe"))</f>
        <v/>
      </c>
      <c r="H461" s="16" t="str">
        <f aca="false">IF(OR(C461="",D461=""),"",ROUND(MOD(D461-C461,1)*24,2))</f>
        <v/>
      </c>
      <c r="I461" s="18"/>
      <c r="J461" s="18"/>
      <c r="K461" s="18"/>
    </row>
    <row r="462" customFormat="false" ht="15" hidden="false" customHeight="false" outlineLevel="0" collapsed="false">
      <c r="A462" s="17"/>
      <c r="B462" s="18"/>
      <c r="C462" s="19"/>
      <c r="D462" s="19"/>
      <c r="E462" s="18"/>
      <c r="F462" s="18"/>
      <c r="G462" s="13" t="str">
        <f aca="false">IF(F462="","",IFERROR(INDEX(Metas!$B$5:$B$54,MATCH(F462,Metas!$A$5:$A$54,0)),"⚠ ID de meta no existe"))</f>
        <v/>
      </c>
      <c r="H462" s="16" t="str">
        <f aca="false">IF(OR(C462="",D462=""),"",ROUND(MOD(D462-C462,1)*24,2))</f>
        <v/>
      </c>
      <c r="I462" s="18"/>
      <c r="J462" s="18"/>
      <c r="K462" s="18"/>
    </row>
    <row r="463" customFormat="false" ht="15" hidden="false" customHeight="false" outlineLevel="0" collapsed="false">
      <c r="A463" s="17"/>
      <c r="B463" s="18"/>
      <c r="C463" s="19"/>
      <c r="D463" s="19"/>
      <c r="E463" s="18"/>
      <c r="F463" s="18"/>
      <c r="G463" s="13" t="str">
        <f aca="false">IF(F463="","",IFERROR(INDEX(Metas!$B$5:$B$54,MATCH(F463,Metas!$A$5:$A$54,0)),"⚠ ID de meta no existe"))</f>
        <v/>
      </c>
      <c r="H463" s="16" t="str">
        <f aca="false">IF(OR(C463="",D463=""),"",ROUND(MOD(D463-C463,1)*24,2))</f>
        <v/>
      </c>
      <c r="I463" s="18"/>
      <c r="J463" s="18"/>
      <c r="K463" s="18"/>
    </row>
    <row r="464" customFormat="false" ht="15" hidden="false" customHeight="false" outlineLevel="0" collapsed="false">
      <c r="A464" s="17"/>
      <c r="B464" s="18"/>
      <c r="C464" s="19"/>
      <c r="D464" s="19"/>
      <c r="E464" s="18"/>
      <c r="F464" s="18"/>
      <c r="G464" s="13" t="str">
        <f aca="false">IF(F464="","",IFERROR(INDEX(Metas!$B$5:$B$54,MATCH(F464,Metas!$A$5:$A$54,0)),"⚠ ID de meta no existe"))</f>
        <v/>
      </c>
      <c r="H464" s="16" t="str">
        <f aca="false">IF(OR(C464="",D464=""),"",ROUND(MOD(D464-C464,1)*24,2))</f>
        <v/>
      </c>
      <c r="I464" s="18"/>
      <c r="J464" s="18"/>
      <c r="K464" s="18"/>
    </row>
    <row r="465" customFormat="false" ht="15" hidden="false" customHeight="false" outlineLevel="0" collapsed="false">
      <c r="A465" s="17"/>
      <c r="B465" s="18"/>
      <c r="C465" s="19"/>
      <c r="D465" s="19"/>
      <c r="E465" s="18"/>
      <c r="F465" s="18"/>
      <c r="G465" s="13" t="str">
        <f aca="false">IF(F465="","",IFERROR(INDEX(Metas!$B$5:$B$54,MATCH(F465,Metas!$A$5:$A$54,0)),"⚠ ID de meta no existe"))</f>
        <v/>
      </c>
      <c r="H465" s="16" t="str">
        <f aca="false">IF(OR(C465="",D465=""),"",ROUND(MOD(D465-C465,1)*24,2))</f>
        <v/>
      </c>
      <c r="I465" s="18"/>
      <c r="J465" s="18"/>
      <c r="K465" s="18"/>
    </row>
    <row r="466" customFormat="false" ht="15" hidden="false" customHeight="false" outlineLevel="0" collapsed="false">
      <c r="A466" s="17"/>
      <c r="B466" s="18"/>
      <c r="C466" s="19"/>
      <c r="D466" s="19"/>
      <c r="E466" s="18"/>
      <c r="F466" s="18"/>
      <c r="G466" s="13" t="str">
        <f aca="false">IF(F466="","",IFERROR(INDEX(Metas!$B$5:$B$54,MATCH(F466,Metas!$A$5:$A$54,0)),"⚠ ID de meta no existe"))</f>
        <v/>
      </c>
      <c r="H466" s="16" t="str">
        <f aca="false">IF(OR(C466="",D466=""),"",ROUND(MOD(D466-C466,1)*24,2))</f>
        <v/>
      </c>
      <c r="I466" s="18"/>
      <c r="J466" s="18"/>
      <c r="K466" s="18"/>
    </row>
    <row r="467" customFormat="false" ht="15" hidden="false" customHeight="false" outlineLevel="0" collapsed="false">
      <c r="A467" s="17"/>
      <c r="B467" s="18"/>
      <c r="C467" s="19"/>
      <c r="D467" s="19"/>
      <c r="E467" s="18"/>
      <c r="F467" s="18"/>
      <c r="G467" s="13" t="str">
        <f aca="false">IF(F467="","",IFERROR(INDEX(Metas!$B$5:$B$54,MATCH(F467,Metas!$A$5:$A$54,0)),"⚠ ID de meta no existe"))</f>
        <v/>
      </c>
      <c r="H467" s="16" t="str">
        <f aca="false">IF(OR(C467="",D467=""),"",ROUND(MOD(D467-C467,1)*24,2))</f>
        <v/>
      </c>
      <c r="I467" s="18"/>
      <c r="J467" s="18"/>
      <c r="K467" s="18"/>
    </row>
    <row r="468" customFormat="false" ht="15" hidden="false" customHeight="false" outlineLevel="0" collapsed="false">
      <c r="A468" s="17"/>
      <c r="B468" s="18"/>
      <c r="C468" s="19"/>
      <c r="D468" s="19"/>
      <c r="E468" s="18"/>
      <c r="F468" s="18"/>
      <c r="G468" s="13" t="str">
        <f aca="false">IF(F468="","",IFERROR(INDEX(Metas!$B$5:$B$54,MATCH(F468,Metas!$A$5:$A$54,0)),"⚠ ID de meta no existe"))</f>
        <v/>
      </c>
      <c r="H468" s="16" t="str">
        <f aca="false">IF(OR(C468="",D468=""),"",ROUND(MOD(D468-C468,1)*24,2))</f>
        <v/>
      </c>
      <c r="I468" s="18"/>
      <c r="J468" s="18"/>
      <c r="K468" s="18"/>
    </row>
    <row r="469" customFormat="false" ht="15" hidden="false" customHeight="false" outlineLevel="0" collapsed="false">
      <c r="A469" s="17"/>
      <c r="B469" s="18"/>
      <c r="C469" s="19"/>
      <c r="D469" s="19"/>
      <c r="E469" s="18"/>
      <c r="F469" s="18"/>
      <c r="G469" s="13" t="str">
        <f aca="false">IF(F469="","",IFERROR(INDEX(Metas!$B$5:$B$54,MATCH(F469,Metas!$A$5:$A$54,0)),"⚠ ID de meta no existe"))</f>
        <v/>
      </c>
      <c r="H469" s="16" t="str">
        <f aca="false">IF(OR(C469="",D469=""),"",ROUND(MOD(D469-C469,1)*24,2))</f>
        <v/>
      </c>
      <c r="I469" s="18"/>
      <c r="J469" s="18"/>
      <c r="K469" s="18"/>
    </row>
    <row r="470" customFormat="false" ht="15" hidden="false" customHeight="false" outlineLevel="0" collapsed="false">
      <c r="A470" s="17"/>
      <c r="B470" s="18"/>
      <c r="C470" s="19"/>
      <c r="D470" s="19"/>
      <c r="E470" s="18"/>
      <c r="F470" s="18"/>
      <c r="G470" s="13" t="str">
        <f aca="false">IF(F470="","",IFERROR(INDEX(Metas!$B$5:$B$54,MATCH(F470,Metas!$A$5:$A$54,0)),"⚠ ID de meta no existe"))</f>
        <v/>
      </c>
      <c r="H470" s="16" t="str">
        <f aca="false">IF(OR(C470="",D470=""),"",ROUND(MOD(D470-C470,1)*24,2))</f>
        <v/>
      </c>
      <c r="I470" s="18"/>
      <c r="J470" s="18"/>
      <c r="K470" s="18"/>
    </row>
    <row r="471" customFormat="false" ht="15" hidden="false" customHeight="false" outlineLevel="0" collapsed="false">
      <c r="A471" s="17"/>
      <c r="B471" s="18"/>
      <c r="C471" s="19"/>
      <c r="D471" s="19"/>
      <c r="E471" s="18"/>
      <c r="F471" s="18"/>
      <c r="G471" s="13" t="str">
        <f aca="false">IF(F471="","",IFERROR(INDEX(Metas!$B$5:$B$54,MATCH(F471,Metas!$A$5:$A$54,0)),"⚠ ID de meta no existe"))</f>
        <v/>
      </c>
      <c r="H471" s="16" t="str">
        <f aca="false">IF(OR(C471="",D471=""),"",ROUND(MOD(D471-C471,1)*24,2))</f>
        <v/>
      </c>
      <c r="I471" s="18"/>
      <c r="J471" s="18"/>
      <c r="K471" s="18"/>
    </row>
    <row r="472" customFormat="false" ht="15" hidden="false" customHeight="false" outlineLevel="0" collapsed="false">
      <c r="A472" s="17"/>
      <c r="B472" s="18"/>
      <c r="C472" s="19"/>
      <c r="D472" s="19"/>
      <c r="E472" s="18"/>
      <c r="F472" s="18"/>
      <c r="G472" s="13" t="str">
        <f aca="false">IF(F472="","",IFERROR(INDEX(Metas!$B$5:$B$54,MATCH(F472,Metas!$A$5:$A$54,0)),"⚠ ID de meta no existe"))</f>
        <v/>
      </c>
      <c r="H472" s="16" t="str">
        <f aca="false">IF(OR(C472="",D472=""),"",ROUND(MOD(D472-C472,1)*24,2))</f>
        <v/>
      </c>
      <c r="I472" s="18"/>
      <c r="J472" s="18"/>
      <c r="K472" s="18"/>
    </row>
    <row r="473" customFormat="false" ht="15" hidden="false" customHeight="false" outlineLevel="0" collapsed="false">
      <c r="A473" s="17"/>
      <c r="B473" s="18"/>
      <c r="C473" s="19"/>
      <c r="D473" s="19"/>
      <c r="E473" s="18"/>
      <c r="F473" s="18"/>
      <c r="G473" s="13" t="str">
        <f aca="false">IF(F473="","",IFERROR(INDEX(Metas!$B$5:$B$54,MATCH(F473,Metas!$A$5:$A$54,0)),"⚠ ID de meta no existe"))</f>
        <v/>
      </c>
      <c r="H473" s="16" t="str">
        <f aca="false">IF(OR(C473="",D473=""),"",ROUND(MOD(D473-C473,1)*24,2))</f>
        <v/>
      </c>
      <c r="I473" s="18"/>
      <c r="J473" s="18"/>
      <c r="K473" s="18"/>
    </row>
    <row r="474" customFormat="false" ht="15" hidden="false" customHeight="false" outlineLevel="0" collapsed="false">
      <c r="A474" s="17"/>
      <c r="B474" s="18"/>
      <c r="C474" s="19"/>
      <c r="D474" s="19"/>
      <c r="E474" s="18"/>
      <c r="F474" s="18"/>
      <c r="G474" s="13" t="str">
        <f aca="false">IF(F474="","",IFERROR(INDEX(Metas!$B$5:$B$54,MATCH(F474,Metas!$A$5:$A$54,0)),"⚠ ID de meta no existe"))</f>
        <v/>
      </c>
      <c r="H474" s="16" t="str">
        <f aca="false">IF(OR(C474="",D474=""),"",ROUND(MOD(D474-C474,1)*24,2))</f>
        <v/>
      </c>
      <c r="I474" s="18"/>
      <c r="J474" s="18"/>
      <c r="K474" s="18"/>
    </row>
    <row r="475" customFormat="false" ht="15" hidden="false" customHeight="false" outlineLevel="0" collapsed="false">
      <c r="A475" s="17"/>
      <c r="B475" s="18"/>
      <c r="C475" s="19"/>
      <c r="D475" s="19"/>
      <c r="E475" s="18"/>
      <c r="F475" s="18"/>
      <c r="G475" s="13" t="str">
        <f aca="false">IF(F475="","",IFERROR(INDEX(Metas!$B$5:$B$54,MATCH(F475,Metas!$A$5:$A$54,0)),"⚠ ID de meta no existe"))</f>
        <v/>
      </c>
      <c r="H475" s="16" t="str">
        <f aca="false">IF(OR(C475="",D475=""),"",ROUND(MOD(D475-C475,1)*24,2))</f>
        <v/>
      </c>
      <c r="I475" s="18"/>
      <c r="J475" s="18"/>
      <c r="K475" s="18"/>
    </row>
    <row r="476" customFormat="false" ht="15" hidden="false" customHeight="false" outlineLevel="0" collapsed="false">
      <c r="A476" s="17"/>
      <c r="B476" s="18"/>
      <c r="C476" s="19"/>
      <c r="D476" s="19"/>
      <c r="E476" s="18"/>
      <c r="F476" s="18"/>
      <c r="G476" s="13" t="str">
        <f aca="false">IF(F476="","",IFERROR(INDEX(Metas!$B$5:$B$54,MATCH(F476,Metas!$A$5:$A$54,0)),"⚠ ID de meta no existe"))</f>
        <v/>
      </c>
      <c r="H476" s="16" t="str">
        <f aca="false">IF(OR(C476="",D476=""),"",ROUND(MOD(D476-C476,1)*24,2))</f>
        <v/>
      </c>
      <c r="I476" s="18"/>
      <c r="J476" s="18"/>
      <c r="K476" s="18"/>
    </row>
    <row r="477" customFormat="false" ht="15" hidden="false" customHeight="false" outlineLevel="0" collapsed="false">
      <c r="A477" s="17"/>
      <c r="B477" s="18"/>
      <c r="C477" s="19"/>
      <c r="D477" s="19"/>
      <c r="E477" s="18"/>
      <c r="F477" s="18"/>
      <c r="G477" s="13" t="str">
        <f aca="false">IF(F477="","",IFERROR(INDEX(Metas!$B$5:$B$54,MATCH(F477,Metas!$A$5:$A$54,0)),"⚠ ID de meta no existe"))</f>
        <v/>
      </c>
      <c r="H477" s="16" t="str">
        <f aca="false">IF(OR(C477="",D477=""),"",ROUND(MOD(D477-C477,1)*24,2))</f>
        <v/>
      </c>
      <c r="I477" s="18"/>
      <c r="J477" s="18"/>
      <c r="K477" s="18"/>
    </row>
    <row r="478" customFormat="false" ht="15" hidden="false" customHeight="false" outlineLevel="0" collapsed="false">
      <c r="A478" s="17"/>
      <c r="B478" s="18"/>
      <c r="C478" s="19"/>
      <c r="D478" s="19"/>
      <c r="E478" s="18"/>
      <c r="F478" s="18"/>
      <c r="G478" s="13" t="str">
        <f aca="false">IF(F478="","",IFERROR(INDEX(Metas!$B$5:$B$54,MATCH(F478,Metas!$A$5:$A$54,0)),"⚠ ID de meta no existe"))</f>
        <v/>
      </c>
      <c r="H478" s="16" t="str">
        <f aca="false">IF(OR(C478="",D478=""),"",ROUND(MOD(D478-C478,1)*24,2))</f>
        <v/>
      </c>
      <c r="I478" s="18"/>
      <c r="J478" s="18"/>
      <c r="K478" s="18"/>
    </row>
    <row r="479" customFormat="false" ht="15" hidden="false" customHeight="false" outlineLevel="0" collapsed="false">
      <c r="A479" s="17"/>
      <c r="B479" s="18"/>
      <c r="C479" s="19"/>
      <c r="D479" s="19"/>
      <c r="E479" s="18"/>
      <c r="F479" s="18"/>
      <c r="G479" s="13" t="str">
        <f aca="false">IF(F479="","",IFERROR(INDEX(Metas!$B$5:$B$54,MATCH(F479,Metas!$A$5:$A$54,0)),"⚠ ID de meta no existe"))</f>
        <v/>
      </c>
      <c r="H479" s="16" t="str">
        <f aca="false">IF(OR(C479="",D479=""),"",ROUND(MOD(D479-C479,1)*24,2))</f>
        <v/>
      </c>
      <c r="I479" s="18"/>
      <c r="J479" s="18"/>
      <c r="K479" s="18"/>
    </row>
    <row r="480" customFormat="false" ht="15" hidden="false" customHeight="false" outlineLevel="0" collapsed="false">
      <c r="A480" s="17"/>
      <c r="B480" s="18"/>
      <c r="C480" s="19"/>
      <c r="D480" s="19"/>
      <c r="E480" s="18"/>
      <c r="F480" s="18"/>
      <c r="G480" s="13" t="str">
        <f aca="false">IF(F480="","",IFERROR(INDEX(Metas!$B$5:$B$54,MATCH(F480,Metas!$A$5:$A$54,0)),"⚠ ID de meta no existe"))</f>
        <v/>
      </c>
      <c r="H480" s="16" t="str">
        <f aca="false">IF(OR(C480="",D480=""),"",ROUND(MOD(D480-C480,1)*24,2))</f>
        <v/>
      </c>
      <c r="I480" s="18"/>
      <c r="J480" s="18"/>
      <c r="K480" s="18"/>
    </row>
    <row r="481" customFormat="false" ht="15" hidden="false" customHeight="false" outlineLevel="0" collapsed="false">
      <c r="A481" s="17"/>
      <c r="B481" s="18"/>
      <c r="C481" s="19"/>
      <c r="D481" s="19"/>
      <c r="E481" s="18"/>
      <c r="F481" s="18"/>
      <c r="G481" s="13" t="str">
        <f aca="false">IF(F481="","",IFERROR(INDEX(Metas!$B$5:$B$54,MATCH(F481,Metas!$A$5:$A$54,0)),"⚠ ID de meta no existe"))</f>
        <v/>
      </c>
      <c r="H481" s="16" t="str">
        <f aca="false">IF(OR(C481="",D481=""),"",ROUND(MOD(D481-C481,1)*24,2))</f>
        <v/>
      </c>
      <c r="I481" s="18"/>
      <c r="J481" s="18"/>
      <c r="K481" s="18"/>
    </row>
    <row r="482" customFormat="false" ht="15" hidden="false" customHeight="false" outlineLevel="0" collapsed="false">
      <c r="A482" s="17"/>
      <c r="B482" s="18"/>
      <c r="C482" s="19"/>
      <c r="D482" s="19"/>
      <c r="E482" s="18"/>
      <c r="F482" s="18"/>
      <c r="G482" s="13" t="str">
        <f aca="false">IF(F482="","",IFERROR(INDEX(Metas!$B$5:$B$54,MATCH(F482,Metas!$A$5:$A$54,0)),"⚠ ID de meta no existe"))</f>
        <v/>
      </c>
      <c r="H482" s="16" t="str">
        <f aca="false">IF(OR(C482="",D482=""),"",ROUND(MOD(D482-C482,1)*24,2))</f>
        <v/>
      </c>
      <c r="I482" s="18"/>
      <c r="J482" s="18"/>
      <c r="K482" s="18"/>
    </row>
    <row r="483" customFormat="false" ht="15" hidden="false" customHeight="false" outlineLevel="0" collapsed="false">
      <c r="A483" s="17"/>
      <c r="B483" s="18"/>
      <c r="C483" s="19"/>
      <c r="D483" s="19"/>
      <c r="E483" s="18"/>
      <c r="F483" s="18"/>
      <c r="G483" s="13" t="str">
        <f aca="false">IF(F483="","",IFERROR(INDEX(Metas!$B$5:$B$54,MATCH(F483,Metas!$A$5:$A$54,0)),"⚠ ID de meta no existe"))</f>
        <v/>
      </c>
      <c r="H483" s="16" t="str">
        <f aca="false">IF(OR(C483="",D483=""),"",ROUND(MOD(D483-C483,1)*24,2))</f>
        <v/>
      </c>
      <c r="I483" s="18"/>
      <c r="J483" s="18"/>
      <c r="K483" s="18"/>
    </row>
    <row r="484" customFormat="false" ht="15" hidden="false" customHeight="false" outlineLevel="0" collapsed="false">
      <c r="A484" s="17"/>
      <c r="B484" s="18"/>
      <c r="C484" s="19"/>
      <c r="D484" s="19"/>
      <c r="E484" s="18"/>
      <c r="F484" s="18"/>
      <c r="G484" s="13" t="str">
        <f aca="false">IF(F484="","",IFERROR(INDEX(Metas!$B$5:$B$54,MATCH(F484,Metas!$A$5:$A$54,0)),"⚠ ID de meta no existe"))</f>
        <v/>
      </c>
      <c r="H484" s="16" t="str">
        <f aca="false">IF(OR(C484="",D484=""),"",ROUND(MOD(D484-C484,1)*24,2))</f>
        <v/>
      </c>
      <c r="I484" s="18"/>
      <c r="J484" s="18"/>
      <c r="K484" s="18"/>
    </row>
    <row r="485" customFormat="false" ht="15" hidden="false" customHeight="false" outlineLevel="0" collapsed="false">
      <c r="A485" s="17"/>
      <c r="B485" s="18"/>
      <c r="C485" s="19"/>
      <c r="D485" s="19"/>
      <c r="E485" s="18"/>
      <c r="F485" s="18"/>
      <c r="G485" s="13" t="str">
        <f aca="false">IF(F485="","",IFERROR(INDEX(Metas!$B$5:$B$54,MATCH(F485,Metas!$A$5:$A$54,0)),"⚠ ID de meta no existe"))</f>
        <v/>
      </c>
      <c r="H485" s="16" t="str">
        <f aca="false">IF(OR(C485="",D485=""),"",ROUND(MOD(D485-C485,1)*24,2))</f>
        <v/>
      </c>
      <c r="I485" s="18"/>
      <c r="J485" s="18"/>
      <c r="K485" s="18"/>
    </row>
    <row r="486" customFormat="false" ht="15" hidden="false" customHeight="false" outlineLevel="0" collapsed="false">
      <c r="A486" s="17"/>
      <c r="B486" s="18"/>
      <c r="C486" s="19"/>
      <c r="D486" s="19"/>
      <c r="E486" s="18"/>
      <c r="F486" s="18"/>
      <c r="G486" s="13" t="str">
        <f aca="false">IF(F486="","",IFERROR(INDEX(Metas!$B$5:$B$54,MATCH(F486,Metas!$A$5:$A$54,0)),"⚠ ID de meta no existe"))</f>
        <v/>
      </c>
      <c r="H486" s="16" t="str">
        <f aca="false">IF(OR(C486="",D486=""),"",ROUND(MOD(D486-C486,1)*24,2))</f>
        <v/>
      </c>
      <c r="I486" s="18"/>
      <c r="J486" s="18"/>
      <c r="K486" s="18"/>
    </row>
    <row r="487" customFormat="false" ht="15" hidden="false" customHeight="false" outlineLevel="0" collapsed="false">
      <c r="A487" s="17"/>
      <c r="B487" s="18"/>
      <c r="C487" s="19"/>
      <c r="D487" s="19"/>
      <c r="E487" s="18"/>
      <c r="F487" s="18"/>
      <c r="G487" s="13" t="str">
        <f aca="false">IF(F487="","",IFERROR(INDEX(Metas!$B$5:$B$54,MATCH(F487,Metas!$A$5:$A$54,0)),"⚠ ID de meta no existe"))</f>
        <v/>
      </c>
      <c r="H487" s="16" t="str">
        <f aca="false">IF(OR(C487="",D487=""),"",ROUND(MOD(D487-C487,1)*24,2))</f>
        <v/>
      </c>
      <c r="I487" s="18"/>
      <c r="J487" s="18"/>
      <c r="K487" s="18"/>
    </row>
    <row r="488" customFormat="false" ht="15" hidden="false" customHeight="false" outlineLevel="0" collapsed="false">
      <c r="A488" s="17"/>
      <c r="B488" s="18"/>
      <c r="C488" s="19"/>
      <c r="D488" s="19"/>
      <c r="E488" s="18"/>
      <c r="F488" s="18"/>
      <c r="G488" s="13" t="str">
        <f aca="false">IF(F488="","",IFERROR(INDEX(Metas!$B$5:$B$54,MATCH(F488,Metas!$A$5:$A$54,0)),"⚠ ID de meta no existe"))</f>
        <v/>
      </c>
      <c r="H488" s="16" t="str">
        <f aca="false">IF(OR(C488="",D488=""),"",ROUND(MOD(D488-C488,1)*24,2))</f>
        <v/>
      </c>
      <c r="I488" s="18"/>
      <c r="J488" s="18"/>
      <c r="K488" s="18"/>
    </row>
    <row r="489" customFormat="false" ht="15" hidden="false" customHeight="false" outlineLevel="0" collapsed="false">
      <c r="A489" s="17"/>
      <c r="B489" s="18"/>
      <c r="C489" s="19"/>
      <c r="D489" s="19"/>
      <c r="E489" s="18"/>
      <c r="F489" s="18"/>
      <c r="G489" s="13" t="str">
        <f aca="false">IF(F489="","",IFERROR(INDEX(Metas!$B$5:$B$54,MATCH(F489,Metas!$A$5:$A$54,0)),"⚠ ID de meta no existe"))</f>
        <v/>
      </c>
      <c r="H489" s="16" t="str">
        <f aca="false">IF(OR(C489="",D489=""),"",ROUND(MOD(D489-C489,1)*24,2))</f>
        <v/>
      </c>
      <c r="I489" s="18"/>
      <c r="J489" s="18"/>
      <c r="K489" s="18"/>
    </row>
    <row r="490" customFormat="false" ht="15" hidden="false" customHeight="false" outlineLevel="0" collapsed="false">
      <c r="A490" s="17"/>
      <c r="B490" s="18"/>
      <c r="C490" s="19"/>
      <c r="D490" s="19"/>
      <c r="E490" s="18"/>
      <c r="F490" s="18"/>
      <c r="G490" s="13" t="str">
        <f aca="false">IF(F490="","",IFERROR(INDEX(Metas!$B$5:$B$54,MATCH(F490,Metas!$A$5:$A$54,0)),"⚠ ID de meta no existe"))</f>
        <v/>
      </c>
      <c r="H490" s="16" t="str">
        <f aca="false">IF(OR(C490="",D490=""),"",ROUND(MOD(D490-C490,1)*24,2))</f>
        <v/>
      </c>
      <c r="I490" s="18"/>
      <c r="J490" s="18"/>
      <c r="K490" s="18"/>
    </row>
    <row r="491" customFormat="false" ht="15" hidden="false" customHeight="false" outlineLevel="0" collapsed="false">
      <c r="A491" s="17"/>
      <c r="B491" s="18"/>
      <c r="C491" s="19"/>
      <c r="D491" s="19"/>
      <c r="E491" s="18"/>
      <c r="F491" s="18"/>
      <c r="G491" s="13" t="str">
        <f aca="false">IF(F491="","",IFERROR(INDEX(Metas!$B$5:$B$54,MATCH(F491,Metas!$A$5:$A$54,0)),"⚠ ID de meta no existe"))</f>
        <v/>
      </c>
      <c r="H491" s="16" t="str">
        <f aca="false">IF(OR(C491="",D491=""),"",ROUND(MOD(D491-C491,1)*24,2))</f>
        <v/>
      </c>
      <c r="I491" s="18"/>
      <c r="J491" s="18"/>
      <c r="K491" s="18"/>
    </row>
    <row r="492" customFormat="false" ht="15" hidden="false" customHeight="false" outlineLevel="0" collapsed="false">
      <c r="A492" s="17"/>
      <c r="B492" s="18"/>
      <c r="C492" s="19"/>
      <c r="D492" s="19"/>
      <c r="E492" s="18"/>
      <c r="F492" s="18"/>
      <c r="G492" s="13" t="str">
        <f aca="false">IF(F492="","",IFERROR(INDEX(Metas!$B$5:$B$54,MATCH(F492,Metas!$A$5:$A$54,0)),"⚠ ID de meta no existe"))</f>
        <v/>
      </c>
      <c r="H492" s="16" t="str">
        <f aca="false">IF(OR(C492="",D492=""),"",ROUND(MOD(D492-C492,1)*24,2))</f>
        <v/>
      </c>
      <c r="I492" s="18"/>
      <c r="J492" s="18"/>
      <c r="K492" s="18"/>
    </row>
    <row r="493" customFormat="false" ht="15" hidden="false" customHeight="false" outlineLevel="0" collapsed="false">
      <c r="A493" s="17"/>
      <c r="B493" s="18"/>
      <c r="C493" s="19"/>
      <c r="D493" s="19"/>
      <c r="E493" s="18"/>
      <c r="F493" s="18"/>
      <c r="G493" s="13" t="str">
        <f aca="false">IF(F493="","",IFERROR(INDEX(Metas!$B$5:$B$54,MATCH(F493,Metas!$A$5:$A$54,0)),"⚠ ID de meta no existe"))</f>
        <v/>
      </c>
      <c r="H493" s="16" t="str">
        <f aca="false">IF(OR(C493="",D493=""),"",ROUND(MOD(D493-C493,1)*24,2))</f>
        <v/>
      </c>
      <c r="I493" s="18"/>
      <c r="J493" s="18"/>
      <c r="K493" s="18"/>
    </row>
    <row r="494" customFormat="false" ht="15" hidden="false" customHeight="false" outlineLevel="0" collapsed="false">
      <c r="A494" s="17"/>
      <c r="B494" s="18"/>
      <c r="C494" s="19"/>
      <c r="D494" s="19"/>
      <c r="E494" s="18"/>
      <c r="F494" s="18"/>
      <c r="G494" s="13" t="str">
        <f aca="false">IF(F494="","",IFERROR(INDEX(Metas!$B$5:$B$54,MATCH(F494,Metas!$A$5:$A$54,0)),"⚠ ID de meta no existe"))</f>
        <v/>
      </c>
      <c r="H494" s="16" t="str">
        <f aca="false">IF(OR(C494="",D494=""),"",ROUND(MOD(D494-C494,1)*24,2))</f>
        <v/>
      </c>
      <c r="I494" s="18"/>
      <c r="J494" s="18"/>
      <c r="K494" s="18"/>
    </row>
    <row r="495" customFormat="false" ht="15" hidden="false" customHeight="false" outlineLevel="0" collapsed="false">
      <c r="A495" s="17"/>
      <c r="B495" s="18"/>
      <c r="C495" s="19"/>
      <c r="D495" s="19"/>
      <c r="E495" s="18"/>
      <c r="F495" s="18"/>
      <c r="G495" s="13" t="str">
        <f aca="false">IF(F495="","",IFERROR(INDEX(Metas!$B$5:$B$54,MATCH(F495,Metas!$A$5:$A$54,0)),"⚠ ID de meta no existe"))</f>
        <v/>
      </c>
      <c r="H495" s="16" t="str">
        <f aca="false">IF(OR(C495="",D495=""),"",ROUND(MOD(D495-C495,1)*24,2))</f>
        <v/>
      </c>
      <c r="I495" s="18"/>
      <c r="J495" s="18"/>
      <c r="K495" s="18"/>
    </row>
    <row r="496" customFormat="false" ht="15" hidden="false" customHeight="false" outlineLevel="0" collapsed="false">
      <c r="A496" s="17"/>
      <c r="B496" s="18"/>
      <c r="C496" s="19"/>
      <c r="D496" s="19"/>
      <c r="E496" s="18"/>
      <c r="F496" s="18"/>
      <c r="G496" s="13" t="str">
        <f aca="false">IF(F496="","",IFERROR(INDEX(Metas!$B$5:$B$54,MATCH(F496,Metas!$A$5:$A$54,0)),"⚠ ID de meta no existe"))</f>
        <v/>
      </c>
      <c r="H496" s="16" t="str">
        <f aca="false">IF(OR(C496="",D496=""),"",ROUND(MOD(D496-C496,1)*24,2))</f>
        <v/>
      </c>
      <c r="I496" s="18"/>
      <c r="J496" s="18"/>
      <c r="K496" s="18"/>
    </row>
    <row r="497" customFormat="false" ht="15" hidden="false" customHeight="false" outlineLevel="0" collapsed="false">
      <c r="A497" s="17"/>
      <c r="B497" s="18"/>
      <c r="C497" s="19"/>
      <c r="D497" s="19"/>
      <c r="E497" s="18"/>
      <c r="F497" s="18"/>
      <c r="G497" s="13" t="str">
        <f aca="false">IF(F497="","",IFERROR(INDEX(Metas!$B$5:$B$54,MATCH(F497,Metas!$A$5:$A$54,0)),"⚠ ID de meta no existe"))</f>
        <v/>
      </c>
      <c r="H497" s="16" t="str">
        <f aca="false">IF(OR(C497="",D497=""),"",ROUND(MOD(D497-C497,1)*24,2))</f>
        <v/>
      </c>
      <c r="I497" s="18"/>
      <c r="J497" s="18"/>
      <c r="K497" s="18"/>
    </row>
    <row r="498" customFormat="false" ht="15" hidden="false" customHeight="false" outlineLevel="0" collapsed="false">
      <c r="A498" s="17"/>
      <c r="B498" s="18"/>
      <c r="C498" s="19"/>
      <c r="D498" s="19"/>
      <c r="E498" s="18"/>
      <c r="F498" s="18"/>
      <c r="G498" s="13" t="str">
        <f aca="false">IF(F498="","",IFERROR(INDEX(Metas!$B$5:$B$54,MATCH(F498,Metas!$A$5:$A$54,0)),"⚠ ID de meta no existe"))</f>
        <v/>
      </c>
      <c r="H498" s="16" t="str">
        <f aca="false">IF(OR(C498="",D498=""),"",ROUND(MOD(D498-C498,1)*24,2))</f>
        <v/>
      </c>
      <c r="I498" s="18"/>
      <c r="J498" s="18"/>
      <c r="K498" s="18"/>
    </row>
    <row r="499" customFormat="false" ht="15" hidden="false" customHeight="false" outlineLevel="0" collapsed="false">
      <c r="A499" s="17"/>
      <c r="B499" s="18"/>
      <c r="C499" s="19"/>
      <c r="D499" s="19"/>
      <c r="E499" s="18"/>
      <c r="F499" s="18"/>
      <c r="G499" s="13" t="str">
        <f aca="false">IF(F499="","",IFERROR(INDEX(Metas!$B$5:$B$54,MATCH(F499,Metas!$A$5:$A$54,0)),"⚠ ID de meta no existe"))</f>
        <v/>
      </c>
      <c r="H499" s="16" t="str">
        <f aca="false">IF(OR(C499="",D499=""),"",ROUND(MOD(D499-C499,1)*24,2))</f>
        <v/>
      </c>
      <c r="I499" s="18"/>
      <c r="J499" s="18"/>
      <c r="K499" s="18"/>
    </row>
    <row r="500" customFormat="false" ht="15" hidden="false" customHeight="false" outlineLevel="0" collapsed="false">
      <c r="A500" s="17"/>
      <c r="B500" s="18"/>
      <c r="C500" s="19"/>
      <c r="D500" s="19"/>
      <c r="E500" s="18"/>
      <c r="F500" s="18"/>
      <c r="G500" s="13" t="str">
        <f aca="false">IF(F500="","",IFERROR(INDEX(Metas!$B$5:$B$54,MATCH(F500,Metas!$A$5:$A$54,0)),"⚠ ID de meta no existe"))</f>
        <v/>
      </c>
      <c r="H500" s="16" t="str">
        <f aca="false">IF(OR(C500="",D500=""),"",ROUND(MOD(D500-C500,1)*24,2))</f>
        <v/>
      </c>
      <c r="I500" s="18"/>
      <c r="J500" s="18"/>
      <c r="K500" s="18"/>
    </row>
    <row r="501" customFormat="false" ht="15" hidden="false" customHeight="false" outlineLevel="0" collapsed="false">
      <c r="A501" s="17"/>
      <c r="B501" s="18"/>
      <c r="C501" s="19"/>
      <c r="D501" s="19"/>
      <c r="E501" s="18"/>
      <c r="F501" s="18"/>
      <c r="G501" s="13" t="str">
        <f aca="false">IF(F501="","",IFERROR(INDEX(Metas!$B$5:$B$54,MATCH(F501,Metas!$A$5:$A$54,0)),"⚠ ID de meta no existe"))</f>
        <v/>
      </c>
      <c r="H501" s="16" t="str">
        <f aca="false">IF(OR(C501="",D501=""),"",ROUND(MOD(D501-C501,1)*24,2))</f>
        <v/>
      </c>
      <c r="I501" s="18"/>
      <c r="J501" s="18"/>
      <c r="K501" s="18"/>
    </row>
    <row r="502" customFormat="false" ht="15" hidden="false" customHeight="false" outlineLevel="0" collapsed="false">
      <c r="A502" s="17"/>
      <c r="B502" s="18"/>
      <c r="C502" s="19"/>
      <c r="D502" s="19"/>
      <c r="E502" s="18"/>
      <c r="F502" s="18"/>
      <c r="G502" s="13" t="str">
        <f aca="false">IF(F502="","",IFERROR(INDEX(Metas!$B$5:$B$54,MATCH(F502,Metas!$A$5:$A$54,0)),"⚠ ID de meta no existe"))</f>
        <v/>
      </c>
      <c r="H502" s="16" t="str">
        <f aca="false">IF(OR(C502="",D502=""),"",ROUND(MOD(D502-C502,1)*24,2))</f>
        <v/>
      </c>
      <c r="I502" s="18"/>
      <c r="J502" s="18"/>
      <c r="K502" s="18"/>
    </row>
    <row r="503" customFormat="false" ht="15" hidden="false" customHeight="false" outlineLevel="0" collapsed="false">
      <c r="A503" s="17"/>
      <c r="B503" s="18"/>
      <c r="C503" s="19"/>
      <c r="D503" s="19"/>
      <c r="E503" s="18"/>
      <c r="F503" s="18"/>
      <c r="G503" s="13" t="str">
        <f aca="false">IF(F503="","",IFERROR(INDEX(Metas!$B$5:$B$54,MATCH(F503,Metas!$A$5:$A$54,0)),"⚠ ID de meta no existe"))</f>
        <v/>
      </c>
      <c r="H503" s="16" t="str">
        <f aca="false">IF(OR(C503="",D503=""),"",ROUND(MOD(D503-C503,1)*24,2))</f>
        <v/>
      </c>
      <c r="I503" s="18"/>
      <c r="J503" s="18"/>
      <c r="K503" s="18"/>
    </row>
    <row r="504" customFormat="false" ht="15" hidden="false" customHeight="false" outlineLevel="0" collapsed="false">
      <c r="A504" s="17"/>
      <c r="B504" s="18"/>
      <c r="C504" s="19"/>
      <c r="D504" s="19"/>
      <c r="E504" s="18"/>
      <c r="F504" s="18"/>
      <c r="G504" s="13" t="str">
        <f aca="false">IF(F504="","",IFERROR(INDEX(Metas!$B$5:$B$54,MATCH(F504,Metas!$A$5:$A$54,0)),"⚠ ID de meta no existe"))</f>
        <v/>
      </c>
      <c r="H504" s="16" t="str">
        <f aca="false">IF(OR(C504="",D504=""),"",ROUND(MOD(D504-C504,1)*24,2))</f>
        <v/>
      </c>
      <c r="I504" s="18"/>
      <c r="J504" s="18"/>
      <c r="K504" s="18"/>
    </row>
    <row r="505" customFormat="false" ht="15" hidden="false" customHeight="false" outlineLevel="0" collapsed="false">
      <c r="A505" s="17"/>
      <c r="B505" s="18"/>
      <c r="C505" s="19"/>
      <c r="D505" s="19"/>
      <c r="E505" s="18"/>
      <c r="F505" s="18"/>
      <c r="G505" s="13" t="str">
        <f aca="false">IF(F505="","",IFERROR(INDEX(Metas!$B$5:$B$54,MATCH(F505,Metas!$A$5:$A$54,0)),"⚠ ID de meta no existe"))</f>
        <v/>
      </c>
      <c r="H505" s="16" t="str">
        <f aca="false">IF(OR(C505="",D505=""),"",ROUND(MOD(D505-C505,1)*24,2))</f>
        <v/>
      </c>
      <c r="I505" s="18"/>
      <c r="J505" s="18"/>
      <c r="K505" s="18"/>
    </row>
    <row r="506" customFormat="false" ht="15" hidden="false" customHeight="false" outlineLevel="0" collapsed="false">
      <c r="A506" s="17"/>
      <c r="B506" s="18"/>
      <c r="C506" s="19"/>
      <c r="D506" s="19"/>
      <c r="E506" s="18"/>
      <c r="F506" s="18"/>
      <c r="G506" s="13" t="str">
        <f aca="false">IF(F506="","",IFERROR(INDEX(Metas!$B$5:$B$54,MATCH(F506,Metas!$A$5:$A$54,0)),"⚠ ID de meta no existe"))</f>
        <v/>
      </c>
      <c r="H506" s="16" t="str">
        <f aca="false">IF(OR(C506="",D506=""),"",ROUND(MOD(D506-C506,1)*24,2))</f>
        <v/>
      </c>
      <c r="I506" s="18"/>
      <c r="J506" s="18"/>
      <c r="K506" s="18"/>
    </row>
    <row r="507" customFormat="false" ht="15" hidden="false" customHeight="false" outlineLevel="0" collapsed="false">
      <c r="A507" s="17"/>
      <c r="B507" s="18"/>
      <c r="C507" s="19"/>
      <c r="D507" s="19"/>
      <c r="E507" s="18"/>
      <c r="F507" s="18"/>
      <c r="G507" s="13" t="str">
        <f aca="false">IF(F507="","",IFERROR(INDEX(Metas!$B$5:$B$54,MATCH(F507,Metas!$A$5:$A$54,0)),"⚠ ID de meta no existe"))</f>
        <v/>
      </c>
      <c r="H507" s="16" t="str">
        <f aca="false">IF(OR(C507="",D507=""),"",ROUND(MOD(D507-C507,1)*24,2))</f>
        <v/>
      </c>
      <c r="I507" s="18"/>
      <c r="J507" s="18"/>
      <c r="K507" s="18"/>
    </row>
    <row r="508" customFormat="false" ht="15" hidden="false" customHeight="false" outlineLevel="0" collapsed="false">
      <c r="A508" s="17"/>
      <c r="B508" s="18"/>
      <c r="C508" s="19"/>
      <c r="D508" s="19"/>
      <c r="E508" s="18"/>
      <c r="F508" s="18"/>
      <c r="G508" s="13" t="str">
        <f aca="false">IF(F508="","",IFERROR(INDEX(Metas!$B$5:$B$54,MATCH(F508,Metas!$A$5:$A$54,0)),"⚠ ID de meta no existe"))</f>
        <v/>
      </c>
      <c r="H508" s="16" t="str">
        <f aca="false">IF(OR(C508="",D508=""),"",ROUND(MOD(D508-C508,1)*24,2))</f>
        <v/>
      </c>
      <c r="I508" s="18"/>
      <c r="J508" s="18"/>
      <c r="K508" s="18"/>
    </row>
    <row r="509" customFormat="false" ht="15" hidden="false" customHeight="false" outlineLevel="0" collapsed="false">
      <c r="A509" s="17"/>
      <c r="B509" s="18"/>
      <c r="C509" s="19"/>
      <c r="D509" s="19"/>
      <c r="E509" s="18"/>
      <c r="F509" s="18"/>
      <c r="G509" s="13" t="str">
        <f aca="false">IF(F509="","",IFERROR(INDEX(Metas!$B$5:$B$54,MATCH(F509,Metas!$A$5:$A$54,0)),"⚠ ID de meta no existe"))</f>
        <v/>
      </c>
      <c r="H509" s="16" t="str">
        <f aca="false">IF(OR(C509="",D509=""),"",ROUND(MOD(D509-C509,1)*24,2))</f>
        <v/>
      </c>
      <c r="I509" s="18"/>
      <c r="J509" s="18"/>
      <c r="K509" s="18"/>
    </row>
    <row r="510" customFormat="false" ht="15" hidden="false" customHeight="false" outlineLevel="0" collapsed="false">
      <c r="A510" s="17"/>
      <c r="B510" s="18"/>
      <c r="C510" s="19"/>
      <c r="D510" s="19"/>
      <c r="E510" s="18"/>
      <c r="F510" s="18"/>
      <c r="G510" s="13" t="str">
        <f aca="false">IF(F510="","",IFERROR(INDEX(Metas!$B$5:$B$54,MATCH(F510,Metas!$A$5:$A$54,0)),"⚠ ID de meta no existe"))</f>
        <v/>
      </c>
      <c r="H510" s="16" t="str">
        <f aca="false">IF(OR(C510="",D510=""),"",ROUND(MOD(D510-C510,1)*24,2))</f>
        <v/>
      </c>
      <c r="I510" s="18"/>
      <c r="J510" s="18"/>
      <c r="K510" s="18"/>
    </row>
    <row r="511" customFormat="false" ht="15" hidden="false" customHeight="false" outlineLevel="0" collapsed="false">
      <c r="A511" s="17"/>
      <c r="B511" s="18"/>
      <c r="C511" s="19"/>
      <c r="D511" s="19"/>
      <c r="E511" s="18"/>
      <c r="F511" s="18"/>
      <c r="G511" s="13" t="str">
        <f aca="false">IF(F511="","",IFERROR(INDEX(Metas!$B$5:$B$54,MATCH(F511,Metas!$A$5:$A$54,0)),"⚠ ID de meta no existe"))</f>
        <v/>
      </c>
      <c r="H511" s="16" t="str">
        <f aca="false">IF(OR(C511="",D511=""),"",ROUND(MOD(D511-C511,1)*24,2))</f>
        <v/>
      </c>
      <c r="I511" s="18"/>
      <c r="J511" s="18"/>
      <c r="K511" s="18"/>
    </row>
    <row r="512" customFormat="false" ht="15" hidden="false" customHeight="false" outlineLevel="0" collapsed="false">
      <c r="A512" s="17"/>
      <c r="B512" s="18"/>
      <c r="C512" s="19"/>
      <c r="D512" s="19"/>
      <c r="E512" s="18"/>
      <c r="F512" s="18"/>
      <c r="G512" s="13" t="str">
        <f aca="false">IF(F512="","",IFERROR(INDEX(Metas!$B$5:$B$54,MATCH(F512,Metas!$A$5:$A$54,0)),"⚠ ID de meta no existe"))</f>
        <v/>
      </c>
      <c r="H512" s="16" t="str">
        <f aca="false">IF(OR(C512="",D512=""),"",ROUND(MOD(D512-C512,1)*24,2))</f>
        <v/>
      </c>
      <c r="I512" s="18"/>
      <c r="J512" s="18"/>
      <c r="K512" s="18"/>
    </row>
    <row r="513" customFormat="false" ht="15" hidden="false" customHeight="false" outlineLevel="0" collapsed="false">
      <c r="A513" s="17"/>
      <c r="B513" s="18"/>
      <c r="C513" s="19"/>
      <c r="D513" s="19"/>
      <c r="E513" s="18"/>
      <c r="F513" s="18"/>
      <c r="G513" s="13" t="str">
        <f aca="false">IF(F513="","",IFERROR(INDEX(Metas!$B$5:$B$54,MATCH(F513,Metas!$A$5:$A$54,0)),"⚠ ID de meta no existe"))</f>
        <v/>
      </c>
      <c r="H513" s="16" t="str">
        <f aca="false">IF(OR(C513="",D513=""),"",ROUND(MOD(D513-C513,1)*24,2))</f>
        <v/>
      </c>
      <c r="I513" s="18"/>
      <c r="J513" s="18"/>
      <c r="K513" s="18"/>
    </row>
    <row r="514" customFormat="false" ht="15" hidden="false" customHeight="false" outlineLevel="0" collapsed="false">
      <c r="A514" s="17"/>
      <c r="B514" s="18"/>
      <c r="C514" s="19"/>
      <c r="D514" s="19"/>
      <c r="E514" s="18"/>
      <c r="F514" s="18"/>
      <c r="G514" s="13" t="str">
        <f aca="false">IF(F514="","",IFERROR(INDEX(Metas!$B$5:$B$54,MATCH(F514,Metas!$A$5:$A$54,0)),"⚠ ID de meta no existe"))</f>
        <v/>
      </c>
      <c r="H514" s="16" t="str">
        <f aca="false">IF(OR(C514="",D514=""),"",ROUND(MOD(D514-C514,1)*24,2))</f>
        <v/>
      </c>
      <c r="I514" s="18"/>
      <c r="J514" s="18"/>
      <c r="K514" s="18"/>
    </row>
    <row r="515" customFormat="false" ht="15" hidden="false" customHeight="false" outlineLevel="0" collapsed="false">
      <c r="A515" s="17"/>
      <c r="B515" s="18"/>
      <c r="C515" s="19"/>
      <c r="D515" s="19"/>
      <c r="E515" s="18"/>
      <c r="F515" s="18"/>
      <c r="G515" s="13" t="str">
        <f aca="false">IF(F515="","",IFERROR(INDEX(Metas!$B$5:$B$54,MATCH(F515,Metas!$A$5:$A$54,0)),"⚠ ID de meta no existe"))</f>
        <v/>
      </c>
      <c r="H515" s="16" t="str">
        <f aca="false">IF(OR(C515="",D515=""),"",ROUND(MOD(D515-C515,1)*24,2))</f>
        <v/>
      </c>
      <c r="I515" s="18"/>
      <c r="J515" s="18"/>
      <c r="K515" s="18"/>
    </row>
    <row r="516" customFormat="false" ht="15" hidden="false" customHeight="false" outlineLevel="0" collapsed="false">
      <c r="A516" s="17"/>
      <c r="B516" s="18"/>
      <c r="C516" s="19"/>
      <c r="D516" s="19"/>
      <c r="E516" s="18"/>
      <c r="F516" s="18"/>
      <c r="G516" s="13" t="str">
        <f aca="false">IF(F516="","",IFERROR(INDEX(Metas!$B$5:$B$54,MATCH(F516,Metas!$A$5:$A$54,0)),"⚠ ID de meta no existe"))</f>
        <v/>
      </c>
      <c r="H516" s="16" t="str">
        <f aca="false">IF(OR(C516="",D516=""),"",ROUND(MOD(D516-C516,1)*24,2))</f>
        <v/>
      </c>
      <c r="I516" s="18"/>
      <c r="J516" s="18"/>
      <c r="K516" s="18"/>
    </row>
    <row r="517" customFormat="false" ht="15" hidden="false" customHeight="false" outlineLevel="0" collapsed="false">
      <c r="A517" s="17"/>
      <c r="B517" s="18"/>
      <c r="C517" s="19"/>
      <c r="D517" s="19"/>
      <c r="E517" s="18"/>
      <c r="F517" s="18"/>
      <c r="G517" s="13" t="str">
        <f aca="false">IF(F517="","",IFERROR(INDEX(Metas!$B$5:$B$54,MATCH(F517,Metas!$A$5:$A$54,0)),"⚠ ID de meta no existe"))</f>
        <v/>
      </c>
      <c r="H517" s="16" t="str">
        <f aca="false">IF(OR(C517="",D517=""),"",ROUND(MOD(D517-C517,1)*24,2))</f>
        <v/>
      </c>
      <c r="I517" s="18"/>
      <c r="J517" s="18"/>
      <c r="K517" s="18"/>
    </row>
    <row r="518" customFormat="false" ht="15" hidden="false" customHeight="false" outlineLevel="0" collapsed="false">
      <c r="A518" s="17"/>
      <c r="B518" s="18"/>
      <c r="C518" s="19"/>
      <c r="D518" s="19"/>
      <c r="E518" s="18"/>
      <c r="F518" s="18"/>
      <c r="G518" s="13" t="str">
        <f aca="false">IF(F518="","",IFERROR(INDEX(Metas!$B$5:$B$54,MATCH(F518,Metas!$A$5:$A$54,0)),"⚠ ID de meta no existe"))</f>
        <v/>
      </c>
      <c r="H518" s="16" t="str">
        <f aca="false">IF(OR(C518="",D518=""),"",ROUND(MOD(D518-C518,1)*24,2))</f>
        <v/>
      </c>
      <c r="I518" s="18"/>
      <c r="J518" s="18"/>
      <c r="K518" s="18"/>
    </row>
    <row r="519" customFormat="false" ht="15" hidden="false" customHeight="false" outlineLevel="0" collapsed="false">
      <c r="A519" s="17"/>
      <c r="B519" s="18"/>
      <c r="C519" s="19"/>
      <c r="D519" s="19"/>
      <c r="E519" s="18"/>
      <c r="F519" s="18"/>
      <c r="G519" s="13" t="str">
        <f aca="false">IF(F519="","",IFERROR(INDEX(Metas!$B$5:$B$54,MATCH(F519,Metas!$A$5:$A$54,0)),"⚠ ID de meta no existe"))</f>
        <v/>
      </c>
      <c r="H519" s="16" t="str">
        <f aca="false">IF(OR(C519="",D519=""),"",ROUND(MOD(D519-C519,1)*24,2))</f>
        <v/>
      </c>
      <c r="I519" s="18"/>
      <c r="J519" s="18"/>
      <c r="K519" s="18"/>
    </row>
    <row r="520" customFormat="false" ht="15" hidden="false" customHeight="false" outlineLevel="0" collapsed="false">
      <c r="A520" s="17"/>
      <c r="B520" s="18"/>
      <c r="C520" s="19"/>
      <c r="D520" s="19"/>
      <c r="E520" s="18"/>
      <c r="F520" s="18"/>
      <c r="G520" s="13" t="str">
        <f aca="false">IF(F520="","",IFERROR(INDEX(Metas!$B$5:$B$54,MATCH(F520,Metas!$A$5:$A$54,0)),"⚠ ID de meta no existe"))</f>
        <v/>
      </c>
      <c r="H520" s="16" t="str">
        <f aca="false">IF(OR(C520="",D520=""),"",ROUND(MOD(D520-C520,1)*24,2))</f>
        <v/>
      </c>
      <c r="I520" s="18"/>
      <c r="J520" s="18"/>
      <c r="K520" s="18"/>
    </row>
    <row r="521" customFormat="false" ht="15" hidden="false" customHeight="false" outlineLevel="0" collapsed="false">
      <c r="A521" s="17"/>
      <c r="B521" s="18"/>
      <c r="C521" s="19"/>
      <c r="D521" s="19"/>
      <c r="E521" s="18"/>
      <c r="F521" s="18"/>
      <c r="G521" s="13" t="str">
        <f aca="false">IF(F521="","",IFERROR(INDEX(Metas!$B$5:$B$54,MATCH(F521,Metas!$A$5:$A$54,0)),"⚠ ID de meta no existe"))</f>
        <v/>
      </c>
      <c r="H521" s="16" t="str">
        <f aca="false">IF(OR(C521="",D521=""),"",ROUND(MOD(D521-C521,1)*24,2))</f>
        <v/>
      </c>
      <c r="I521" s="18"/>
      <c r="J521" s="18"/>
      <c r="K521" s="18"/>
    </row>
    <row r="522" customFormat="false" ht="15" hidden="false" customHeight="false" outlineLevel="0" collapsed="false">
      <c r="A522" s="17"/>
      <c r="B522" s="18"/>
      <c r="C522" s="19"/>
      <c r="D522" s="19"/>
      <c r="E522" s="18"/>
      <c r="F522" s="18"/>
      <c r="G522" s="13" t="str">
        <f aca="false">IF(F522="","",IFERROR(INDEX(Metas!$B$5:$B$54,MATCH(F522,Metas!$A$5:$A$54,0)),"⚠ ID de meta no existe"))</f>
        <v/>
      </c>
      <c r="H522" s="16" t="str">
        <f aca="false">IF(OR(C522="",D522=""),"",ROUND(MOD(D522-C522,1)*24,2))</f>
        <v/>
      </c>
      <c r="I522" s="18"/>
      <c r="J522" s="18"/>
      <c r="K522" s="18"/>
    </row>
    <row r="523" customFormat="false" ht="15" hidden="false" customHeight="false" outlineLevel="0" collapsed="false">
      <c r="A523" s="17"/>
      <c r="B523" s="18"/>
      <c r="C523" s="19"/>
      <c r="D523" s="19"/>
      <c r="E523" s="18"/>
      <c r="F523" s="18"/>
      <c r="G523" s="13" t="str">
        <f aca="false">IF(F523="","",IFERROR(INDEX(Metas!$B$5:$B$54,MATCH(F523,Metas!$A$5:$A$54,0)),"⚠ ID de meta no existe"))</f>
        <v/>
      </c>
      <c r="H523" s="16" t="str">
        <f aca="false">IF(OR(C523="",D523=""),"",ROUND(MOD(D523-C523,1)*24,2))</f>
        <v/>
      </c>
      <c r="I523" s="18"/>
      <c r="J523" s="18"/>
      <c r="K523" s="18"/>
    </row>
    <row r="524" customFormat="false" ht="15" hidden="false" customHeight="false" outlineLevel="0" collapsed="false">
      <c r="A524" s="17"/>
      <c r="B524" s="18"/>
      <c r="C524" s="19"/>
      <c r="D524" s="19"/>
      <c r="E524" s="18"/>
      <c r="F524" s="18"/>
      <c r="G524" s="13" t="str">
        <f aca="false">IF(F524="","",IFERROR(INDEX(Metas!$B$5:$B$54,MATCH(F524,Metas!$A$5:$A$54,0)),"⚠ ID de meta no existe"))</f>
        <v/>
      </c>
      <c r="H524" s="16" t="str">
        <f aca="false">IF(OR(C524="",D524=""),"",ROUND(MOD(D524-C524,1)*24,2))</f>
        <v/>
      </c>
      <c r="I524" s="18"/>
      <c r="J524" s="18"/>
      <c r="K524" s="18"/>
    </row>
    <row r="525" customFormat="false" ht="15" hidden="false" customHeight="false" outlineLevel="0" collapsed="false">
      <c r="A525" s="17"/>
      <c r="B525" s="18"/>
      <c r="C525" s="19"/>
      <c r="D525" s="19"/>
      <c r="E525" s="18"/>
      <c r="F525" s="18"/>
      <c r="G525" s="13" t="str">
        <f aca="false">IF(F525="","",IFERROR(INDEX(Metas!$B$5:$B$54,MATCH(F525,Metas!$A$5:$A$54,0)),"⚠ ID de meta no existe"))</f>
        <v/>
      </c>
      <c r="H525" s="16" t="str">
        <f aca="false">IF(OR(C525="",D525=""),"",ROUND(MOD(D525-C525,1)*24,2))</f>
        <v/>
      </c>
      <c r="I525" s="18"/>
      <c r="J525" s="18"/>
      <c r="K525" s="18"/>
    </row>
    <row r="526" customFormat="false" ht="15" hidden="false" customHeight="false" outlineLevel="0" collapsed="false">
      <c r="A526" s="17"/>
      <c r="B526" s="18"/>
      <c r="C526" s="19"/>
      <c r="D526" s="19"/>
      <c r="E526" s="18"/>
      <c r="F526" s="18"/>
      <c r="G526" s="13" t="str">
        <f aca="false">IF(F526="","",IFERROR(INDEX(Metas!$B$5:$B$54,MATCH(F526,Metas!$A$5:$A$54,0)),"⚠ ID de meta no existe"))</f>
        <v/>
      </c>
      <c r="H526" s="16" t="str">
        <f aca="false">IF(OR(C526="",D526=""),"",ROUND(MOD(D526-C526,1)*24,2))</f>
        <v/>
      </c>
      <c r="I526" s="18"/>
      <c r="J526" s="18"/>
      <c r="K526" s="18"/>
    </row>
    <row r="527" customFormat="false" ht="15" hidden="false" customHeight="false" outlineLevel="0" collapsed="false">
      <c r="A527" s="17"/>
      <c r="B527" s="18"/>
      <c r="C527" s="19"/>
      <c r="D527" s="19"/>
      <c r="E527" s="18"/>
      <c r="F527" s="18"/>
      <c r="G527" s="13" t="str">
        <f aca="false">IF(F527="","",IFERROR(INDEX(Metas!$B$5:$B$54,MATCH(F527,Metas!$A$5:$A$54,0)),"⚠ ID de meta no existe"))</f>
        <v/>
      </c>
      <c r="H527" s="16" t="str">
        <f aca="false">IF(OR(C527="",D527=""),"",ROUND(MOD(D527-C527,1)*24,2))</f>
        <v/>
      </c>
      <c r="I527" s="18"/>
      <c r="J527" s="18"/>
      <c r="K527" s="18"/>
    </row>
    <row r="528" customFormat="false" ht="15" hidden="false" customHeight="false" outlineLevel="0" collapsed="false">
      <c r="A528" s="17"/>
      <c r="B528" s="18"/>
      <c r="C528" s="19"/>
      <c r="D528" s="19"/>
      <c r="E528" s="18"/>
      <c r="F528" s="18"/>
      <c r="G528" s="13" t="str">
        <f aca="false">IF(F528="","",IFERROR(INDEX(Metas!$B$5:$B$54,MATCH(F528,Metas!$A$5:$A$54,0)),"⚠ ID de meta no existe"))</f>
        <v/>
      </c>
      <c r="H528" s="16" t="str">
        <f aca="false">IF(OR(C528="",D528=""),"",ROUND(MOD(D528-C528,1)*24,2))</f>
        <v/>
      </c>
      <c r="I528" s="18"/>
      <c r="J528" s="18"/>
      <c r="K528" s="18"/>
    </row>
    <row r="529" customFormat="false" ht="15" hidden="false" customHeight="false" outlineLevel="0" collapsed="false">
      <c r="A529" s="17"/>
      <c r="B529" s="18"/>
      <c r="C529" s="19"/>
      <c r="D529" s="19"/>
      <c r="E529" s="18"/>
      <c r="F529" s="18"/>
      <c r="G529" s="13" t="str">
        <f aca="false">IF(F529="","",IFERROR(INDEX(Metas!$B$5:$B$54,MATCH(F529,Metas!$A$5:$A$54,0)),"⚠ ID de meta no existe"))</f>
        <v/>
      </c>
      <c r="H529" s="16" t="str">
        <f aca="false">IF(OR(C529="",D529=""),"",ROUND(MOD(D529-C529,1)*24,2))</f>
        <v/>
      </c>
      <c r="I529" s="18"/>
      <c r="J529" s="18"/>
      <c r="K529" s="18"/>
    </row>
    <row r="530" customFormat="false" ht="15" hidden="false" customHeight="false" outlineLevel="0" collapsed="false">
      <c r="A530" s="17"/>
      <c r="B530" s="18"/>
      <c r="C530" s="19"/>
      <c r="D530" s="19"/>
      <c r="E530" s="18"/>
      <c r="F530" s="18"/>
      <c r="G530" s="13" t="str">
        <f aca="false">IF(F530="","",IFERROR(INDEX(Metas!$B$5:$B$54,MATCH(F530,Metas!$A$5:$A$54,0)),"⚠ ID de meta no existe"))</f>
        <v/>
      </c>
      <c r="H530" s="16" t="str">
        <f aca="false">IF(OR(C530="",D530=""),"",ROUND(MOD(D530-C530,1)*24,2))</f>
        <v/>
      </c>
      <c r="I530" s="18"/>
      <c r="J530" s="18"/>
      <c r="K530" s="18"/>
    </row>
    <row r="531" customFormat="false" ht="15" hidden="false" customHeight="false" outlineLevel="0" collapsed="false">
      <c r="A531" s="17"/>
      <c r="B531" s="18"/>
      <c r="C531" s="19"/>
      <c r="D531" s="19"/>
      <c r="E531" s="18"/>
      <c r="F531" s="18"/>
      <c r="G531" s="13" t="str">
        <f aca="false">IF(F531="","",IFERROR(INDEX(Metas!$B$5:$B$54,MATCH(F531,Metas!$A$5:$A$54,0)),"⚠ ID de meta no existe"))</f>
        <v/>
      </c>
      <c r="H531" s="16" t="str">
        <f aca="false">IF(OR(C531="",D531=""),"",ROUND(MOD(D531-C531,1)*24,2))</f>
        <v/>
      </c>
      <c r="I531" s="18"/>
      <c r="J531" s="18"/>
      <c r="K531" s="18"/>
    </row>
    <row r="532" customFormat="false" ht="15" hidden="false" customHeight="false" outlineLevel="0" collapsed="false">
      <c r="A532" s="17"/>
      <c r="B532" s="18"/>
      <c r="C532" s="19"/>
      <c r="D532" s="19"/>
      <c r="E532" s="18"/>
      <c r="F532" s="18"/>
      <c r="G532" s="13" t="str">
        <f aca="false">IF(F532="","",IFERROR(INDEX(Metas!$B$5:$B$54,MATCH(F532,Metas!$A$5:$A$54,0)),"⚠ ID de meta no existe"))</f>
        <v/>
      </c>
      <c r="H532" s="16" t="str">
        <f aca="false">IF(OR(C532="",D532=""),"",ROUND(MOD(D532-C532,1)*24,2))</f>
        <v/>
      </c>
      <c r="I532" s="18"/>
      <c r="J532" s="18"/>
      <c r="K532" s="18"/>
    </row>
    <row r="533" customFormat="false" ht="15" hidden="false" customHeight="false" outlineLevel="0" collapsed="false">
      <c r="A533" s="17"/>
      <c r="B533" s="18"/>
      <c r="C533" s="19"/>
      <c r="D533" s="19"/>
      <c r="E533" s="18"/>
      <c r="F533" s="18"/>
      <c r="G533" s="13" t="str">
        <f aca="false">IF(F533="","",IFERROR(INDEX(Metas!$B$5:$B$54,MATCH(F533,Metas!$A$5:$A$54,0)),"⚠ ID de meta no existe"))</f>
        <v/>
      </c>
      <c r="H533" s="16" t="str">
        <f aca="false">IF(OR(C533="",D533=""),"",ROUND(MOD(D533-C533,1)*24,2))</f>
        <v/>
      </c>
      <c r="I533" s="18"/>
      <c r="J533" s="18"/>
      <c r="K533" s="18"/>
    </row>
    <row r="534" customFormat="false" ht="15" hidden="false" customHeight="false" outlineLevel="0" collapsed="false">
      <c r="A534" s="17"/>
      <c r="B534" s="18"/>
      <c r="C534" s="19"/>
      <c r="D534" s="19"/>
      <c r="E534" s="18"/>
      <c r="F534" s="18"/>
      <c r="G534" s="13" t="str">
        <f aca="false">IF(F534="","",IFERROR(INDEX(Metas!$B$5:$B$54,MATCH(F534,Metas!$A$5:$A$54,0)),"⚠ ID de meta no existe"))</f>
        <v/>
      </c>
      <c r="H534" s="16" t="str">
        <f aca="false">IF(OR(C534="",D534=""),"",ROUND(MOD(D534-C534,1)*24,2))</f>
        <v/>
      </c>
      <c r="I534" s="18"/>
      <c r="J534" s="18"/>
      <c r="K534" s="18"/>
    </row>
    <row r="535" customFormat="false" ht="15" hidden="false" customHeight="false" outlineLevel="0" collapsed="false">
      <c r="A535" s="17"/>
      <c r="B535" s="18"/>
      <c r="C535" s="19"/>
      <c r="D535" s="19"/>
      <c r="E535" s="18"/>
      <c r="F535" s="18"/>
      <c r="G535" s="13" t="str">
        <f aca="false">IF(F535="","",IFERROR(INDEX(Metas!$B$5:$B$54,MATCH(F535,Metas!$A$5:$A$54,0)),"⚠ ID de meta no existe"))</f>
        <v/>
      </c>
      <c r="H535" s="16" t="str">
        <f aca="false">IF(OR(C535="",D535=""),"",ROUND(MOD(D535-C535,1)*24,2))</f>
        <v/>
      </c>
      <c r="I535" s="18"/>
      <c r="J535" s="18"/>
      <c r="K535" s="18"/>
    </row>
    <row r="536" customFormat="false" ht="15" hidden="false" customHeight="false" outlineLevel="0" collapsed="false">
      <c r="A536" s="17"/>
      <c r="B536" s="18"/>
      <c r="C536" s="19"/>
      <c r="D536" s="19"/>
      <c r="E536" s="18"/>
      <c r="F536" s="18"/>
      <c r="G536" s="13" t="str">
        <f aca="false">IF(F536="","",IFERROR(INDEX(Metas!$B$5:$B$54,MATCH(F536,Metas!$A$5:$A$54,0)),"⚠ ID de meta no existe"))</f>
        <v/>
      </c>
      <c r="H536" s="16" t="str">
        <f aca="false">IF(OR(C536="",D536=""),"",ROUND(MOD(D536-C536,1)*24,2))</f>
        <v/>
      </c>
      <c r="I536" s="18"/>
      <c r="J536" s="18"/>
      <c r="K536" s="18"/>
    </row>
    <row r="537" customFormat="false" ht="15" hidden="false" customHeight="false" outlineLevel="0" collapsed="false">
      <c r="A537" s="17"/>
      <c r="B537" s="18"/>
      <c r="C537" s="19"/>
      <c r="D537" s="19"/>
      <c r="E537" s="18"/>
      <c r="F537" s="18"/>
      <c r="G537" s="13" t="str">
        <f aca="false">IF(F537="","",IFERROR(INDEX(Metas!$B$5:$B$54,MATCH(F537,Metas!$A$5:$A$54,0)),"⚠ ID de meta no existe"))</f>
        <v/>
      </c>
      <c r="H537" s="16" t="str">
        <f aca="false">IF(OR(C537="",D537=""),"",ROUND(MOD(D537-C537,1)*24,2))</f>
        <v/>
      </c>
      <c r="I537" s="18"/>
      <c r="J537" s="18"/>
      <c r="K537" s="18"/>
    </row>
    <row r="538" customFormat="false" ht="15" hidden="false" customHeight="false" outlineLevel="0" collapsed="false">
      <c r="A538" s="17"/>
      <c r="B538" s="18"/>
      <c r="C538" s="19"/>
      <c r="D538" s="19"/>
      <c r="E538" s="18"/>
      <c r="F538" s="18"/>
      <c r="G538" s="13" t="str">
        <f aca="false">IF(F538="","",IFERROR(INDEX(Metas!$B$5:$B$54,MATCH(F538,Metas!$A$5:$A$54,0)),"⚠ ID de meta no existe"))</f>
        <v/>
      </c>
      <c r="H538" s="16" t="str">
        <f aca="false">IF(OR(C538="",D538=""),"",ROUND(MOD(D538-C538,1)*24,2))</f>
        <v/>
      </c>
      <c r="I538" s="18"/>
      <c r="J538" s="18"/>
      <c r="K538" s="18"/>
    </row>
    <row r="539" customFormat="false" ht="15" hidden="false" customHeight="false" outlineLevel="0" collapsed="false">
      <c r="A539" s="17"/>
      <c r="B539" s="18"/>
      <c r="C539" s="19"/>
      <c r="D539" s="19"/>
      <c r="E539" s="18"/>
      <c r="F539" s="18"/>
      <c r="G539" s="13" t="str">
        <f aca="false">IF(F539="","",IFERROR(INDEX(Metas!$B$5:$B$54,MATCH(F539,Metas!$A$5:$A$54,0)),"⚠ ID de meta no existe"))</f>
        <v/>
      </c>
      <c r="H539" s="16" t="str">
        <f aca="false">IF(OR(C539="",D539=""),"",ROUND(MOD(D539-C539,1)*24,2))</f>
        <v/>
      </c>
      <c r="I539" s="18"/>
      <c r="J539" s="18"/>
      <c r="K539" s="18"/>
    </row>
    <row r="540" customFormat="false" ht="15" hidden="false" customHeight="false" outlineLevel="0" collapsed="false">
      <c r="A540" s="17"/>
      <c r="B540" s="18"/>
      <c r="C540" s="19"/>
      <c r="D540" s="19"/>
      <c r="E540" s="18"/>
      <c r="F540" s="18"/>
      <c r="G540" s="13" t="str">
        <f aca="false">IF(F540="","",IFERROR(INDEX(Metas!$B$5:$B$54,MATCH(F540,Metas!$A$5:$A$54,0)),"⚠ ID de meta no existe"))</f>
        <v/>
      </c>
      <c r="H540" s="16" t="str">
        <f aca="false">IF(OR(C540="",D540=""),"",ROUND(MOD(D540-C540,1)*24,2))</f>
        <v/>
      </c>
      <c r="I540" s="18"/>
      <c r="J540" s="18"/>
      <c r="K540" s="18"/>
    </row>
    <row r="541" customFormat="false" ht="15" hidden="false" customHeight="false" outlineLevel="0" collapsed="false">
      <c r="A541" s="17"/>
      <c r="B541" s="18"/>
      <c r="C541" s="19"/>
      <c r="D541" s="19"/>
      <c r="E541" s="18"/>
      <c r="F541" s="18"/>
      <c r="G541" s="13" t="str">
        <f aca="false">IF(F541="","",IFERROR(INDEX(Metas!$B$5:$B$54,MATCH(F541,Metas!$A$5:$A$54,0)),"⚠ ID de meta no existe"))</f>
        <v/>
      </c>
      <c r="H541" s="16" t="str">
        <f aca="false">IF(OR(C541="",D541=""),"",ROUND(MOD(D541-C541,1)*24,2))</f>
        <v/>
      </c>
      <c r="I541" s="18"/>
      <c r="J541" s="18"/>
      <c r="K541" s="18"/>
    </row>
    <row r="542" customFormat="false" ht="15" hidden="false" customHeight="false" outlineLevel="0" collapsed="false">
      <c r="A542" s="17"/>
      <c r="B542" s="18"/>
      <c r="C542" s="19"/>
      <c r="D542" s="19"/>
      <c r="E542" s="18"/>
      <c r="F542" s="18"/>
      <c r="G542" s="13" t="str">
        <f aca="false">IF(F542="","",IFERROR(INDEX(Metas!$B$5:$B$54,MATCH(F542,Metas!$A$5:$A$54,0)),"⚠ ID de meta no existe"))</f>
        <v/>
      </c>
      <c r="H542" s="16" t="str">
        <f aca="false">IF(OR(C542="",D542=""),"",ROUND(MOD(D542-C542,1)*24,2))</f>
        <v/>
      </c>
      <c r="I542" s="18"/>
      <c r="J542" s="18"/>
      <c r="K542" s="18"/>
    </row>
    <row r="543" customFormat="false" ht="15" hidden="false" customHeight="false" outlineLevel="0" collapsed="false">
      <c r="A543" s="17"/>
      <c r="B543" s="18"/>
      <c r="C543" s="19"/>
      <c r="D543" s="19"/>
      <c r="E543" s="18"/>
      <c r="F543" s="18"/>
      <c r="G543" s="13" t="str">
        <f aca="false">IF(F543="","",IFERROR(INDEX(Metas!$B$5:$B$54,MATCH(F543,Metas!$A$5:$A$54,0)),"⚠ ID de meta no existe"))</f>
        <v/>
      </c>
      <c r="H543" s="16" t="str">
        <f aca="false">IF(OR(C543="",D543=""),"",ROUND(MOD(D543-C543,1)*24,2))</f>
        <v/>
      </c>
      <c r="I543" s="18"/>
      <c r="J543" s="18"/>
      <c r="K543" s="18"/>
    </row>
    <row r="544" customFormat="false" ht="15" hidden="false" customHeight="false" outlineLevel="0" collapsed="false">
      <c r="A544" s="17"/>
      <c r="B544" s="18"/>
      <c r="C544" s="19"/>
      <c r="D544" s="19"/>
      <c r="E544" s="18"/>
      <c r="F544" s="18"/>
      <c r="G544" s="13" t="str">
        <f aca="false">IF(F544="","",IFERROR(INDEX(Metas!$B$5:$B$54,MATCH(F544,Metas!$A$5:$A$54,0)),"⚠ ID de meta no existe"))</f>
        <v/>
      </c>
      <c r="H544" s="16" t="str">
        <f aca="false">IF(OR(C544="",D544=""),"",ROUND(MOD(D544-C544,1)*24,2))</f>
        <v/>
      </c>
      <c r="I544" s="18"/>
      <c r="J544" s="18"/>
      <c r="K544" s="18"/>
    </row>
    <row r="545" customFormat="false" ht="15" hidden="false" customHeight="false" outlineLevel="0" collapsed="false">
      <c r="A545" s="17"/>
      <c r="B545" s="18"/>
      <c r="C545" s="19"/>
      <c r="D545" s="19"/>
      <c r="E545" s="18"/>
      <c r="F545" s="18"/>
      <c r="G545" s="13" t="str">
        <f aca="false">IF(F545="","",IFERROR(INDEX(Metas!$B$5:$B$54,MATCH(F545,Metas!$A$5:$A$54,0)),"⚠ ID de meta no existe"))</f>
        <v/>
      </c>
      <c r="H545" s="16" t="str">
        <f aca="false">IF(OR(C545="",D545=""),"",ROUND(MOD(D545-C545,1)*24,2))</f>
        <v/>
      </c>
      <c r="I545" s="18"/>
      <c r="J545" s="18"/>
      <c r="K545" s="18"/>
    </row>
    <row r="546" customFormat="false" ht="15" hidden="false" customHeight="false" outlineLevel="0" collapsed="false">
      <c r="A546" s="17"/>
      <c r="B546" s="18"/>
      <c r="C546" s="19"/>
      <c r="D546" s="19"/>
      <c r="E546" s="18"/>
      <c r="F546" s="18"/>
      <c r="G546" s="13" t="str">
        <f aca="false">IF(F546="","",IFERROR(INDEX(Metas!$B$5:$B$54,MATCH(F546,Metas!$A$5:$A$54,0)),"⚠ ID de meta no existe"))</f>
        <v/>
      </c>
      <c r="H546" s="16" t="str">
        <f aca="false">IF(OR(C546="",D546=""),"",ROUND(MOD(D546-C546,1)*24,2))</f>
        <v/>
      </c>
      <c r="I546" s="18"/>
      <c r="J546" s="18"/>
      <c r="K546" s="18"/>
    </row>
    <row r="547" customFormat="false" ht="15" hidden="false" customHeight="false" outlineLevel="0" collapsed="false">
      <c r="A547" s="17"/>
      <c r="B547" s="18"/>
      <c r="C547" s="19"/>
      <c r="D547" s="19"/>
      <c r="E547" s="18"/>
      <c r="F547" s="18"/>
      <c r="G547" s="13" t="str">
        <f aca="false">IF(F547="","",IFERROR(INDEX(Metas!$B$5:$B$54,MATCH(F547,Metas!$A$5:$A$54,0)),"⚠ ID de meta no existe"))</f>
        <v/>
      </c>
      <c r="H547" s="16" t="str">
        <f aca="false">IF(OR(C547="",D547=""),"",ROUND(MOD(D547-C547,1)*24,2))</f>
        <v/>
      </c>
      <c r="I547" s="18"/>
      <c r="J547" s="18"/>
      <c r="K547" s="18"/>
    </row>
    <row r="548" customFormat="false" ht="15" hidden="false" customHeight="false" outlineLevel="0" collapsed="false">
      <c r="A548" s="17"/>
      <c r="B548" s="18"/>
      <c r="C548" s="19"/>
      <c r="D548" s="19"/>
      <c r="E548" s="18"/>
      <c r="F548" s="18"/>
      <c r="G548" s="13" t="str">
        <f aca="false">IF(F548="","",IFERROR(INDEX(Metas!$B$5:$B$54,MATCH(F548,Metas!$A$5:$A$54,0)),"⚠ ID de meta no existe"))</f>
        <v/>
      </c>
      <c r="H548" s="16" t="str">
        <f aca="false">IF(OR(C548="",D548=""),"",ROUND(MOD(D548-C548,1)*24,2))</f>
        <v/>
      </c>
      <c r="I548" s="18"/>
      <c r="J548" s="18"/>
      <c r="K548" s="18"/>
    </row>
    <row r="549" customFormat="false" ht="15" hidden="false" customHeight="false" outlineLevel="0" collapsed="false">
      <c r="A549" s="17"/>
      <c r="B549" s="18"/>
      <c r="C549" s="19"/>
      <c r="D549" s="19"/>
      <c r="E549" s="18"/>
      <c r="F549" s="18"/>
      <c r="G549" s="13" t="str">
        <f aca="false">IF(F549="","",IFERROR(INDEX(Metas!$B$5:$B$54,MATCH(F549,Metas!$A$5:$A$54,0)),"⚠ ID de meta no existe"))</f>
        <v/>
      </c>
      <c r="H549" s="16" t="str">
        <f aca="false">IF(OR(C549="",D549=""),"",ROUND(MOD(D549-C549,1)*24,2))</f>
        <v/>
      </c>
      <c r="I549" s="18"/>
      <c r="J549" s="18"/>
      <c r="K549" s="18"/>
    </row>
    <row r="550" customFormat="false" ht="15" hidden="false" customHeight="false" outlineLevel="0" collapsed="false">
      <c r="A550" s="17"/>
      <c r="B550" s="18"/>
      <c r="C550" s="19"/>
      <c r="D550" s="19"/>
      <c r="E550" s="18"/>
      <c r="F550" s="18"/>
      <c r="G550" s="13" t="str">
        <f aca="false">IF(F550="","",IFERROR(INDEX(Metas!$B$5:$B$54,MATCH(F550,Metas!$A$5:$A$54,0)),"⚠ ID de meta no existe"))</f>
        <v/>
      </c>
      <c r="H550" s="16" t="str">
        <f aca="false">IF(OR(C550="",D550=""),"",ROUND(MOD(D550-C550,1)*24,2))</f>
        <v/>
      </c>
      <c r="I550" s="18"/>
      <c r="J550" s="18"/>
      <c r="K550" s="18"/>
    </row>
    <row r="551" customFormat="false" ht="15" hidden="false" customHeight="false" outlineLevel="0" collapsed="false">
      <c r="A551" s="17"/>
      <c r="B551" s="18"/>
      <c r="C551" s="19"/>
      <c r="D551" s="19"/>
      <c r="E551" s="18"/>
      <c r="F551" s="18"/>
      <c r="G551" s="13" t="str">
        <f aca="false">IF(F551="","",IFERROR(INDEX(Metas!$B$5:$B$54,MATCH(F551,Metas!$A$5:$A$54,0)),"⚠ ID de meta no existe"))</f>
        <v/>
      </c>
      <c r="H551" s="16" t="str">
        <f aca="false">IF(OR(C551="",D551=""),"",ROUND(MOD(D551-C551,1)*24,2))</f>
        <v/>
      </c>
      <c r="I551" s="18"/>
      <c r="J551" s="18"/>
      <c r="K551" s="18"/>
    </row>
    <row r="552" customFormat="false" ht="15" hidden="false" customHeight="false" outlineLevel="0" collapsed="false">
      <c r="A552" s="17"/>
      <c r="B552" s="18"/>
      <c r="C552" s="19"/>
      <c r="D552" s="19"/>
      <c r="E552" s="18"/>
      <c r="F552" s="18"/>
      <c r="G552" s="13" t="str">
        <f aca="false">IF(F552="","",IFERROR(INDEX(Metas!$B$5:$B$54,MATCH(F552,Metas!$A$5:$A$54,0)),"⚠ ID de meta no existe"))</f>
        <v/>
      </c>
      <c r="H552" s="16" t="str">
        <f aca="false">IF(OR(C552="",D552=""),"",ROUND(MOD(D552-C552,1)*24,2))</f>
        <v/>
      </c>
      <c r="I552" s="18"/>
      <c r="J552" s="18"/>
      <c r="K552" s="18"/>
    </row>
    <row r="553" customFormat="false" ht="15" hidden="false" customHeight="false" outlineLevel="0" collapsed="false">
      <c r="A553" s="17"/>
      <c r="B553" s="18"/>
      <c r="C553" s="19"/>
      <c r="D553" s="19"/>
      <c r="E553" s="18"/>
      <c r="F553" s="18"/>
      <c r="G553" s="13" t="str">
        <f aca="false">IF(F553="","",IFERROR(INDEX(Metas!$B$5:$B$54,MATCH(F553,Metas!$A$5:$A$54,0)),"⚠ ID de meta no existe"))</f>
        <v/>
      </c>
      <c r="H553" s="16" t="str">
        <f aca="false">IF(OR(C553="",D553=""),"",ROUND(MOD(D553-C553,1)*24,2))</f>
        <v/>
      </c>
      <c r="I553" s="18"/>
      <c r="J553" s="18"/>
      <c r="K553" s="18"/>
    </row>
    <row r="554" customFormat="false" ht="15" hidden="false" customHeight="false" outlineLevel="0" collapsed="false">
      <c r="A554" s="17"/>
      <c r="B554" s="18"/>
      <c r="C554" s="19"/>
      <c r="D554" s="19"/>
      <c r="E554" s="18"/>
      <c r="F554" s="18"/>
      <c r="G554" s="13" t="str">
        <f aca="false">IF(F554="","",IFERROR(INDEX(Metas!$B$5:$B$54,MATCH(F554,Metas!$A$5:$A$54,0)),"⚠ ID de meta no existe"))</f>
        <v/>
      </c>
      <c r="H554" s="16" t="str">
        <f aca="false">IF(OR(C554="",D554=""),"",ROUND(MOD(D554-C554,1)*24,2))</f>
        <v/>
      </c>
      <c r="I554" s="18"/>
      <c r="J554" s="18"/>
      <c r="K554" s="18"/>
    </row>
    <row r="555" customFormat="false" ht="15" hidden="false" customHeight="false" outlineLevel="0" collapsed="false">
      <c r="A555" s="17"/>
      <c r="B555" s="18"/>
      <c r="C555" s="19"/>
      <c r="D555" s="19"/>
      <c r="E555" s="18"/>
      <c r="F555" s="18"/>
      <c r="G555" s="13" t="str">
        <f aca="false">IF(F555="","",IFERROR(INDEX(Metas!$B$5:$B$54,MATCH(F555,Metas!$A$5:$A$54,0)),"⚠ ID de meta no existe"))</f>
        <v/>
      </c>
      <c r="H555" s="16" t="str">
        <f aca="false">IF(OR(C555="",D555=""),"",ROUND(MOD(D555-C555,1)*24,2))</f>
        <v/>
      </c>
      <c r="I555" s="18"/>
      <c r="J555" s="18"/>
      <c r="K555" s="18"/>
    </row>
    <row r="556" customFormat="false" ht="15" hidden="false" customHeight="false" outlineLevel="0" collapsed="false">
      <c r="A556" s="17"/>
      <c r="B556" s="18"/>
      <c r="C556" s="19"/>
      <c r="D556" s="19"/>
      <c r="E556" s="18"/>
      <c r="F556" s="18"/>
      <c r="G556" s="13" t="str">
        <f aca="false">IF(F556="","",IFERROR(INDEX(Metas!$B$5:$B$54,MATCH(F556,Metas!$A$5:$A$54,0)),"⚠ ID de meta no existe"))</f>
        <v/>
      </c>
      <c r="H556" s="16" t="str">
        <f aca="false">IF(OR(C556="",D556=""),"",ROUND(MOD(D556-C556,1)*24,2))</f>
        <v/>
      </c>
      <c r="I556" s="18"/>
      <c r="J556" s="18"/>
      <c r="K556" s="18"/>
    </row>
    <row r="557" customFormat="false" ht="15" hidden="false" customHeight="false" outlineLevel="0" collapsed="false">
      <c r="A557" s="17"/>
      <c r="B557" s="18"/>
      <c r="C557" s="19"/>
      <c r="D557" s="19"/>
      <c r="E557" s="18"/>
      <c r="F557" s="18"/>
      <c r="G557" s="13" t="str">
        <f aca="false">IF(F557="","",IFERROR(INDEX(Metas!$B$5:$B$54,MATCH(F557,Metas!$A$5:$A$54,0)),"⚠ ID de meta no existe"))</f>
        <v/>
      </c>
      <c r="H557" s="16" t="str">
        <f aca="false">IF(OR(C557="",D557=""),"",ROUND(MOD(D557-C557,1)*24,2))</f>
        <v/>
      </c>
      <c r="I557" s="18"/>
      <c r="J557" s="18"/>
      <c r="K557" s="18"/>
    </row>
    <row r="558" customFormat="false" ht="15" hidden="false" customHeight="false" outlineLevel="0" collapsed="false">
      <c r="A558" s="17"/>
      <c r="B558" s="18"/>
      <c r="C558" s="19"/>
      <c r="D558" s="19"/>
      <c r="E558" s="18"/>
      <c r="F558" s="18"/>
      <c r="G558" s="13" t="str">
        <f aca="false">IF(F558="","",IFERROR(INDEX(Metas!$B$5:$B$54,MATCH(F558,Metas!$A$5:$A$54,0)),"⚠ ID de meta no existe"))</f>
        <v/>
      </c>
      <c r="H558" s="16" t="str">
        <f aca="false">IF(OR(C558="",D558=""),"",ROUND(MOD(D558-C558,1)*24,2))</f>
        <v/>
      </c>
      <c r="I558" s="18"/>
      <c r="J558" s="18"/>
      <c r="K558" s="18"/>
    </row>
    <row r="559" customFormat="false" ht="15" hidden="false" customHeight="false" outlineLevel="0" collapsed="false">
      <c r="A559" s="17"/>
      <c r="B559" s="18"/>
      <c r="C559" s="19"/>
      <c r="D559" s="19"/>
      <c r="E559" s="18"/>
      <c r="F559" s="18"/>
      <c r="G559" s="13" t="str">
        <f aca="false">IF(F559="","",IFERROR(INDEX(Metas!$B$5:$B$54,MATCH(F559,Metas!$A$5:$A$54,0)),"⚠ ID de meta no existe"))</f>
        <v/>
      </c>
      <c r="H559" s="16" t="str">
        <f aca="false">IF(OR(C559="",D559=""),"",ROUND(MOD(D559-C559,1)*24,2))</f>
        <v/>
      </c>
      <c r="I559" s="18"/>
      <c r="J559" s="18"/>
      <c r="K559" s="18"/>
    </row>
    <row r="560" customFormat="false" ht="15" hidden="false" customHeight="false" outlineLevel="0" collapsed="false">
      <c r="A560" s="17"/>
      <c r="B560" s="18"/>
      <c r="C560" s="19"/>
      <c r="D560" s="19"/>
      <c r="E560" s="18"/>
      <c r="F560" s="18"/>
      <c r="G560" s="13" t="str">
        <f aca="false">IF(F560="","",IFERROR(INDEX(Metas!$B$5:$B$54,MATCH(F560,Metas!$A$5:$A$54,0)),"⚠ ID de meta no existe"))</f>
        <v/>
      </c>
      <c r="H560" s="16" t="str">
        <f aca="false">IF(OR(C560="",D560=""),"",ROUND(MOD(D560-C560,1)*24,2))</f>
        <v/>
      </c>
      <c r="I560" s="18"/>
      <c r="J560" s="18"/>
      <c r="K560" s="18"/>
    </row>
    <row r="561" customFormat="false" ht="15" hidden="false" customHeight="false" outlineLevel="0" collapsed="false">
      <c r="A561" s="17"/>
      <c r="B561" s="18"/>
      <c r="C561" s="19"/>
      <c r="D561" s="19"/>
      <c r="E561" s="18"/>
      <c r="F561" s="18"/>
      <c r="G561" s="13" t="str">
        <f aca="false">IF(F561="","",IFERROR(INDEX(Metas!$B$5:$B$54,MATCH(F561,Metas!$A$5:$A$54,0)),"⚠ ID de meta no existe"))</f>
        <v/>
      </c>
      <c r="H561" s="16" t="str">
        <f aca="false">IF(OR(C561="",D561=""),"",ROUND(MOD(D561-C561,1)*24,2))</f>
        <v/>
      </c>
      <c r="I561" s="18"/>
      <c r="J561" s="18"/>
      <c r="K561" s="18"/>
    </row>
    <row r="562" customFormat="false" ht="15" hidden="false" customHeight="false" outlineLevel="0" collapsed="false">
      <c r="A562" s="17"/>
      <c r="B562" s="18"/>
      <c r="C562" s="19"/>
      <c r="D562" s="19"/>
      <c r="E562" s="18"/>
      <c r="F562" s="18"/>
      <c r="G562" s="13" t="str">
        <f aca="false">IF(F562="","",IFERROR(INDEX(Metas!$B$5:$B$54,MATCH(F562,Metas!$A$5:$A$54,0)),"⚠ ID de meta no existe"))</f>
        <v/>
      </c>
      <c r="H562" s="16" t="str">
        <f aca="false">IF(OR(C562="",D562=""),"",ROUND(MOD(D562-C562,1)*24,2))</f>
        <v/>
      </c>
      <c r="I562" s="18"/>
      <c r="J562" s="18"/>
      <c r="K562" s="18"/>
    </row>
    <row r="563" customFormat="false" ht="15" hidden="false" customHeight="false" outlineLevel="0" collapsed="false">
      <c r="A563" s="17"/>
      <c r="B563" s="18"/>
      <c r="C563" s="19"/>
      <c r="D563" s="19"/>
      <c r="E563" s="18"/>
      <c r="F563" s="18"/>
      <c r="G563" s="13" t="str">
        <f aca="false">IF(F563="","",IFERROR(INDEX(Metas!$B$5:$B$54,MATCH(F563,Metas!$A$5:$A$54,0)),"⚠ ID de meta no existe"))</f>
        <v/>
      </c>
      <c r="H563" s="16" t="str">
        <f aca="false">IF(OR(C563="",D563=""),"",ROUND(MOD(D563-C563,1)*24,2))</f>
        <v/>
      </c>
      <c r="I563" s="18"/>
      <c r="J563" s="18"/>
      <c r="K563" s="18"/>
    </row>
    <row r="564" customFormat="false" ht="15" hidden="false" customHeight="false" outlineLevel="0" collapsed="false">
      <c r="A564" s="17"/>
      <c r="B564" s="18"/>
      <c r="C564" s="19"/>
      <c r="D564" s="19"/>
      <c r="E564" s="18"/>
      <c r="F564" s="18"/>
      <c r="G564" s="13" t="str">
        <f aca="false">IF(F564="","",IFERROR(INDEX(Metas!$B$5:$B$54,MATCH(F564,Metas!$A$5:$A$54,0)),"⚠ ID de meta no existe"))</f>
        <v/>
      </c>
      <c r="H564" s="16" t="str">
        <f aca="false">IF(OR(C564="",D564=""),"",ROUND(MOD(D564-C564,1)*24,2))</f>
        <v/>
      </c>
      <c r="I564" s="18"/>
      <c r="J564" s="18"/>
      <c r="K564" s="18"/>
    </row>
    <row r="565" customFormat="false" ht="15" hidden="false" customHeight="false" outlineLevel="0" collapsed="false">
      <c r="A565" s="17"/>
      <c r="B565" s="18"/>
      <c r="C565" s="19"/>
      <c r="D565" s="19"/>
      <c r="E565" s="18"/>
      <c r="F565" s="18"/>
      <c r="G565" s="13" t="str">
        <f aca="false">IF(F565="","",IFERROR(INDEX(Metas!$B$5:$B$54,MATCH(F565,Metas!$A$5:$A$54,0)),"⚠ ID de meta no existe"))</f>
        <v/>
      </c>
      <c r="H565" s="16" t="str">
        <f aca="false">IF(OR(C565="",D565=""),"",ROUND(MOD(D565-C565,1)*24,2))</f>
        <v/>
      </c>
      <c r="I565" s="18"/>
      <c r="J565" s="18"/>
      <c r="K565" s="18"/>
    </row>
    <row r="566" customFormat="false" ht="15" hidden="false" customHeight="false" outlineLevel="0" collapsed="false">
      <c r="A566" s="17"/>
      <c r="B566" s="18"/>
      <c r="C566" s="19"/>
      <c r="D566" s="19"/>
      <c r="E566" s="18"/>
      <c r="F566" s="18"/>
      <c r="G566" s="13" t="str">
        <f aca="false">IF(F566="","",IFERROR(INDEX(Metas!$B$5:$B$54,MATCH(F566,Metas!$A$5:$A$54,0)),"⚠ ID de meta no existe"))</f>
        <v/>
      </c>
      <c r="H566" s="16" t="str">
        <f aca="false">IF(OR(C566="",D566=""),"",ROUND(MOD(D566-C566,1)*24,2))</f>
        <v/>
      </c>
      <c r="I566" s="18"/>
      <c r="J566" s="18"/>
      <c r="K566" s="18"/>
    </row>
    <row r="567" customFormat="false" ht="15" hidden="false" customHeight="false" outlineLevel="0" collapsed="false">
      <c r="A567" s="17"/>
      <c r="B567" s="18"/>
      <c r="C567" s="19"/>
      <c r="D567" s="19"/>
      <c r="E567" s="18"/>
      <c r="F567" s="18"/>
      <c r="G567" s="13" t="str">
        <f aca="false">IF(F567="","",IFERROR(INDEX(Metas!$B$5:$B$54,MATCH(F567,Metas!$A$5:$A$54,0)),"⚠ ID de meta no existe"))</f>
        <v/>
      </c>
      <c r="H567" s="16" t="str">
        <f aca="false">IF(OR(C567="",D567=""),"",ROUND(MOD(D567-C567,1)*24,2))</f>
        <v/>
      </c>
      <c r="I567" s="18"/>
      <c r="J567" s="18"/>
      <c r="K567" s="18"/>
    </row>
    <row r="568" customFormat="false" ht="15" hidden="false" customHeight="false" outlineLevel="0" collapsed="false">
      <c r="A568" s="17"/>
      <c r="B568" s="18"/>
      <c r="C568" s="19"/>
      <c r="D568" s="19"/>
      <c r="E568" s="18"/>
      <c r="F568" s="18"/>
      <c r="G568" s="13" t="str">
        <f aca="false">IF(F568="","",IFERROR(INDEX(Metas!$B$5:$B$54,MATCH(F568,Metas!$A$5:$A$54,0)),"⚠ ID de meta no existe"))</f>
        <v/>
      </c>
      <c r="H568" s="16" t="str">
        <f aca="false">IF(OR(C568="",D568=""),"",ROUND(MOD(D568-C568,1)*24,2))</f>
        <v/>
      </c>
      <c r="I568" s="18"/>
      <c r="J568" s="18"/>
      <c r="K568" s="18"/>
    </row>
    <row r="569" customFormat="false" ht="15" hidden="false" customHeight="false" outlineLevel="0" collapsed="false">
      <c r="A569" s="17"/>
      <c r="B569" s="18"/>
      <c r="C569" s="19"/>
      <c r="D569" s="19"/>
      <c r="E569" s="18"/>
      <c r="F569" s="18"/>
      <c r="G569" s="13" t="str">
        <f aca="false">IF(F569="","",IFERROR(INDEX(Metas!$B$5:$B$54,MATCH(F569,Metas!$A$5:$A$54,0)),"⚠ ID de meta no existe"))</f>
        <v/>
      </c>
      <c r="H569" s="16" t="str">
        <f aca="false">IF(OR(C569="",D569=""),"",ROUND(MOD(D569-C569,1)*24,2))</f>
        <v/>
      </c>
      <c r="I569" s="18"/>
      <c r="J569" s="18"/>
      <c r="K569" s="18"/>
    </row>
    <row r="570" customFormat="false" ht="15" hidden="false" customHeight="false" outlineLevel="0" collapsed="false">
      <c r="A570" s="17"/>
      <c r="B570" s="18"/>
      <c r="C570" s="19"/>
      <c r="D570" s="19"/>
      <c r="E570" s="18"/>
      <c r="F570" s="18"/>
      <c r="G570" s="13" t="str">
        <f aca="false">IF(F570="","",IFERROR(INDEX(Metas!$B$5:$B$54,MATCH(F570,Metas!$A$5:$A$54,0)),"⚠ ID de meta no existe"))</f>
        <v/>
      </c>
      <c r="H570" s="16" t="str">
        <f aca="false">IF(OR(C570="",D570=""),"",ROUND(MOD(D570-C570,1)*24,2))</f>
        <v/>
      </c>
      <c r="I570" s="18"/>
      <c r="J570" s="18"/>
      <c r="K570" s="18"/>
    </row>
    <row r="571" customFormat="false" ht="15" hidden="false" customHeight="false" outlineLevel="0" collapsed="false">
      <c r="A571" s="17"/>
      <c r="B571" s="18"/>
      <c r="C571" s="19"/>
      <c r="D571" s="19"/>
      <c r="E571" s="18"/>
      <c r="F571" s="18"/>
      <c r="G571" s="13" t="str">
        <f aca="false">IF(F571="","",IFERROR(INDEX(Metas!$B$5:$B$54,MATCH(F571,Metas!$A$5:$A$54,0)),"⚠ ID de meta no existe"))</f>
        <v/>
      </c>
      <c r="H571" s="16" t="str">
        <f aca="false">IF(OR(C571="",D571=""),"",ROUND(MOD(D571-C571,1)*24,2))</f>
        <v/>
      </c>
      <c r="I571" s="18"/>
      <c r="J571" s="18"/>
      <c r="K571" s="18"/>
    </row>
    <row r="572" customFormat="false" ht="15" hidden="false" customHeight="false" outlineLevel="0" collapsed="false">
      <c r="A572" s="17"/>
      <c r="B572" s="18"/>
      <c r="C572" s="19"/>
      <c r="D572" s="19"/>
      <c r="E572" s="18"/>
      <c r="F572" s="18"/>
      <c r="G572" s="13" t="str">
        <f aca="false">IF(F572="","",IFERROR(INDEX(Metas!$B$5:$B$54,MATCH(F572,Metas!$A$5:$A$54,0)),"⚠ ID de meta no existe"))</f>
        <v/>
      </c>
      <c r="H572" s="16" t="str">
        <f aca="false">IF(OR(C572="",D572=""),"",ROUND(MOD(D572-C572,1)*24,2))</f>
        <v/>
      </c>
      <c r="I572" s="18"/>
      <c r="J572" s="18"/>
      <c r="K572" s="18"/>
    </row>
    <row r="573" customFormat="false" ht="15" hidden="false" customHeight="false" outlineLevel="0" collapsed="false">
      <c r="A573" s="17"/>
      <c r="B573" s="18"/>
      <c r="C573" s="19"/>
      <c r="D573" s="19"/>
      <c r="E573" s="18"/>
      <c r="F573" s="18"/>
      <c r="G573" s="13" t="str">
        <f aca="false">IF(F573="","",IFERROR(INDEX(Metas!$B$5:$B$54,MATCH(F573,Metas!$A$5:$A$54,0)),"⚠ ID de meta no existe"))</f>
        <v/>
      </c>
      <c r="H573" s="16" t="str">
        <f aca="false">IF(OR(C573="",D573=""),"",ROUND(MOD(D573-C573,1)*24,2))</f>
        <v/>
      </c>
      <c r="I573" s="18"/>
      <c r="J573" s="18"/>
      <c r="K573" s="18"/>
    </row>
    <row r="574" customFormat="false" ht="15" hidden="false" customHeight="false" outlineLevel="0" collapsed="false">
      <c r="A574" s="17"/>
      <c r="B574" s="18"/>
      <c r="C574" s="19"/>
      <c r="D574" s="19"/>
      <c r="E574" s="18"/>
      <c r="F574" s="18"/>
      <c r="G574" s="13" t="str">
        <f aca="false">IF(F574="","",IFERROR(INDEX(Metas!$B$5:$B$54,MATCH(F574,Metas!$A$5:$A$54,0)),"⚠ ID de meta no existe"))</f>
        <v/>
      </c>
      <c r="H574" s="16" t="str">
        <f aca="false">IF(OR(C574="",D574=""),"",ROUND(MOD(D574-C574,1)*24,2))</f>
        <v/>
      </c>
      <c r="I574" s="18"/>
      <c r="J574" s="18"/>
      <c r="K574" s="18"/>
    </row>
    <row r="575" customFormat="false" ht="15" hidden="false" customHeight="false" outlineLevel="0" collapsed="false">
      <c r="A575" s="17"/>
      <c r="B575" s="18"/>
      <c r="C575" s="19"/>
      <c r="D575" s="19"/>
      <c r="E575" s="18"/>
      <c r="F575" s="18"/>
      <c r="G575" s="13" t="str">
        <f aca="false">IF(F575="","",IFERROR(INDEX(Metas!$B$5:$B$54,MATCH(F575,Metas!$A$5:$A$54,0)),"⚠ ID de meta no existe"))</f>
        <v/>
      </c>
      <c r="H575" s="16" t="str">
        <f aca="false">IF(OR(C575="",D575=""),"",ROUND(MOD(D575-C575,1)*24,2))</f>
        <v/>
      </c>
      <c r="I575" s="18"/>
      <c r="J575" s="18"/>
      <c r="K575" s="18"/>
    </row>
    <row r="576" customFormat="false" ht="15" hidden="false" customHeight="false" outlineLevel="0" collapsed="false">
      <c r="A576" s="17"/>
      <c r="B576" s="18"/>
      <c r="C576" s="19"/>
      <c r="D576" s="19"/>
      <c r="E576" s="18"/>
      <c r="F576" s="18"/>
      <c r="G576" s="13" t="str">
        <f aca="false">IF(F576="","",IFERROR(INDEX(Metas!$B$5:$B$54,MATCH(F576,Metas!$A$5:$A$54,0)),"⚠ ID de meta no existe"))</f>
        <v/>
      </c>
      <c r="H576" s="16" t="str">
        <f aca="false">IF(OR(C576="",D576=""),"",ROUND(MOD(D576-C576,1)*24,2))</f>
        <v/>
      </c>
      <c r="I576" s="18"/>
      <c r="J576" s="18"/>
      <c r="K576" s="18"/>
    </row>
    <row r="577" customFormat="false" ht="15" hidden="false" customHeight="false" outlineLevel="0" collapsed="false">
      <c r="A577" s="17"/>
      <c r="B577" s="18"/>
      <c r="C577" s="19"/>
      <c r="D577" s="19"/>
      <c r="E577" s="18"/>
      <c r="F577" s="18"/>
      <c r="G577" s="13" t="str">
        <f aca="false">IF(F577="","",IFERROR(INDEX(Metas!$B$5:$B$54,MATCH(F577,Metas!$A$5:$A$54,0)),"⚠ ID de meta no existe"))</f>
        <v/>
      </c>
      <c r="H577" s="16" t="str">
        <f aca="false">IF(OR(C577="",D577=""),"",ROUND(MOD(D577-C577,1)*24,2))</f>
        <v/>
      </c>
      <c r="I577" s="18"/>
      <c r="J577" s="18"/>
      <c r="K577" s="18"/>
    </row>
    <row r="578" customFormat="false" ht="15" hidden="false" customHeight="false" outlineLevel="0" collapsed="false">
      <c r="A578" s="17"/>
      <c r="B578" s="18"/>
      <c r="C578" s="19"/>
      <c r="D578" s="19"/>
      <c r="E578" s="18"/>
      <c r="F578" s="18"/>
      <c r="G578" s="13" t="str">
        <f aca="false">IF(F578="","",IFERROR(INDEX(Metas!$B$5:$B$54,MATCH(F578,Metas!$A$5:$A$54,0)),"⚠ ID de meta no existe"))</f>
        <v/>
      </c>
      <c r="H578" s="16" t="str">
        <f aca="false">IF(OR(C578="",D578=""),"",ROUND(MOD(D578-C578,1)*24,2))</f>
        <v/>
      </c>
      <c r="I578" s="18"/>
      <c r="J578" s="18"/>
      <c r="K578" s="18"/>
    </row>
    <row r="579" customFormat="false" ht="15" hidden="false" customHeight="false" outlineLevel="0" collapsed="false">
      <c r="A579" s="17"/>
      <c r="B579" s="18"/>
      <c r="C579" s="19"/>
      <c r="D579" s="19"/>
      <c r="E579" s="18"/>
      <c r="F579" s="18"/>
      <c r="G579" s="13" t="str">
        <f aca="false">IF(F579="","",IFERROR(INDEX(Metas!$B$5:$B$54,MATCH(F579,Metas!$A$5:$A$54,0)),"⚠ ID de meta no existe"))</f>
        <v/>
      </c>
      <c r="H579" s="16" t="str">
        <f aca="false">IF(OR(C579="",D579=""),"",ROUND(MOD(D579-C579,1)*24,2))</f>
        <v/>
      </c>
      <c r="I579" s="18"/>
      <c r="J579" s="18"/>
      <c r="K579" s="18"/>
    </row>
    <row r="580" customFormat="false" ht="15" hidden="false" customHeight="false" outlineLevel="0" collapsed="false">
      <c r="A580" s="17"/>
      <c r="B580" s="18"/>
      <c r="C580" s="19"/>
      <c r="D580" s="19"/>
      <c r="E580" s="18"/>
      <c r="F580" s="18"/>
      <c r="G580" s="13" t="str">
        <f aca="false">IF(F580="","",IFERROR(INDEX(Metas!$B$5:$B$54,MATCH(F580,Metas!$A$5:$A$54,0)),"⚠ ID de meta no existe"))</f>
        <v/>
      </c>
      <c r="H580" s="16" t="str">
        <f aca="false">IF(OR(C580="",D580=""),"",ROUND(MOD(D580-C580,1)*24,2))</f>
        <v/>
      </c>
      <c r="I580" s="18"/>
      <c r="J580" s="18"/>
      <c r="K580" s="18"/>
    </row>
    <row r="581" customFormat="false" ht="15" hidden="false" customHeight="false" outlineLevel="0" collapsed="false">
      <c r="A581" s="17"/>
      <c r="B581" s="18"/>
      <c r="C581" s="19"/>
      <c r="D581" s="19"/>
      <c r="E581" s="18"/>
      <c r="F581" s="18"/>
      <c r="G581" s="13" t="str">
        <f aca="false">IF(F581="","",IFERROR(INDEX(Metas!$B$5:$B$54,MATCH(F581,Metas!$A$5:$A$54,0)),"⚠ ID de meta no existe"))</f>
        <v/>
      </c>
      <c r="H581" s="16" t="str">
        <f aca="false">IF(OR(C581="",D581=""),"",ROUND(MOD(D581-C581,1)*24,2))</f>
        <v/>
      </c>
      <c r="I581" s="18"/>
      <c r="J581" s="18"/>
      <c r="K581" s="18"/>
    </row>
    <row r="582" customFormat="false" ht="15" hidden="false" customHeight="false" outlineLevel="0" collapsed="false">
      <c r="A582" s="17"/>
      <c r="B582" s="18"/>
      <c r="C582" s="19"/>
      <c r="D582" s="19"/>
      <c r="E582" s="18"/>
      <c r="F582" s="18"/>
      <c r="G582" s="13" t="str">
        <f aca="false">IF(F582="","",IFERROR(INDEX(Metas!$B$5:$B$54,MATCH(F582,Metas!$A$5:$A$54,0)),"⚠ ID de meta no existe"))</f>
        <v/>
      </c>
      <c r="H582" s="16" t="str">
        <f aca="false">IF(OR(C582="",D582=""),"",ROUND(MOD(D582-C582,1)*24,2))</f>
        <v/>
      </c>
      <c r="I582" s="18"/>
      <c r="J582" s="18"/>
      <c r="K582" s="18"/>
    </row>
    <row r="583" customFormat="false" ht="15" hidden="false" customHeight="false" outlineLevel="0" collapsed="false">
      <c r="A583" s="17"/>
      <c r="B583" s="18"/>
      <c r="C583" s="19"/>
      <c r="D583" s="19"/>
      <c r="E583" s="18"/>
      <c r="F583" s="18"/>
      <c r="G583" s="13" t="str">
        <f aca="false">IF(F583="","",IFERROR(INDEX(Metas!$B$5:$B$54,MATCH(F583,Metas!$A$5:$A$54,0)),"⚠ ID de meta no existe"))</f>
        <v/>
      </c>
      <c r="H583" s="16" t="str">
        <f aca="false">IF(OR(C583="",D583=""),"",ROUND(MOD(D583-C583,1)*24,2))</f>
        <v/>
      </c>
      <c r="I583" s="18"/>
      <c r="J583" s="18"/>
      <c r="K583" s="18"/>
    </row>
    <row r="584" customFormat="false" ht="15" hidden="false" customHeight="false" outlineLevel="0" collapsed="false">
      <c r="A584" s="17"/>
      <c r="B584" s="18"/>
      <c r="C584" s="19"/>
      <c r="D584" s="19"/>
      <c r="E584" s="18"/>
      <c r="F584" s="18"/>
      <c r="G584" s="13" t="str">
        <f aca="false">IF(F584="","",IFERROR(INDEX(Metas!$B$5:$B$54,MATCH(F584,Metas!$A$5:$A$54,0)),"⚠ ID de meta no existe"))</f>
        <v/>
      </c>
      <c r="H584" s="16" t="str">
        <f aca="false">IF(OR(C584="",D584=""),"",ROUND(MOD(D584-C584,1)*24,2))</f>
        <v/>
      </c>
      <c r="I584" s="18"/>
      <c r="J584" s="18"/>
      <c r="K584" s="18"/>
    </row>
    <row r="585" customFormat="false" ht="15" hidden="false" customHeight="false" outlineLevel="0" collapsed="false">
      <c r="A585" s="17"/>
      <c r="B585" s="18"/>
      <c r="C585" s="19"/>
      <c r="D585" s="19"/>
      <c r="E585" s="18"/>
      <c r="F585" s="18"/>
      <c r="G585" s="13" t="str">
        <f aca="false">IF(F585="","",IFERROR(INDEX(Metas!$B$5:$B$54,MATCH(F585,Metas!$A$5:$A$54,0)),"⚠ ID de meta no existe"))</f>
        <v/>
      </c>
      <c r="H585" s="16" t="str">
        <f aca="false">IF(OR(C585="",D585=""),"",ROUND(MOD(D585-C585,1)*24,2))</f>
        <v/>
      </c>
      <c r="I585" s="18"/>
      <c r="J585" s="18"/>
      <c r="K585" s="18"/>
    </row>
    <row r="586" customFormat="false" ht="15" hidden="false" customHeight="false" outlineLevel="0" collapsed="false">
      <c r="A586" s="17"/>
      <c r="B586" s="18"/>
      <c r="C586" s="19"/>
      <c r="D586" s="19"/>
      <c r="E586" s="18"/>
      <c r="F586" s="18"/>
      <c r="G586" s="13" t="str">
        <f aca="false">IF(F586="","",IFERROR(INDEX(Metas!$B$5:$B$54,MATCH(F586,Metas!$A$5:$A$54,0)),"⚠ ID de meta no existe"))</f>
        <v/>
      </c>
      <c r="H586" s="16" t="str">
        <f aca="false">IF(OR(C586="",D586=""),"",ROUND(MOD(D586-C586,1)*24,2))</f>
        <v/>
      </c>
      <c r="I586" s="18"/>
      <c r="J586" s="18"/>
      <c r="K586" s="18"/>
    </row>
    <row r="587" customFormat="false" ht="15" hidden="false" customHeight="false" outlineLevel="0" collapsed="false">
      <c r="A587" s="17"/>
      <c r="B587" s="18"/>
      <c r="C587" s="19"/>
      <c r="D587" s="19"/>
      <c r="E587" s="18"/>
      <c r="F587" s="18"/>
      <c r="G587" s="13" t="str">
        <f aca="false">IF(F587="","",IFERROR(INDEX(Metas!$B$5:$B$54,MATCH(F587,Metas!$A$5:$A$54,0)),"⚠ ID de meta no existe"))</f>
        <v/>
      </c>
      <c r="H587" s="16" t="str">
        <f aca="false">IF(OR(C587="",D587=""),"",ROUND(MOD(D587-C587,1)*24,2))</f>
        <v/>
      </c>
      <c r="I587" s="18"/>
      <c r="J587" s="18"/>
      <c r="K587" s="18"/>
    </row>
    <row r="588" customFormat="false" ht="15" hidden="false" customHeight="false" outlineLevel="0" collapsed="false">
      <c r="A588" s="17"/>
      <c r="B588" s="18"/>
      <c r="C588" s="19"/>
      <c r="D588" s="19"/>
      <c r="E588" s="18"/>
      <c r="F588" s="18"/>
      <c r="G588" s="13" t="str">
        <f aca="false">IF(F588="","",IFERROR(INDEX(Metas!$B$5:$B$54,MATCH(F588,Metas!$A$5:$A$54,0)),"⚠ ID de meta no existe"))</f>
        <v/>
      </c>
      <c r="H588" s="16" t="str">
        <f aca="false">IF(OR(C588="",D588=""),"",ROUND(MOD(D588-C588,1)*24,2))</f>
        <v/>
      </c>
      <c r="I588" s="18"/>
      <c r="J588" s="18"/>
      <c r="K588" s="18"/>
    </row>
    <row r="589" customFormat="false" ht="15" hidden="false" customHeight="false" outlineLevel="0" collapsed="false">
      <c r="A589" s="17"/>
      <c r="B589" s="18"/>
      <c r="C589" s="19"/>
      <c r="D589" s="19"/>
      <c r="E589" s="18"/>
      <c r="F589" s="18"/>
      <c r="G589" s="13" t="str">
        <f aca="false">IF(F589="","",IFERROR(INDEX(Metas!$B$5:$B$54,MATCH(F589,Metas!$A$5:$A$54,0)),"⚠ ID de meta no existe"))</f>
        <v/>
      </c>
      <c r="H589" s="16" t="str">
        <f aca="false">IF(OR(C589="",D589=""),"",ROUND(MOD(D589-C589,1)*24,2))</f>
        <v/>
      </c>
      <c r="I589" s="18"/>
      <c r="J589" s="18"/>
      <c r="K589" s="18"/>
    </row>
    <row r="590" customFormat="false" ht="15" hidden="false" customHeight="false" outlineLevel="0" collapsed="false">
      <c r="A590" s="17"/>
      <c r="B590" s="18"/>
      <c r="C590" s="19"/>
      <c r="D590" s="19"/>
      <c r="E590" s="18"/>
      <c r="F590" s="18"/>
      <c r="G590" s="13" t="str">
        <f aca="false">IF(F590="","",IFERROR(INDEX(Metas!$B$5:$B$54,MATCH(F590,Metas!$A$5:$A$54,0)),"⚠ ID de meta no existe"))</f>
        <v/>
      </c>
      <c r="H590" s="16" t="str">
        <f aca="false">IF(OR(C590="",D590=""),"",ROUND(MOD(D590-C590,1)*24,2))</f>
        <v/>
      </c>
      <c r="I590" s="18"/>
      <c r="J590" s="18"/>
      <c r="K590" s="18"/>
    </row>
    <row r="591" customFormat="false" ht="15" hidden="false" customHeight="false" outlineLevel="0" collapsed="false">
      <c r="A591" s="17"/>
      <c r="B591" s="18"/>
      <c r="C591" s="19"/>
      <c r="D591" s="19"/>
      <c r="E591" s="18"/>
      <c r="F591" s="18"/>
      <c r="G591" s="13" t="str">
        <f aca="false">IF(F591="","",IFERROR(INDEX(Metas!$B$5:$B$54,MATCH(F591,Metas!$A$5:$A$54,0)),"⚠ ID de meta no existe"))</f>
        <v/>
      </c>
      <c r="H591" s="16" t="str">
        <f aca="false">IF(OR(C591="",D591=""),"",ROUND(MOD(D591-C591,1)*24,2))</f>
        <v/>
      </c>
      <c r="I591" s="18"/>
      <c r="J591" s="18"/>
      <c r="K591" s="18"/>
    </row>
    <row r="592" customFormat="false" ht="15" hidden="false" customHeight="false" outlineLevel="0" collapsed="false">
      <c r="A592" s="17"/>
      <c r="B592" s="18"/>
      <c r="C592" s="19"/>
      <c r="D592" s="19"/>
      <c r="E592" s="18"/>
      <c r="F592" s="18"/>
      <c r="G592" s="13" t="str">
        <f aca="false">IF(F592="","",IFERROR(INDEX(Metas!$B$5:$B$54,MATCH(F592,Metas!$A$5:$A$54,0)),"⚠ ID de meta no existe"))</f>
        <v/>
      </c>
      <c r="H592" s="16" t="str">
        <f aca="false">IF(OR(C592="",D592=""),"",ROUND(MOD(D592-C592,1)*24,2))</f>
        <v/>
      </c>
      <c r="I592" s="18"/>
      <c r="J592" s="18"/>
      <c r="K592" s="18"/>
    </row>
    <row r="593" customFormat="false" ht="15" hidden="false" customHeight="false" outlineLevel="0" collapsed="false">
      <c r="A593" s="17"/>
      <c r="B593" s="18"/>
      <c r="C593" s="19"/>
      <c r="D593" s="19"/>
      <c r="E593" s="18"/>
      <c r="F593" s="18"/>
      <c r="G593" s="13" t="str">
        <f aca="false">IF(F593="","",IFERROR(INDEX(Metas!$B$5:$B$54,MATCH(F593,Metas!$A$5:$A$54,0)),"⚠ ID de meta no existe"))</f>
        <v/>
      </c>
      <c r="H593" s="16" t="str">
        <f aca="false">IF(OR(C593="",D593=""),"",ROUND(MOD(D593-C593,1)*24,2))</f>
        <v/>
      </c>
      <c r="I593" s="18"/>
      <c r="J593" s="18"/>
      <c r="K593" s="18"/>
    </row>
    <row r="594" customFormat="false" ht="15" hidden="false" customHeight="false" outlineLevel="0" collapsed="false">
      <c r="A594" s="17"/>
      <c r="B594" s="18"/>
      <c r="C594" s="19"/>
      <c r="D594" s="19"/>
      <c r="E594" s="18"/>
      <c r="F594" s="18"/>
      <c r="G594" s="13" t="str">
        <f aca="false">IF(F594="","",IFERROR(INDEX(Metas!$B$5:$B$54,MATCH(F594,Metas!$A$5:$A$54,0)),"⚠ ID de meta no existe"))</f>
        <v/>
      </c>
      <c r="H594" s="16" t="str">
        <f aca="false">IF(OR(C594="",D594=""),"",ROUND(MOD(D594-C594,1)*24,2))</f>
        <v/>
      </c>
      <c r="I594" s="18"/>
      <c r="J594" s="18"/>
      <c r="K594" s="18"/>
    </row>
    <row r="595" customFormat="false" ht="15" hidden="false" customHeight="false" outlineLevel="0" collapsed="false">
      <c r="A595" s="17"/>
      <c r="B595" s="18"/>
      <c r="C595" s="19"/>
      <c r="D595" s="19"/>
      <c r="E595" s="18"/>
      <c r="F595" s="18"/>
      <c r="G595" s="13" t="str">
        <f aca="false">IF(F595="","",IFERROR(INDEX(Metas!$B$5:$B$54,MATCH(F595,Metas!$A$5:$A$54,0)),"⚠ ID de meta no existe"))</f>
        <v/>
      </c>
      <c r="H595" s="16" t="str">
        <f aca="false">IF(OR(C595="",D595=""),"",ROUND(MOD(D595-C595,1)*24,2))</f>
        <v/>
      </c>
      <c r="I595" s="18"/>
      <c r="J595" s="18"/>
      <c r="K595" s="18"/>
    </row>
    <row r="596" customFormat="false" ht="15" hidden="false" customHeight="false" outlineLevel="0" collapsed="false">
      <c r="A596" s="17"/>
      <c r="B596" s="18"/>
      <c r="C596" s="19"/>
      <c r="D596" s="19"/>
      <c r="E596" s="18"/>
      <c r="F596" s="18"/>
      <c r="G596" s="13" t="str">
        <f aca="false">IF(F596="","",IFERROR(INDEX(Metas!$B$5:$B$54,MATCH(F596,Metas!$A$5:$A$54,0)),"⚠ ID de meta no existe"))</f>
        <v/>
      </c>
      <c r="H596" s="16" t="str">
        <f aca="false">IF(OR(C596="",D596=""),"",ROUND(MOD(D596-C596,1)*24,2))</f>
        <v/>
      </c>
      <c r="I596" s="18"/>
      <c r="J596" s="18"/>
      <c r="K596" s="18"/>
    </row>
    <row r="597" customFormat="false" ht="15" hidden="false" customHeight="false" outlineLevel="0" collapsed="false">
      <c r="A597" s="17"/>
      <c r="B597" s="18"/>
      <c r="C597" s="19"/>
      <c r="D597" s="19"/>
      <c r="E597" s="18"/>
      <c r="F597" s="18"/>
      <c r="G597" s="13" t="str">
        <f aca="false">IF(F597="","",IFERROR(INDEX(Metas!$B$5:$B$54,MATCH(F597,Metas!$A$5:$A$54,0)),"⚠ ID de meta no existe"))</f>
        <v/>
      </c>
      <c r="H597" s="16" t="str">
        <f aca="false">IF(OR(C597="",D597=""),"",ROUND(MOD(D597-C597,1)*24,2))</f>
        <v/>
      </c>
      <c r="I597" s="18"/>
      <c r="J597" s="18"/>
      <c r="K597" s="18"/>
    </row>
    <row r="598" customFormat="false" ht="15" hidden="false" customHeight="false" outlineLevel="0" collapsed="false">
      <c r="A598" s="17"/>
      <c r="B598" s="18"/>
      <c r="C598" s="19"/>
      <c r="D598" s="19"/>
      <c r="E598" s="18"/>
      <c r="F598" s="18"/>
      <c r="G598" s="13" t="str">
        <f aca="false">IF(F598="","",IFERROR(INDEX(Metas!$B$5:$B$54,MATCH(F598,Metas!$A$5:$A$54,0)),"⚠ ID de meta no existe"))</f>
        <v/>
      </c>
      <c r="H598" s="16" t="str">
        <f aca="false">IF(OR(C598="",D598=""),"",ROUND(MOD(D598-C598,1)*24,2))</f>
        <v/>
      </c>
      <c r="I598" s="18"/>
      <c r="J598" s="18"/>
      <c r="K598" s="18"/>
    </row>
    <row r="599" customFormat="false" ht="15" hidden="false" customHeight="false" outlineLevel="0" collapsed="false">
      <c r="A599" s="17"/>
      <c r="B599" s="18"/>
      <c r="C599" s="19"/>
      <c r="D599" s="19"/>
      <c r="E599" s="18"/>
      <c r="F599" s="18"/>
      <c r="G599" s="13" t="str">
        <f aca="false">IF(F599="","",IFERROR(INDEX(Metas!$B$5:$B$54,MATCH(F599,Metas!$A$5:$A$54,0)),"⚠ ID de meta no existe"))</f>
        <v/>
      </c>
      <c r="H599" s="16" t="str">
        <f aca="false">IF(OR(C599="",D599=""),"",ROUND(MOD(D599-C599,1)*24,2))</f>
        <v/>
      </c>
      <c r="I599" s="18"/>
      <c r="J599" s="18"/>
      <c r="K599" s="18"/>
    </row>
    <row r="600" customFormat="false" ht="15" hidden="false" customHeight="false" outlineLevel="0" collapsed="false">
      <c r="A600" s="17"/>
      <c r="B600" s="18"/>
      <c r="C600" s="19"/>
      <c r="D600" s="19"/>
      <c r="E600" s="18"/>
      <c r="F600" s="18"/>
      <c r="G600" s="13" t="str">
        <f aca="false">IF(F600="","",IFERROR(INDEX(Metas!$B$5:$B$54,MATCH(F600,Metas!$A$5:$A$54,0)),"⚠ ID de meta no existe"))</f>
        <v/>
      </c>
      <c r="H600" s="16" t="str">
        <f aca="false">IF(OR(C600="",D600=""),"",ROUND(MOD(D600-C600,1)*24,2))</f>
        <v/>
      </c>
      <c r="I600" s="18"/>
      <c r="J600" s="18"/>
      <c r="K600" s="18"/>
    </row>
    <row r="601" customFormat="false" ht="15" hidden="false" customHeight="false" outlineLevel="0" collapsed="false">
      <c r="A601" s="17"/>
      <c r="B601" s="18"/>
      <c r="C601" s="19"/>
      <c r="D601" s="19"/>
      <c r="E601" s="18"/>
      <c r="F601" s="18"/>
      <c r="G601" s="13" t="str">
        <f aca="false">IF(F601="","",IFERROR(INDEX(Metas!$B$5:$B$54,MATCH(F601,Metas!$A$5:$A$54,0)),"⚠ ID de meta no existe"))</f>
        <v/>
      </c>
      <c r="H601" s="16" t="str">
        <f aca="false">IF(OR(C601="",D601=""),"",ROUND(MOD(D601-C601,1)*24,2))</f>
        <v/>
      </c>
      <c r="I601" s="18"/>
      <c r="J601" s="18"/>
      <c r="K601" s="18"/>
    </row>
    <row r="602" customFormat="false" ht="15" hidden="false" customHeight="false" outlineLevel="0" collapsed="false">
      <c r="A602" s="17"/>
      <c r="B602" s="18"/>
      <c r="C602" s="19"/>
      <c r="D602" s="19"/>
      <c r="E602" s="18"/>
      <c r="F602" s="18"/>
      <c r="G602" s="13" t="str">
        <f aca="false">IF(F602="","",IFERROR(INDEX(Metas!$B$5:$B$54,MATCH(F602,Metas!$A$5:$A$54,0)),"⚠ ID de meta no existe"))</f>
        <v/>
      </c>
      <c r="H602" s="16" t="str">
        <f aca="false">IF(OR(C602="",D602=""),"",ROUND(MOD(D602-C602,1)*24,2))</f>
        <v/>
      </c>
      <c r="I602" s="18"/>
      <c r="J602" s="18"/>
      <c r="K602" s="18"/>
    </row>
    <row r="603" customFormat="false" ht="15" hidden="false" customHeight="false" outlineLevel="0" collapsed="false">
      <c r="A603" s="17"/>
      <c r="B603" s="18"/>
      <c r="C603" s="19"/>
      <c r="D603" s="19"/>
      <c r="E603" s="18"/>
      <c r="F603" s="18"/>
      <c r="G603" s="13" t="str">
        <f aca="false">IF(F603="","",IFERROR(INDEX(Metas!$B$5:$B$54,MATCH(F603,Metas!$A$5:$A$54,0)),"⚠ ID de meta no existe"))</f>
        <v/>
      </c>
      <c r="H603" s="16" t="str">
        <f aca="false">IF(OR(C603="",D603=""),"",ROUND(MOD(D603-C603,1)*24,2))</f>
        <v/>
      </c>
      <c r="I603" s="18"/>
      <c r="J603" s="18"/>
      <c r="K603" s="18"/>
    </row>
    <row r="604" customFormat="false" ht="15" hidden="false" customHeight="false" outlineLevel="0" collapsed="false">
      <c r="A604" s="17"/>
      <c r="B604" s="18"/>
      <c r="C604" s="19"/>
      <c r="D604" s="19"/>
      <c r="E604" s="18"/>
      <c r="F604" s="18"/>
      <c r="G604" s="13" t="str">
        <f aca="false">IF(F604="","",IFERROR(INDEX(Metas!$B$5:$B$54,MATCH(F604,Metas!$A$5:$A$54,0)),"⚠ ID de meta no existe"))</f>
        <v/>
      </c>
      <c r="H604" s="16" t="str">
        <f aca="false">IF(OR(C604="",D604=""),"",ROUND(MOD(D604-C604,1)*24,2))</f>
        <v/>
      </c>
      <c r="I604" s="18"/>
      <c r="J604" s="18"/>
      <c r="K604" s="18"/>
    </row>
    <row r="605" customFormat="false" ht="15" hidden="false" customHeight="false" outlineLevel="0" collapsed="false">
      <c r="A605" s="17"/>
      <c r="B605" s="18"/>
      <c r="C605" s="19"/>
      <c r="D605" s="19"/>
      <c r="E605" s="18"/>
      <c r="F605" s="18"/>
      <c r="G605" s="13" t="str">
        <f aca="false">IF(F605="","",IFERROR(INDEX(Metas!$B$5:$B$54,MATCH(F605,Metas!$A$5:$A$54,0)),"⚠ ID de meta no existe"))</f>
        <v/>
      </c>
      <c r="H605" s="16" t="str">
        <f aca="false">IF(OR(C605="",D605=""),"",ROUND(MOD(D605-C605,1)*24,2))</f>
        <v/>
      </c>
      <c r="I605" s="18"/>
      <c r="J605" s="18"/>
      <c r="K605" s="18"/>
    </row>
    <row r="606" customFormat="false" ht="15" hidden="false" customHeight="false" outlineLevel="0" collapsed="false">
      <c r="A606" s="17"/>
      <c r="B606" s="18"/>
      <c r="C606" s="19"/>
      <c r="D606" s="19"/>
      <c r="E606" s="18"/>
      <c r="F606" s="18"/>
      <c r="G606" s="13" t="str">
        <f aca="false">IF(F606="","",IFERROR(INDEX(Metas!$B$5:$B$54,MATCH(F606,Metas!$A$5:$A$54,0)),"⚠ ID de meta no existe"))</f>
        <v/>
      </c>
      <c r="H606" s="16" t="str">
        <f aca="false">IF(OR(C606="",D606=""),"",ROUND(MOD(D606-C606,1)*24,2))</f>
        <v/>
      </c>
      <c r="I606" s="18"/>
      <c r="J606" s="18"/>
      <c r="K606" s="18"/>
    </row>
    <row r="607" customFormat="false" ht="15" hidden="false" customHeight="false" outlineLevel="0" collapsed="false">
      <c r="A607" s="17"/>
      <c r="B607" s="18"/>
      <c r="C607" s="19"/>
      <c r="D607" s="19"/>
      <c r="E607" s="18"/>
      <c r="F607" s="18"/>
      <c r="G607" s="13" t="str">
        <f aca="false">IF(F607="","",IFERROR(INDEX(Metas!$B$5:$B$54,MATCH(F607,Metas!$A$5:$A$54,0)),"⚠ ID de meta no existe"))</f>
        <v/>
      </c>
      <c r="H607" s="16" t="str">
        <f aca="false">IF(OR(C607="",D607=""),"",ROUND(MOD(D607-C607,1)*24,2))</f>
        <v/>
      </c>
      <c r="I607" s="18"/>
      <c r="J607" s="18"/>
      <c r="K607" s="18"/>
    </row>
    <row r="608" customFormat="false" ht="15" hidden="false" customHeight="false" outlineLevel="0" collapsed="false">
      <c r="A608" s="17"/>
      <c r="B608" s="18"/>
      <c r="C608" s="19"/>
      <c r="D608" s="19"/>
      <c r="E608" s="18"/>
      <c r="F608" s="18"/>
      <c r="G608" s="13" t="str">
        <f aca="false">IF(F608="","",IFERROR(INDEX(Metas!$B$5:$B$54,MATCH(F608,Metas!$A$5:$A$54,0)),"⚠ ID de meta no existe"))</f>
        <v/>
      </c>
      <c r="H608" s="16" t="str">
        <f aca="false">IF(OR(C608="",D608=""),"",ROUND(MOD(D608-C608,1)*24,2))</f>
        <v/>
      </c>
      <c r="I608" s="18"/>
      <c r="J608" s="18"/>
      <c r="K608" s="18"/>
    </row>
    <row r="609" customFormat="false" ht="15" hidden="false" customHeight="false" outlineLevel="0" collapsed="false">
      <c r="A609" s="17"/>
      <c r="B609" s="18"/>
      <c r="C609" s="19"/>
      <c r="D609" s="19"/>
      <c r="E609" s="18"/>
      <c r="F609" s="18"/>
      <c r="G609" s="13" t="str">
        <f aca="false">IF(F609="","",IFERROR(INDEX(Metas!$B$5:$B$54,MATCH(F609,Metas!$A$5:$A$54,0)),"⚠ ID de meta no existe"))</f>
        <v/>
      </c>
      <c r="H609" s="16" t="str">
        <f aca="false">IF(OR(C609="",D609=""),"",ROUND(MOD(D609-C609,1)*24,2))</f>
        <v/>
      </c>
      <c r="I609" s="18"/>
      <c r="J609" s="18"/>
      <c r="K609" s="18"/>
    </row>
    <row r="610" customFormat="false" ht="15" hidden="false" customHeight="false" outlineLevel="0" collapsed="false">
      <c r="A610" s="17"/>
      <c r="B610" s="18"/>
      <c r="C610" s="19"/>
      <c r="D610" s="19"/>
      <c r="E610" s="18"/>
      <c r="F610" s="18"/>
      <c r="G610" s="13" t="str">
        <f aca="false">IF(F610="","",IFERROR(INDEX(Metas!$B$5:$B$54,MATCH(F610,Metas!$A$5:$A$54,0)),"⚠ ID de meta no existe"))</f>
        <v/>
      </c>
      <c r="H610" s="16" t="str">
        <f aca="false">IF(OR(C610="",D610=""),"",ROUND(MOD(D610-C610,1)*24,2))</f>
        <v/>
      </c>
      <c r="I610" s="18"/>
      <c r="J610" s="18"/>
      <c r="K610" s="18"/>
    </row>
    <row r="611" customFormat="false" ht="15" hidden="false" customHeight="false" outlineLevel="0" collapsed="false">
      <c r="A611" s="17"/>
      <c r="B611" s="18"/>
      <c r="C611" s="19"/>
      <c r="D611" s="19"/>
      <c r="E611" s="18"/>
      <c r="F611" s="18"/>
      <c r="G611" s="13" t="str">
        <f aca="false">IF(F611="","",IFERROR(INDEX(Metas!$B$5:$B$54,MATCH(F611,Metas!$A$5:$A$54,0)),"⚠ ID de meta no existe"))</f>
        <v/>
      </c>
      <c r="H611" s="16" t="str">
        <f aca="false">IF(OR(C611="",D611=""),"",ROUND(MOD(D611-C611,1)*24,2))</f>
        <v/>
      </c>
      <c r="I611" s="18"/>
      <c r="J611" s="18"/>
      <c r="K611" s="18"/>
    </row>
    <row r="612" customFormat="false" ht="15" hidden="false" customHeight="false" outlineLevel="0" collapsed="false">
      <c r="A612" s="17"/>
      <c r="B612" s="18"/>
      <c r="C612" s="19"/>
      <c r="D612" s="19"/>
      <c r="E612" s="18"/>
      <c r="F612" s="18"/>
      <c r="G612" s="13" t="str">
        <f aca="false">IF(F612="","",IFERROR(INDEX(Metas!$B$5:$B$54,MATCH(F612,Metas!$A$5:$A$54,0)),"⚠ ID de meta no existe"))</f>
        <v/>
      </c>
      <c r="H612" s="16" t="str">
        <f aca="false">IF(OR(C612="",D612=""),"",ROUND(MOD(D612-C612,1)*24,2))</f>
        <v/>
      </c>
      <c r="I612" s="18"/>
      <c r="J612" s="18"/>
      <c r="K612" s="18"/>
    </row>
    <row r="613" customFormat="false" ht="15" hidden="false" customHeight="false" outlineLevel="0" collapsed="false">
      <c r="A613" s="17"/>
      <c r="B613" s="18"/>
      <c r="C613" s="19"/>
      <c r="D613" s="19"/>
      <c r="E613" s="18"/>
      <c r="F613" s="18"/>
      <c r="G613" s="13" t="str">
        <f aca="false">IF(F613="","",IFERROR(INDEX(Metas!$B$5:$B$54,MATCH(F613,Metas!$A$5:$A$54,0)),"⚠ ID de meta no existe"))</f>
        <v/>
      </c>
      <c r="H613" s="16" t="str">
        <f aca="false">IF(OR(C613="",D613=""),"",ROUND(MOD(D613-C613,1)*24,2))</f>
        <v/>
      </c>
      <c r="I613" s="18"/>
      <c r="J613" s="18"/>
      <c r="K613" s="18"/>
    </row>
    <row r="614" customFormat="false" ht="15" hidden="false" customHeight="false" outlineLevel="0" collapsed="false">
      <c r="A614" s="17"/>
      <c r="B614" s="18"/>
      <c r="C614" s="19"/>
      <c r="D614" s="19"/>
      <c r="E614" s="18"/>
      <c r="F614" s="18"/>
      <c r="G614" s="13" t="str">
        <f aca="false">IF(F614="","",IFERROR(INDEX(Metas!$B$5:$B$54,MATCH(F614,Metas!$A$5:$A$54,0)),"⚠ ID de meta no existe"))</f>
        <v/>
      </c>
      <c r="H614" s="16" t="str">
        <f aca="false">IF(OR(C614="",D614=""),"",ROUND(MOD(D614-C614,1)*24,2))</f>
        <v/>
      </c>
      <c r="I614" s="18"/>
      <c r="J614" s="18"/>
      <c r="K614" s="18"/>
    </row>
    <row r="615" customFormat="false" ht="15" hidden="false" customHeight="false" outlineLevel="0" collapsed="false">
      <c r="A615" s="17"/>
      <c r="B615" s="18"/>
      <c r="C615" s="19"/>
      <c r="D615" s="19"/>
      <c r="E615" s="18"/>
      <c r="F615" s="18"/>
      <c r="G615" s="13" t="str">
        <f aca="false">IF(F615="","",IFERROR(INDEX(Metas!$B$5:$B$54,MATCH(F615,Metas!$A$5:$A$54,0)),"⚠ ID de meta no existe"))</f>
        <v/>
      </c>
      <c r="H615" s="16" t="str">
        <f aca="false">IF(OR(C615="",D615=""),"",ROUND(MOD(D615-C615,1)*24,2))</f>
        <v/>
      </c>
      <c r="I615" s="18"/>
      <c r="J615" s="18"/>
      <c r="K615" s="18"/>
    </row>
    <row r="616" customFormat="false" ht="15" hidden="false" customHeight="false" outlineLevel="0" collapsed="false">
      <c r="A616" s="17"/>
      <c r="B616" s="18"/>
      <c r="C616" s="19"/>
      <c r="D616" s="19"/>
      <c r="E616" s="18"/>
      <c r="F616" s="18"/>
      <c r="G616" s="13" t="str">
        <f aca="false">IF(F616="","",IFERROR(INDEX(Metas!$B$5:$B$54,MATCH(F616,Metas!$A$5:$A$54,0)),"⚠ ID de meta no existe"))</f>
        <v/>
      </c>
      <c r="H616" s="16" t="str">
        <f aca="false">IF(OR(C616="",D616=""),"",ROUND(MOD(D616-C616,1)*24,2))</f>
        <v/>
      </c>
      <c r="I616" s="18"/>
      <c r="J616" s="18"/>
      <c r="K616" s="18"/>
    </row>
    <row r="617" customFormat="false" ht="15" hidden="false" customHeight="false" outlineLevel="0" collapsed="false">
      <c r="A617" s="17"/>
      <c r="B617" s="18"/>
      <c r="C617" s="19"/>
      <c r="D617" s="19"/>
      <c r="E617" s="18"/>
      <c r="F617" s="18"/>
      <c r="G617" s="13" t="str">
        <f aca="false">IF(F617="","",IFERROR(INDEX(Metas!$B$5:$B$54,MATCH(F617,Metas!$A$5:$A$54,0)),"⚠ ID de meta no existe"))</f>
        <v/>
      </c>
      <c r="H617" s="16" t="str">
        <f aca="false">IF(OR(C617="",D617=""),"",ROUND(MOD(D617-C617,1)*24,2))</f>
        <v/>
      </c>
      <c r="I617" s="18"/>
      <c r="J617" s="18"/>
      <c r="K617" s="18"/>
    </row>
    <row r="618" customFormat="false" ht="15" hidden="false" customHeight="false" outlineLevel="0" collapsed="false">
      <c r="A618" s="17"/>
      <c r="B618" s="18"/>
      <c r="C618" s="19"/>
      <c r="D618" s="19"/>
      <c r="E618" s="18"/>
      <c r="F618" s="18"/>
      <c r="G618" s="13" t="str">
        <f aca="false">IF(F618="","",IFERROR(INDEX(Metas!$B$5:$B$54,MATCH(F618,Metas!$A$5:$A$54,0)),"⚠ ID de meta no existe"))</f>
        <v/>
      </c>
      <c r="H618" s="16" t="str">
        <f aca="false">IF(OR(C618="",D618=""),"",ROUND(MOD(D618-C618,1)*24,2))</f>
        <v/>
      </c>
      <c r="I618" s="18"/>
      <c r="J618" s="18"/>
      <c r="K618" s="18"/>
    </row>
    <row r="619" customFormat="false" ht="15" hidden="false" customHeight="false" outlineLevel="0" collapsed="false">
      <c r="A619" s="17"/>
      <c r="B619" s="18"/>
      <c r="C619" s="19"/>
      <c r="D619" s="19"/>
      <c r="E619" s="18"/>
      <c r="F619" s="18"/>
      <c r="G619" s="13" t="str">
        <f aca="false">IF(F619="","",IFERROR(INDEX(Metas!$B$5:$B$54,MATCH(F619,Metas!$A$5:$A$54,0)),"⚠ ID de meta no existe"))</f>
        <v/>
      </c>
      <c r="H619" s="16" t="str">
        <f aca="false">IF(OR(C619="",D619=""),"",ROUND(MOD(D619-C619,1)*24,2))</f>
        <v/>
      </c>
      <c r="I619" s="18"/>
      <c r="J619" s="18"/>
      <c r="K619" s="18"/>
    </row>
    <row r="620" customFormat="false" ht="15" hidden="false" customHeight="false" outlineLevel="0" collapsed="false">
      <c r="A620" s="17"/>
      <c r="B620" s="18"/>
      <c r="C620" s="19"/>
      <c r="D620" s="19"/>
      <c r="E620" s="18"/>
      <c r="F620" s="18"/>
      <c r="G620" s="13" t="str">
        <f aca="false">IF(F620="","",IFERROR(INDEX(Metas!$B$5:$B$54,MATCH(F620,Metas!$A$5:$A$54,0)),"⚠ ID de meta no existe"))</f>
        <v/>
      </c>
      <c r="H620" s="16" t="str">
        <f aca="false">IF(OR(C620="",D620=""),"",ROUND(MOD(D620-C620,1)*24,2))</f>
        <v/>
      </c>
      <c r="I620" s="18"/>
      <c r="J620" s="18"/>
      <c r="K620" s="18"/>
    </row>
    <row r="621" customFormat="false" ht="15" hidden="false" customHeight="false" outlineLevel="0" collapsed="false">
      <c r="A621" s="17"/>
      <c r="B621" s="18"/>
      <c r="C621" s="19"/>
      <c r="D621" s="19"/>
      <c r="E621" s="18"/>
      <c r="F621" s="18"/>
      <c r="G621" s="13" t="str">
        <f aca="false">IF(F621="","",IFERROR(INDEX(Metas!$B$5:$B$54,MATCH(F621,Metas!$A$5:$A$54,0)),"⚠ ID de meta no existe"))</f>
        <v/>
      </c>
      <c r="H621" s="16" t="str">
        <f aca="false">IF(OR(C621="",D621=""),"",ROUND(MOD(D621-C621,1)*24,2))</f>
        <v/>
      </c>
      <c r="I621" s="18"/>
      <c r="J621" s="18"/>
      <c r="K621" s="18"/>
    </row>
    <row r="622" customFormat="false" ht="15" hidden="false" customHeight="false" outlineLevel="0" collapsed="false">
      <c r="A622" s="17"/>
      <c r="B622" s="18"/>
      <c r="C622" s="19"/>
      <c r="D622" s="19"/>
      <c r="E622" s="18"/>
      <c r="F622" s="18"/>
      <c r="G622" s="13" t="str">
        <f aca="false">IF(F622="","",IFERROR(INDEX(Metas!$B$5:$B$54,MATCH(F622,Metas!$A$5:$A$54,0)),"⚠ ID de meta no existe"))</f>
        <v/>
      </c>
      <c r="H622" s="16" t="str">
        <f aca="false">IF(OR(C622="",D622=""),"",ROUND(MOD(D622-C622,1)*24,2))</f>
        <v/>
      </c>
      <c r="I622" s="18"/>
      <c r="J622" s="18"/>
      <c r="K622" s="18"/>
    </row>
    <row r="623" customFormat="false" ht="15" hidden="false" customHeight="false" outlineLevel="0" collapsed="false">
      <c r="A623" s="17"/>
      <c r="B623" s="18"/>
      <c r="C623" s="19"/>
      <c r="D623" s="19"/>
      <c r="E623" s="18"/>
      <c r="F623" s="18"/>
      <c r="G623" s="13" t="str">
        <f aca="false">IF(F623="","",IFERROR(INDEX(Metas!$B$5:$B$54,MATCH(F623,Metas!$A$5:$A$54,0)),"⚠ ID de meta no existe"))</f>
        <v/>
      </c>
      <c r="H623" s="16" t="str">
        <f aca="false">IF(OR(C623="",D623=""),"",ROUND(MOD(D623-C623,1)*24,2))</f>
        <v/>
      </c>
      <c r="I623" s="18"/>
      <c r="J623" s="18"/>
      <c r="K623" s="18"/>
    </row>
    <row r="624" customFormat="false" ht="15" hidden="false" customHeight="false" outlineLevel="0" collapsed="false">
      <c r="A624" s="17"/>
      <c r="B624" s="18"/>
      <c r="C624" s="19"/>
      <c r="D624" s="19"/>
      <c r="E624" s="18"/>
      <c r="F624" s="18"/>
      <c r="G624" s="13" t="str">
        <f aca="false">IF(F624="","",IFERROR(INDEX(Metas!$B$5:$B$54,MATCH(F624,Metas!$A$5:$A$54,0)),"⚠ ID de meta no existe"))</f>
        <v/>
      </c>
      <c r="H624" s="16" t="str">
        <f aca="false">IF(OR(C624="",D624=""),"",ROUND(MOD(D624-C624,1)*24,2))</f>
        <v/>
      </c>
      <c r="I624" s="18"/>
      <c r="J624" s="18"/>
      <c r="K624" s="18"/>
    </row>
    <row r="625" customFormat="false" ht="15" hidden="false" customHeight="false" outlineLevel="0" collapsed="false">
      <c r="A625" s="17"/>
      <c r="B625" s="18"/>
      <c r="C625" s="19"/>
      <c r="D625" s="19"/>
      <c r="E625" s="18"/>
      <c r="F625" s="18"/>
      <c r="G625" s="13" t="str">
        <f aca="false">IF(F625="","",IFERROR(INDEX(Metas!$B$5:$B$54,MATCH(F625,Metas!$A$5:$A$54,0)),"⚠ ID de meta no existe"))</f>
        <v/>
      </c>
      <c r="H625" s="16" t="str">
        <f aca="false">IF(OR(C625="",D625=""),"",ROUND(MOD(D625-C625,1)*24,2))</f>
        <v/>
      </c>
      <c r="I625" s="18"/>
      <c r="J625" s="18"/>
      <c r="K625" s="18"/>
    </row>
    <row r="626" customFormat="false" ht="15" hidden="false" customHeight="false" outlineLevel="0" collapsed="false">
      <c r="A626" s="17"/>
      <c r="B626" s="18"/>
      <c r="C626" s="19"/>
      <c r="D626" s="19"/>
      <c r="E626" s="18"/>
      <c r="F626" s="18"/>
      <c r="G626" s="13" t="str">
        <f aca="false">IF(F626="","",IFERROR(INDEX(Metas!$B$5:$B$54,MATCH(F626,Metas!$A$5:$A$54,0)),"⚠ ID de meta no existe"))</f>
        <v/>
      </c>
      <c r="H626" s="16" t="str">
        <f aca="false">IF(OR(C626="",D626=""),"",ROUND(MOD(D626-C626,1)*24,2))</f>
        <v/>
      </c>
      <c r="I626" s="18"/>
      <c r="J626" s="18"/>
      <c r="K626" s="18"/>
    </row>
    <row r="627" customFormat="false" ht="15" hidden="false" customHeight="false" outlineLevel="0" collapsed="false">
      <c r="A627" s="17"/>
      <c r="B627" s="18"/>
      <c r="C627" s="19"/>
      <c r="D627" s="19"/>
      <c r="E627" s="18"/>
      <c r="F627" s="18"/>
      <c r="G627" s="13" t="str">
        <f aca="false">IF(F627="","",IFERROR(INDEX(Metas!$B$5:$B$54,MATCH(F627,Metas!$A$5:$A$54,0)),"⚠ ID de meta no existe"))</f>
        <v/>
      </c>
      <c r="H627" s="16" t="str">
        <f aca="false">IF(OR(C627="",D627=""),"",ROUND(MOD(D627-C627,1)*24,2))</f>
        <v/>
      </c>
      <c r="I627" s="18"/>
      <c r="J627" s="18"/>
      <c r="K627" s="18"/>
    </row>
    <row r="628" customFormat="false" ht="15" hidden="false" customHeight="false" outlineLevel="0" collapsed="false">
      <c r="A628" s="17"/>
      <c r="B628" s="18"/>
      <c r="C628" s="19"/>
      <c r="D628" s="19"/>
      <c r="E628" s="18"/>
      <c r="F628" s="18"/>
      <c r="G628" s="13" t="str">
        <f aca="false">IF(F628="","",IFERROR(INDEX(Metas!$B$5:$B$54,MATCH(F628,Metas!$A$5:$A$54,0)),"⚠ ID de meta no existe"))</f>
        <v/>
      </c>
      <c r="H628" s="16" t="str">
        <f aca="false">IF(OR(C628="",D628=""),"",ROUND(MOD(D628-C628,1)*24,2))</f>
        <v/>
      </c>
      <c r="I628" s="18"/>
      <c r="J628" s="18"/>
      <c r="K628" s="18"/>
    </row>
    <row r="629" customFormat="false" ht="15" hidden="false" customHeight="false" outlineLevel="0" collapsed="false">
      <c r="A629" s="17"/>
      <c r="B629" s="18"/>
      <c r="C629" s="19"/>
      <c r="D629" s="19"/>
      <c r="E629" s="18"/>
      <c r="F629" s="18"/>
      <c r="G629" s="13" t="str">
        <f aca="false">IF(F629="","",IFERROR(INDEX(Metas!$B$5:$B$54,MATCH(F629,Metas!$A$5:$A$54,0)),"⚠ ID de meta no existe"))</f>
        <v/>
      </c>
      <c r="H629" s="16" t="str">
        <f aca="false">IF(OR(C629="",D629=""),"",ROUND(MOD(D629-C629,1)*24,2))</f>
        <v/>
      </c>
      <c r="I629" s="18"/>
      <c r="J629" s="18"/>
      <c r="K629" s="18"/>
    </row>
    <row r="630" customFormat="false" ht="15" hidden="false" customHeight="false" outlineLevel="0" collapsed="false">
      <c r="A630" s="17"/>
      <c r="B630" s="18"/>
      <c r="C630" s="19"/>
      <c r="D630" s="19"/>
      <c r="E630" s="18"/>
      <c r="F630" s="18"/>
      <c r="G630" s="13" t="str">
        <f aca="false">IF(F630="","",IFERROR(INDEX(Metas!$B$5:$B$54,MATCH(F630,Metas!$A$5:$A$54,0)),"⚠ ID de meta no existe"))</f>
        <v/>
      </c>
      <c r="H630" s="16" t="str">
        <f aca="false">IF(OR(C630="",D630=""),"",ROUND(MOD(D630-C630,1)*24,2))</f>
        <v/>
      </c>
      <c r="I630" s="18"/>
      <c r="J630" s="18"/>
      <c r="K630" s="18"/>
    </row>
    <row r="631" customFormat="false" ht="15" hidden="false" customHeight="false" outlineLevel="0" collapsed="false">
      <c r="A631" s="17"/>
      <c r="B631" s="18"/>
      <c r="C631" s="19"/>
      <c r="D631" s="19"/>
      <c r="E631" s="18"/>
      <c r="F631" s="18"/>
      <c r="G631" s="13" t="str">
        <f aca="false">IF(F631="","",IFERROR(INDEX(Metas!$B$5:$B$54,MATCH(F631,Metas!$A$5:$A$54,0)),"⚠ ID de meta no existe"))</f>
        <v/>
      </c>
      <c r="H631" s="16" t="str">
        <f aca="false">IF(OR(C631="",D631=""),"",ROUND(MOD(D631-C631,1)*24,2))</f>
        <v/>
      </c>
      <c r="I631" s="18"/>
      <c r="J631" s="18"/>
      <c r="K631" s="18"/>
    </row>
    <row r="632" customFormat="false" ht="15" hidden="false" customHeight="false" outlineLevel="0" collapsed="false">
      <c r="A632" s="17"/>
      <c r="B632" s="18"/>
      <c r="C632" s="19"/>
      <c r="D632" s="19"/>
      <c r="E632" s="18"/>
      <c r="F632" s="18"/>
      <c r="G632" s="13" t="str">
        <f aca="false">IF(F632="","",IFERROR(INDEX(Metas!$B$5:$B$54,MATCH(F632,Metas!$A$5:$A$54,0)),"⚠ ID de meta no existe"))</f>
        <v/>
      </c>
      <c r="H632" s="16" t="str">
        <f aca="false">IF(OR(C632="",D632=""),"",ROUND(MOD(D632-C632,1)*24,2))</f>
        <v/>
      </c>
      <c r="I632" s="18"/>
      <c r="J632" s="18"/>
      <c r="K632" s="18"/>
    </row>
    <row r="633" customFormat="false" ht="15" hidden="false" customHeight="false" outlineLevel="0" collapsed="false">
      <c r="A633" s="17"/>
      <c r="B633" s="18"/>
      <c r="C633" s="19"/>
      <c r="D633" s="19"/>
      <c r="E633" s="18"/>
      <c r="F633" s="18"/>
      <c r="G633" s="13" t="str">
        <f aca="false">IF(F633="","",IFERROR(INDEX(Metas!$B$5:$B$54,MATCH(F633,Metas!$A$5:$A$54,0)),"⚠ ID de meta no existe"))</f>
        <v/>
      </c>
      <c r="H633" s="16" t="str">
        <f aca="false">IF(OR(C633="",D633=""),"",ROUND(MOD(D633-C633,1)*24,2))</f>
        <v/>
      </c>
      <c r="I633" s="18"/>
      <c r="J633" s="18"/>
      <c r="K633" s="18"/>
    </row>
    <row r="634" customFormat="false" ht="15" hidden="false" customHeight="false" outlineLevel="0" collapsed="false">
      <c r="A634" s="17"/>
      <c r="B634" s="18"/>
      <c r="C634" s="19"/>
      <c r="D634" s="19"/>
      <c r="E634" s="18"/>
      <c r="F634" s="18"/>
      <c r="G634" s="13" t="str">
        <f aca="false">IF(F634="","",IFERROR(INDEX(Metas!$B$5:$B$54,MATCH(F634,Metas!$A$5:$A$54,0)),"⚠ ID de meta no existe"))</f>
        <v/>
      </c>
      <c r="H634" s="16" t="str">
        <f aca="false">IF(OR(C634="",D634=""),"",ROUND(MOD(D634-C634,1)*24,2))</f>
        <v/>
      </c>
      <c r="I634" s="18"/>
      <c r="J634" s="18"/>
      <c r="K634" s="18"/>
    </row>
    <row r="635" customFormat="false" ht="15" hidden="false" customHeight="false" outlineLevel="0" collapsed="false">
      <c r="A635" s="17"/>
      <c r="B635" s="18"/>
      <c r="C635" s="19"/>
      <c r="D635" s="19"/>
      <c r="E635" s="18"/>
      <c r="F635" s="18"/>
      <c r="G635" s="13" t="str">
        <f aca="false">IF(F635="","",IFERROR(INDEX(Metas!$B$5:$B$54,MATCH(F635,Metas!$A$5:$A$54,0)),"⚠ ID de meta no existe"))</f>
        <v/>
      </c>
      <c r="H635" s="16" t="str">
        <f aca="false">IF(OR(C635="",D635=""),"",ROUND(MOD(D635-C635,1)*24,2))</f>
        <v/>
      </c>
      <c r="I635" s="18"/>
      <c r="J635" s="18"/>
      <c r="K635" s="18"/>
    </row>
    <row r="636" customFormat="false" ht="15" hidden="false" customHeight="false" outlineLevel="0" collapsed="false">
      <c r="A636" s="17"/>
      <c r="B636" s="18"/>
      <c r="C636" s="19"/>
      <c r="D636" s="19"/>
      <c r="E636" s="18"/>
      <c r="F636" s="18"/>
      <c r="G636" s="13" t="str">
        <f aca="false">IF(F636="","",IFERROR(INDEX(Metas!$B$5:$B$54,MATCH(F636,Metas!$A$5:$A$54,0)),"⚠ ID de meta no existe"))</f>
        <v/>
      </c>
      <c r="H636" s="16" t="str">
        <f aca="false">IF(OR(C636="",D636=""),"",ROUND(MOD(D636-C636,1)*24,2))</f>
        <v/>
      </c>
      <c r="I636" s="18"/>
      <c r="J636" s="18"/>
      <c r="K636" s="18"/>
    </row>
    <row r="637" customFormat="false" ht="15" hidden="false" customHeight="false" outlineLevel="0" collapsed="false">
      <c r="A637" s="17"/>
      <c r="B637" s="18"/>
      <c r="C637" s="19"/>
      <c r="D637" s="19"/>
      <c r="E637" s="18"/>
      <c r="F637" s="18"/>
      <c r="G637" s="13" t="str">
        <f aca="false">IF(F637="","",IFERROR(INDEX(Metas!$B$5:$B$54,MATCH(F637,Metas!$A$5:$A$54,0)),"⚠ ID de meta no existe"))</f>
        <v/>
      </c>
      <c r="H637" s="16" t="str">
        <f aca="false">IF(OR(C637="",D637=""),"",ROUND(MOD(D637-C637,1)*24,2))</f>
        <v/>
      </c>
      <c r="I637" s="18"/>
      <c r="J637" s="18"/>
      <c r="K637" s="18"/>
    </row>
    <row r="638" customFormat="false" ht="15" hidden="false" customHeight="false" outlineLevel="0" collapsed="false">
      <c r="A638" s="17"/>
      <c r="B638" s="18"/>
      <c r="C638" s="19"/>
      <c r="D638" s="19"/>
      <c r="E638" s="18"/>
      <c r="F638" s="18"/>
      <c r="G638" s="13" t="str">
        <f aca="false">IF(F638="","",IFERROR(INDEX(Metas!$B$5:$B$54,MATCH(F638,Metas!$A$5:$A$54,0)),"⚠ ID de meta no existe"))</f>
        <v/>
      </c>
      <c r="H638" s="16" t="str">
        <f aca="false">IF(OR(C638="",D638=""),"",ROUND(MOD(D638-C638,1)*24,2))</f>
        <v/>
      </c>
      <c r="I638" s="18"/>
      <c r="J638" s="18"/>
      <c r="K638" s="18"/>
    </row>
    <row r="639" customFormat="false" ht="15" hidden="false" customHeight="false" outlineLevel="0" collapsed="false">
      <c r="A639" s="17"/>
      <c r="B639" s="18"/>
      <c r="C639" s="19"/>
      <c r="D639" s="19"/>
      <c r="E639" s="18"/>
      <c r="F639" s="18"/>
      <c r="G639" s="13" t="str">
        <f aca="false">IF(F639="","",IFERROR(INDEX(Metas!$B$5:$B$54,MATCH(F639,Metas!$A$5:$A$54,0)),"⚠ ID de meta no existe"))</f>
        <v/>
      </c>
      <c r="H639" s="16" t="str">
        <f aca="false">IF(OR(C639="",D639=""),"",ROUND(MOD(D639-C639,1)*24,2))</f>
        <v/>
      </c>
      <c r="I639" s="18"/>
      <c r="J639" s="18"/>
      <c r="K639" s="18"/>
    </row>
    <row r="640" customFormat="false" ht="15" hidden="false" customHeight="false" outlineLevel="0" collapsed="false">
      <c r="A640" s="17"/>
      <c r="B640" s="18"/>
      <c r="C640" s="19"/>
      <c r="D640" s="19"/>
      <c r="E640" s="18"/>
      <c r="F640" s="18"/>
      <c r="G640" s="13" t="str">
        <f aca="false">IF(F640="","",IFERROR(INDEX(Metas!$B$5:$B$54,MATCH(F640,Metas!$A$5:$A$54,0)),"⚠ ID de meta no existe"))</f>
        <v/>
      </c>
      <c r="H640" s="16" t="str">
        <f aca="false">IF(OR(C640="",D640=""),"",ROUND(MOD(D640-C640,1)*24,2))</f>
        <v/>
      </c>
      <c r="I640" s="18"/>
      <c r="J640" s="18"/>
      <c r="K640" s="18"/>
    </row>
    <row r="641" customFormat="false" ht="15" hidden="false" customHeight="false" outlineLevel="0" collapsed="false">
      <c r="A641" s="17"/>
      <c r="B641" s="18"/>
      <c r="C641" s="19"/>
      <c r="D641" s="19"/>
      <c r="E641" s="18"/>
      <c r="F641" s="18"/>
      <c r="G641" s="13" t="str">
        <f aca="false">IF(F641="","",IFERROR(INDEX(Metas!$B$5:$B$54,MATCH(F641,Metas!$A$5:$A$54,0)),"⚠ ID de meta no existe"))</f>
        <v/>
      </c>
      <c r="H641" s="16" t="str">
        <f aca="false">IF(OR(C641="",D641=""),"",ROUND(MOD(D641-C641,1)*24,2))</f>
        <v/>
      </c>
      <c r="I641" s="18"/>
      <c r="J641" s="18"/>
      <c r="K641" s="18"/>
    </row>
    <row r="642" customFormat="false" ht="15" hidden="false" customHeight="false" outlineLevel="0" collapsed="false">
      <c r="A642" s="17"/>
      <c r="B642" s="18"/>
      <c r="C642" s="19"/>
      <c r="D642" s="19"/>
      <c r="E642" s="18"/>
      <c r="F642" s="18"/>
      <c r="G642" s="13" t="str">
        <f aca="false">IF(F642="","",IFERROR(INDEX(Metas!$B$5:$B$54,MATCH(F642,Metas!$A$5:$A$54,0)),"⚠ ID de meta no existe"))</f>
        <v/>
      </c>
      <c r="H642" s="16" t="str">
        <f aca="false">IF(OR(C642="",D642=""),"",ROUND(MOD(D642-C642,1)*24,2))</f>
        <v/>
      </c>
      <c r="I642" s="18"/>
      <c r="J642" s="18"/>
      <c r="K642" s="18"/>
    </row>
    <row r="643" customFormat="false" ht="15" hidden="false" customHeight="false" outlineLevel="0" collapsed="false">
      <c r="A643" s="17"/>
      <c r="B643" s="18"/>
      <c r="C643" s="19"/>
      <c r="D643" s="19"/>
      <c r="E643" s="18"/>
      <c r="F643" s="18"/>
      <c r="G643" s="13" t="str">
        <f aca="false">IF(F643="","",IFERROR(INDEX(Metas!$B$5:$B$54,MATCH(F643,Metas!$A$5:$A$54,0)),"⚠ ID de meta no existe"))</f>
        <v/>
      </c>
      <c r="H643" s="16" t="str">
        <f aca="false">IF(OR(C643="",D643=""),"",ROUND(MOD(D643-C643,1)*24,2))</f>
        <v/>
      </c>
      <c r="I643" s="18"/>
      <c r="J643" s="18"/>
      <c r="K643" s="18"/>
    </row>
    <row r="644" customFormat="false" ht="15" hidden="false" customHeight="false" outlineLevel="0" collapsed="false">
      <c r="A644" s="17"/>
      <c r="B644" s="18"/>
      <c r="C644" s="19"/>
      <c r="D644" s="19"/>
      <c r="E644" s="18"/>
      <c r="F644" s="18"/>
      <c r="G644" s="13" t="str">
        <f aca="false">IF(F644="","",IFERROR(INDEX(Metas!$B$5:$B$54,MATCH(F644,Metas!$A$5:$A$54,0)),"⚠ ID de meta no existe"))</f>
        <v/>
      </c>
      <c r="H644" s="16" t="str">
        <f aca="false">IF(OR(C644="",D644=""),"",ROUND(MOD(D644-C644,1)*24,2))</f>
        <v/>
      </c>
      <c r="I644" s="18"/>
      <c r="J644" s="18"/>
      <c r="K644" s="18"/>
    </row>
    <row r="645" customFormat="false" ht="15" hidden="false" customHeight="false" outlineLevel="0" collapsed="false">
      <c r="A645" s="17"/>
      <c r="B645" s="18"/>
      <c r="C645" s="19"/>
      <c r="D645" s="19"/>
      <c r="E645" s="18"/>
      <c r="F645" s="18"/>
      <c r="G645" s="13" t="str">
        <f aca="false">IF(F645="","",IFERROR(INDEX(Metas!$B$5:$B$54,MATCH(F645,Metas!$A$5:$A$54,0)),"⚠ ID de meta no existe"))</f>
        <v/>
      </c>
      <c r="H645" s="16" t="str">
        <f aca="false">IF(OR(C645="",D645=""),"",ROUND(MOD(D645-C645,1)*24,2))</f>
        <v/>
      </c>
      <c r="I645" s="18"/>
      <c r="J645" s="18"/>
      <c r="K645" s="18"/>
    </row>
    <row r="646" customFormat="false" ht="15" hidden="false" customHeight="false" outlineLevel="0" collapsed="false">
      <c r="A646" s="17"/>
      <c r="B646" s="18"/>
      <c r="C646" s="19"/>
      <c r="D646" s="19"/>
      <c r="E646" s="18"/>
      <c r="F646" s="18"/>
      <c r="G646" s="13" t="str">
        <f aca="false">IF(F646="","",IFERROR(INDEX(Metas!$B$5:$B$54,MATCH(F646,Metas!$A$5:$A$54,0)),"⚠ ID de meta no existe"))</f>
        <v/>
      </c>
      <c r="H646" s="16" t="str">
        <f aca="false">IF(OR(C646="",D646=""),"",ROUND(MOD(D646-C646,1)*24,2))</f>
        <v/>
      </c>
      <c r="I646" s="18"/>
      <c r="J646" s="18"/>
      <c r="K646" s="18"/>
    </row>
    <row r="647" customFormat="false" ht="15" hidden="false" customHeight="false" outlineLevel="0" collapsed="false">
      <c r="A647" s="17"/>
      <c r="B647" s="18"/>
      <c r="C647" s="19"/>
      <c r="D647" s="19"/>
      <c r="E647" s="18"/>
      <c r="F647" s="18"/>
      <c r="G647" s="13" t="str">
        <f aca="false">IF(F647="","",IFERROR(INDEX(Metas!$B$5:$B$54,MATCH(F647,Metas!$A$5:$A$54,0)),"⚠ ID de meta no existe"))</f>
        <v/>
      </c>
      <c r="H647" s="16" t="str">
        <f aca="false">IF(OR(C647="",D647=""),"",ROUND(MOD(D647-C647,1)*24,2))</f>
        <v/>
      </c>
      <c r="I647" s="18"/>
      <c r="J647" s="18"/>
      <c r="K647" s="18"/>
    </row>
    <row r="648" customFormat="false" ht="15" hidden="false" customHeight="false" outlineLevel="0" collapsed="false">
      <c r="A648" s="17"/>
      <c r="B648" s="18"/>
      <c r="C648" s="19"/>
      <c r="D648" s="19"/>
      <c r="E648" s="18"/>
      <c r="F648" s="18"/>
      <c r="G648" s="13" t="str">
        <f aca="false">IF(F648="","",IFERROR(INDEX(Metas!$B$5:$B$54,MATCH(F648,Metas!$A$5:$A$54,0)),"⚠ ID de meta no existe"))</f>
        <v/>
      </c>
      <c r="H648" s="16" t="str">
        <f aca="false">IF(OR(C648="",D648=""),"",ROUND(MOD(D648-C648,1)*24,2))</f>
        <v/>
      </c>
      <c r="I648" s="18"/>
      <c r="J648" s="18"/>
      <c r="K648" s="18"/>
    </row>
    <row r="649" customFormat="false" ht="15" hidden="false" customHeight="false" outlineLevel="0" collapsed="false">
      <c r="A649" s="17"/>
      <c r="B649" s="18"/>
      <c r="C649" s="19"/>
      <c r="D649" s="19"/>
      <c r="E649" s="18"/>
      <c r="F649" s="18"/>
      <c r="G649" s="13" t="str">
        <f aca="false">IF(F649="","",IFERROR(INDEX(Metas!$B$5:$B$54,MATCH(F649,Metas!$A$5:$A$54,0)),"⚠ ID de meta no existe"))</f>
        <v/>
      </c>
      <c r="H649" s="16" t="str">
        <f aca="false">IF(OR(C649="",D649=""),"",ROUND(MOD(D649-C649,1)*24,2))</f>
        <v/>
      </c>
      <c r="I649" s="18"/>
      <c r="J649" s="18"/>
      <c r="K649" s="18"/>
    </row>
    <row r="650" customFormat="false" ht="15" hidden="false" customHeight="false" outlineLevel="0" collapsed="false">
      <c r="A650" s="17"/>
      <c r="B650" s="18"/>
      <c r="C650" s="19"/>
      <c r="D650" s="19"/>
      <c r="E650" s="18"/>
      <c r="F650" s="18"/>
      <c r="G650" s="13" t="str">
        <f aca="false">IF(F650="","",IFERROR(INDEX(Metas!$B$5:$B$54,MATCH(F650,Metas!$A$5:$A$54,0)),"⚠ ID de meta no existe"))</f>
        <v/>
      </c>
      <c r="H650" s="16" t="str">
        <f aca="false">IF(OR(C650="",D650=""),"",ROUND(MOD(D650-C650,1)*24,2))</f>
        <v/>
      </c>
      <c r="I650" s="18"/>
      <c r="J650" s="18"/>
      <c r="K650" s="18"/>
    </row>
    <row r="651" customFormat="false" ht="15" hidden="false" customHeight="false" outlineLevel="0" collapsed="false">
      <c r="A651" s="17"/>
      <c r="B651" s="18"/>
      <c r="C651" s="19"/>
      <c r="D651" s="19"/>
      <c r="E651" s="18"/>
      <c r="F651" s="18"/>
      <c r="G651" s="13" t="str">
        <f aca="false">IF(F651="","",IFERROR(INDEX(Metas!$B$5:$B$54,MATCH(F651,Metas!$A$5:$A$54,0)),"⚠ ID de meta no existe"))</f>
        <v/>
      </c>
      <c r="H651" s="16" t="str">
        <f aca="false">IF(OR(C651="",D651=""),"",ROUND(MOD(D651-C651,1)*24,2))</f>
        <v/>
      </c>
      <c r="I651" s="18"/>
      <c r="J651" s="18"/>
      <c r="K651" s="18"/>
    </row>
    <row r="652" customFormat="false" ht="15" hidden="false" customHeight="false" outlineLevel="0" collapsed="false">
      <c r="A652" s="17"/>
      <c r="B652" s="18"/>
      <c r="C652" s="19"/>
      <c r="D652" s="19"/>
      <c r="E652" s="18"/>
      <c r="F652" s="18"/>
      <c r="G652" s="13" t="str">
        <f aca="false">IF(F652="","",IFERROR(INDEX(Metas!$B$5:$B$54,MATCH(F652,Metas!$A$5:$A$54,0)),"⚠ ID de meta no existe"))</f>
        <v/>
      </c>
      <c r="H652" s="16" t="str">
        <f aca="false">IF(OR(C652="",D652=""),"",ROUND(MOD(D652-C652,1)*24,2))</f>
        <v/>
      </c>
      <c r="I652" s="18"/>
      <c r="J652" s="18"/>
      <c r="K652" s="18"/>
    </row>
    <row r="653" customFormat="false" ht="15" hidden="false" customHeight="false" outlineLevel="0" collapsed="false">
      <c r="A653" s="17"/>
      <c r="B653" s="18"/>
      <c r="C653" s="19"/>
      <c r="D653" s="19"/>
      <c r="E653" s="18"/>
      <c r="F653" s="18"/>
      <c r="G653" s="13" t="str">
        <f aca="false">IF(F653="","",IFERROR(INDEX(Metas!$B$5:$B$54,MATCH(F653,Metas!$A$5:$A$54,0)),"⚠ ID de meta no existe"))</f>
        <v/>
      </c>
      <c r="H653" s="16" t="str">
        <f aca="false">IF(OR(C653="",D653=""),"",ROUND(MOD(D653-C653,1)*24,2))</f>
        <v/>
      </c>
      <c r="I653" s="18"/>
      <c r="J653" s="18"/>
      <c r="K653" s="18"/>
    </row>
    <row r="654" customFormat="false" ht="15" hidden="false" customHeight="false" outlineLevel="0" collapsed="false">
      <c r="A654" s="17"/>
      <c r="B654" s="18"/>
      <c r="C654" s="19"/>
      <c r="D654" s="19"/>
      <c r="E654" s="18"/>
      <c r="F654" s="18"/>
      <c r="G654" s="13" t="str">
        <f aca="false">IF(F654="","",IFERROR(INDEX(Metas!$B$5:$B$54,MATCH(F654,Metas!$A$5:$A$54,0)),"⚠ ID de meta no existe"))</f>
        <v/>
      </c>
      <c r="H654" s="16" t="str">
        <f aca="false">IF(OR(C654="",D654=""),"",ROUND(MOD(D654-C654,1)*24,2))</f>
        <v/>
      </c>
      <c r="I654" s="18"/>
      <c r="J654" s="18"/>
      <c r="K654" s="18"/>
    </row>
    <row r="655" customFormat="false" ht="15" hidden="false" customHeight="false" outlineLevel="0" collapsed="false">
      <c r="A655" s="17"/>
      <c r="B655" s="18"/>
      <c r="C655" s="19"/>
      <c r="D655" s="19"/>
      <c r="E655" s="18"/>
      <c r="F655" s="18"/>
      <c r="G655" s="13" t="str">
        <f aca="false">IF(F655="","",IFERROR(INDEX(Metas!$B$5:$B$54,MATCH(F655,Metas!$A$5:$A$54,0)),"⚠ ID de meta no existe"))</f>
        <v/>
      </c>
      <c r="H655" s="16" t="str">
        <f aca="false">IF(OR(C655="",D655=""),"",ROUND(MOD(D655-C655,1)*24,2))</f>
        <v/>
      </c>
      <c r="I655" s="18"/>
      <c r="J655" s="18"/>
      <c r="K655" s="18"/>
    </row>
    <row r="656" customFormat="false" ht="15" hidden="false" customHeight="false" outlineLevel="0" collapsed="false">
      <c r="A656" s="17"/>
      <c r="B656" s="18"/>
      <c r="C656" s="19"/>
      <c r="D656" s="19"/>
      <c r="E656" s="18"/>
      <c r="F656" s="18"/>
      <c r="G656" s="13" t="str">
        <f aca="false">IF(F656="","",IFERROR(INDEX(Metas!$B$5:$B$54,MATCH(F656,Metas!$A$5:$A$54,0)),"⚠ ID de meta no existe"))</f>
        <v/>
      </c>
      <c r="H656" s="16" t="str">
        <f aca="false">IF(OR(C656="",D656=""),"",ROUND(MOD(D656-C656,1)*24,2))</f>
        <v/>
      </c>
      <c r="I656" s="18"/>
      <c r="J656" s="18"/>
      <c r="K656" s="18"/>
    </row>
    <row r="657" customFormat="false" ht="15" hidden="false" customHeight="false" outlineLevel="0" collapsed="false">
      <c r="A657" s="17"/>
      <c r="B657" s="18"/>
      <c r="C657" s="19"/>
      <c r="D657" s="19"/>
      <c r="E657" s="18"/>
      <c r="F657" s="18"/>
      <c r="G657" s="13" t="str">
        <f aca="false">IF(F657="","",IFERROR(INDEX(Metas!$B$5:$B$54,MATCH(F657,Metas!$A$5:$A$54,0)),"⚠ ID de meta no existe"))</f>
        <v/>
      </c>
      <c r="H657" s="16" t="str">
        <f aca="false">IF(OR(C657="",D657=""),"",ROUND(MOD(D657-C657,1)*24,2))</f>
        <v/>
      </c>
      <c r="I657" s="18"/>
      <c r="J657" s="18"/>
      <c r="K657" s="18"/>
    </row>
    <row r="658" customFormat="false" ht="15" hidden="false" customHeight="false" outlineLevel="0" collapsed="false">
      <c r="A658" s="17"/>
      <c r="B658" s="18"/>
      <c r="C658" s="19"/>
      <c r="D658" s="19"/>
      <c r="E658" s="18"/>
      <c r="F658" s="18"/>
      <c r="G658" s="13" t="str">
        <f aca="false">IF(F658="","",IFERROR(INDEX(Metas!$B$5:$B$54,MATCH(F658,Metas!$A$5:$A$54,0)),"⚠ ID de meta no existe"))</f>
        <v/>
      </c>
      <c r="H658" s="16" t="str">
        <f aca="false">IF(OR(C658="",D658=""),"",ROUND(MOD(D658-C658,1)*24,2))</f>
        <v/>
      </c>
      <c r="I658" s="18"/>
      <c r="J658" s="18"/>
      <c r="K658" s="18"/>
    </row>
    <row r="659" customFormat="false" ht="15" hidden="false" customHeight="false" outlineLevel="0" collapsed="false">
      <c r="A659" s="17"/>
      <c r="B659" s="18"/>
      <c r="C659" s="19"/>
      <c r="D659" s="19"/>
      <c r="E659" s="18"/>
      <c r="F659" s="18"/>
      <c r="G659" s="13" t="str">
        <f aca="false">IF(F659="","",IFERROR(INDEX(Metas!$B$5:$B$54,MATCH(F659,Metas!$A$5:$A$54,0)),"⚠ ID de meta no existe"))</f>
        <v/>
      </c>
      <c r="H659" s="16" t="str">
        <f aca="false">IF(OR(C659="",D659=""),"",ROUND(MOD(D659-C659,1)*24,2))</f>
        <v/>
      </c>
      <c r="I659" s="18"/>
      <c r="J659" s="18"/>
      <c r="K659" s="18"/>
    </row>
    <row r="660" customFormat="false" ht="15" hidden="false" customHeight="false" outlineLevel="0" collapsed="false">
      <c r="A660" s="17"/>
      <c r="B660" s="18"/>
      <c r="C660" s="19"/>
      <c r="D660" s="19"/>
      <c r="E660" s="18"/>
      <c r="F660" s="18"/>
      <c r="G660" s="13" t="str">
        <f aca="false">IF(F660="","",IFERROR(INDEX(Metas!$B$5:$B$54,MATCH(F660,Metas!$A$5:$A$54,0)),"⚠ ID de meta no existe"))</f>
        <v/>
      </c>
      <c r="H660" s="16" t="str">
        <f aca="false">IF(OR(C660="",D660=""),"",ROUND(MOD(D660-C660,1)*24,2))</f>
        <v/>
      </c>
      <c r="I660" s="18"/>
      <c r="J660" s="18"/>
      <c r="K660" s="18"/>
    </row>
    <row r="661" customFormat="false" ht="15" hidden="false" customHeight="false" outlineLevel="0" collapsed="false">
      <c r="A661" s="17"/>
      <c r="B661" s="18"/>
      <c r="C661" s="19"/>
      <c r="D661" s="19"/>
      <c r="E661" s="18"/>
      <c r="F661" s="18"/>
      <c r="G661" s="13" t="str">
        <f aca="false">IF(F661="","",IFERROR(INDEX(Metas!$B$5:$B$54,MATCH(F661,Metas!$A$5:$A$54,0)),"⚠ ID de meta no existe"))</f>
        <v/>
      </c>
      <c r="H661" s="16" t="str">
        <f aca="false">IF(OR(C661="",D661=""),"",ROUND(MOD(D661-C661,1)*24,2))</f>
        <v/>
      </c>
      <c r="I661" s="18"/>
      <c r="J661" s="18"/>
      <c r="K661" s="18"/>
    </row>
    <row r="662" customFormat="false" ht="15" hidden="false" customHeight="false" outlineLevel="0" collapsed="false">
      <c r="A662" s="17"/>
      <c r="B662" s="18"/>
      <c r="C662" s="19"/>
      <c r="D662" s="19"/>
      <c r="E662" s="18"/>
      <c r="F662" s="18"/>
      <c r="G662" s="13" t="str">
        <f aca="false">IF(F662="","",IFERROR(INDEX(Metas!$B$5:$B$54,MATCH(F662,Metas!$A$5:$A$54,0)),"⚠ ID de meta no existe"))</f>
        <v/>
      </c>
      <c r="H662" s="16" t="str">
        <f aca="false">IF(OR(C662="",D662=""),"",ROUND(MOD(D662-C662,1)*24,2))</f>
        <v/>
      </c>
      <c r="I662" s="18"/>
      <c r="J662" s="18"/>
      <c r="K662" s="18"/>
    </row>
    <row r="663" customFormat="false" ht="15" hidden="false" customHeight="false" outlineLevel="0" collapsed="false">
      <c r="A663" s="17"/>
      <c r="B663" s="18"/>
      <c r="C663" s="19"/>
      <c r="D663" s="19"/>
      <c r="E663" s="18"/>
      <c r="F663" s="18"/>
      <c r="G663" s="13" t="str">
        <f aca="false">IF(F663="","",IFERROR(INDEX(Metas!$B$5:$B$54,MATCH(F663,Metas!$A$5:$A$54,0)),"⚠ ID de meta no existe"))</f>
        <v/>
      </c>
      <c r="H663" s="16" t="str">
        <f aca="false">IF(OR(C663="",D663=""),"",ROUND(MOD(D663-C663,1)*24,2))</f>
        <v/>
      </c>
      <c r="I663" s="18"/>
      <c r="J663" s="18"/>
      <c r="K663" s="18"/>
    </row>
    <row r="664" customFormat="false" ht="15" hidden="false" customHeight="false" outlineLevel="0" collapsed="false">
      <c r="A664" s="17"/>
      <c r="B664" s="18"/>
      <c r="C664" s="19"/>
      <c r="D664" s="19"/>
      <c r="E664" s="18"/>
      <c r="F664" s="18"/>
      <c r="G664" s="13" t="str">
        <f aca="false">IF(F664="","",IFERROR(INDEX(Metas!$B$5:$B$54,MATCH(F664,Metas!$A$5:$A$54,0)),"⚠ ID de meta no existe"))</f>
        <v/>
      </c>
      <c r="H664" s="16" t="str">
        <f aca="false">IF(OR(C664="",D664=""),"",ROUND(MOD(D664-C664,1)*24,2))</f>
        <v/>
      </c>
      <c r="I664" s="18"/>
      <c r="J664" s="18"/>
      <c r="K664" s="18"/>
    </row>
    <row r="665" customFormat="false" ht="15" hidden="false" customHeight="false" outlineLevel="0" collapsed="false">
      <c r="A665" s="17"/>
      <c r="B665" s="18"/>
      <c r="C665" s="19"/>
      <c r="D665" s="19"/>
      <c r="E665" s="18"/>
      <c r="F665" s="18"/>
      <c r="G665" s="13" t="str">
        <f aca="false">IF(F665="","",IFERROR(INDEX(Metas!$B$5:$B$54,MATCH(F665,Metas!$A$5:$A$54,0)),"⚠ ID de meta no existe"))</f>
        <v/>
      </c>
      <c r="H665" s="16" t="str">
        <f aca="false">IF(OR(C665="",D665=""),"",ROUND(MOD(D665-C665,1)*24,2))</f>
        <v/>
      </c>
      <c r="I665" s="18"/>
      <c r="J665" s="18"/>
      <c r="K665" s="18"/>
    </row>
    <row r="666" customFormat="false" ht="15" hidden="false" customHeight="false" outlineLevel="0" collapsed="false">
      <c r="A666" s="17"/>
      <c r="B666" s="18"/>
      <c r="C666" s="19"/>
      <c r="D666" s="19"/>
      <c r="E666" s="18"/>
      <c r="F666" s="18"/>
      <c r="G666" s="13" t="str">
        <f aca="false">IF(F666="","",IFERROR(INDEX(Metas!$B$5:$B$54,MATCH(F666,Metas!$A$5:$A$54,0)),"⚠ ID de meta no existe"))</f>
        <v/>
      </c>
      <c r="H666" s="16" t="str">
        <f aca="false">IF(OR(C666="",D666=""),"",ROUND(MOD(D666-C666,1)*24,2))</f>
        <v/>
      </c>
      <c r="I666" s="18"/>
      <c r="J666" s="18"/>
      <c r="K666" s="18"/>
    </row>
    <row r="667" customFormat="false" ht="15" hidden="false" customHeight="false" outlineLevel="0" collapsed="false">
      <c r="A667" s="17"/>
      <c r="B667" s="18"/>
      <c r="C667" s="19"/>
      <c r="D667" s="19"/>
      <c r="E667" s="18"/>
      <c r="F667" s="18"/>
      <c r="G667" s="13" t="str">
        <f aca="false">IF(F667="","",IFERROR(INDEX(Metas!$B$5:$B$54,MATCH(F667,Metas!$A$5:$A$54,0)),"⚠ ID de meta no existe"))</f>
        <v/>
      </c>
      <c r="H667" s="16" t="str">
        <f aca="false">IF(OR(C667="",D667=""),"",ROUND(MOD(D667-C667,1)*24,2))</f>
        <v/>
      </c>
      <c r="I667" s="18"/>
      <c r="J667" s="18"/>
      <c r="K667" s="18"/>
    </row>
    <row r="668" customFormat="false" ht="15" hidden="false" customHeight="false" outlineLevel="0" collapsed="false">
      <c r="A668" s="17"/>
      <c r="B668" s="18"/>
      <c r="C668" s="19"/>
      <c r="D668" s="19"/>
      <c r="E668" s="18"/>
      <c r="F668" s="18"/>
      <c r="G668" s="13" t="str">
        <f aca="false">IF(F668="","",IFERROR(INDEX(Metas!$B$5:$B$54,MATCH(F668,Metas!$A$5:$A$54,0)),"⚠ ID de meta no existe"))</f>
        <v/>
      </c>
      <c r="H668" s="16" t="str">
        <f aca="false">IF(OR(C668="",D668=""),"",ROUND(MOD(D668-C668,1)*24,2))</f>
        <v/>
      </c>
      <c r="I668" s="18"/>
      <c r="J668" s="18"/>
      <c r="K668" s="18"/>
    </row>
    <row r="669" customFormat="false" ht="15" hidden="false" customHeight="false" outlineLevel="0" collapsed="false">
      <c r="A669" s="17"/>
      <c r="B669" s="18"/>
      <c r="C669" s="19"/>
      <c r="D669" s="19"/>
      <c r="E669" s="18"/>
      <c r="F669" s="18"/>
      <c r="G669" s="13" t="str">
        <f aca="false">IF(F669="","",IFERROR(INDEX(Metas!$B$5:$B$54,MATCH(F669,Metas!$A$5:$A$54,0)),"⚠ ID de meta no existe"))</f>
        <v/>
      </c>
      <c r="H669" s="16" t="str">
        <f aca="false">IF(OR(C669="",D669=""),"",ROUND(MOD(D669-C669,1)*24,2))</f>
        <v/>
      </c>
      <c r="I669" s="18"/>
      <c r="J669" s="18"/>
      <c r="K669" s="18"/>
    </row>
    <row r="670" customFormat="false" ht="15" hidden="false" customHeight="false" outlineLevel="0" collapsed="false">
      <c r="A670" s="17"/>
      <c r="B670" s="18"/>
      <c r="C670" s="19"/>
      <c r="D670" s="19"/>
      <c r="E670" s="18"/>
      <c r="F670" s="18"/>
      <c r="G670" s="13" t="str">
        <f aca="false">IF(F670="","",IFERROR(INDEX(Metas!$B$5:$B$54,MATCH(F670,Metas!$A$5:$A$54,0)),"⚠ ID de meta no existe"))</f>
        <v/>
      </c>
      <c r="H670" s="16" t="str">
        <f aca="false">IF(OR(C670="",D670=""),"",ROUND(MOD(D670-C670,1)*24,2))</f>
        <v/>
      </c>
      <c r="I670" s="18"/>
      <c r="J670" s="18"/>
      <c r="K670" s="18"/>
    </row>
    <row r="671" customFormat="false" ht="15" hidden="false" customHeight="false" outlineLevel="0" collapsed="false">
      <c r="A671" s="17"/>
      <c r="B671" s="18"/>
      <c r="C671" s="19"/>
      <c r="D671" s="19"/>
      <c r="E671" s="18"/>
      <c r="F671" s="18"/>
      <c r="G671" s="13" t="str">
        <f aca="false">IF(F671="","",IFERROR(INDEX(Metas!$B$5:$B$54,MATCH(F671,Metas!$A$5:$A$54,0)),"⚠ ID de meta no existe"))</f>
        <v/>
      </c>
      <c r="H671" s="16" t="str">
        <f aca="false">IF(OR(C671="",D671=""),"",ROUND(MOD(D671-C671,1)*24,2))</f>
        <v/>
      </c>
      <c r="I671" s="18"/>
      <c r="J671" s="18"/>
      <c r="K671" s="18"/>
    </row>
    <row r="672" customFormat="false" ht="15" hidden="false" customHeight="false" outlineLevel="0" collapsed="false">
      <c r="A672" s="17"/>
      <c r="B672" s="18"/>
      <c r="C672" s="19"/>
      <c r="D672" s="19"/>
      <c r="E672" s="18"/>
      <c r="F672" s="18"/>
      <c r="G672" s="13" t="str">
        <f aca="false">IF(F672="","",IFERROR(INDEX(Metas!$B$5:$B$54,MATCH(F672,Metas!$A$5:$A$54,0)),"⚠ ID de meta no existe"))</f>
        <v/>
      </c>
      <c r="H672" s="16" t="str">
        <f aca="false">IF(OR(C672="",D672=""),"",ROUND(MOD(D672-C672,1)*24,2))</f>
        <v/>
      </c>
      <c r="I672" s="18"/>
      <c r="J672" s="18"/>
      <c r="K672" s="18"/>
    </row>
    <row r="673" customFormat="false" ht="15" hidden="false" customHeight="false" outlineLevel="0" collapsed="false">
      <c r="A673" s="17"/>
      <c r="B673" s="18"/>
      <c r="C673" s="19"/>
      <c r="D673" s="19"/>
      <c r="E673" s="18"/>
      <c r="F673" s="18"/>
      <c r="G673" s="13" t="str">
        <f aca="false">IF(F673="","",IFERROR(INDEX(Metas!$B$5:$B$54,MATCH(F673,Metas!$A$5:$A$54,0)),"⚠ ID de meta no existe"))</f>
        <v/>
      </c>
      <c r="H673" s="16" t="str">
        <f aca="false">IF(OR(C673="",D673=""),"",ROUND(MOD(D673-C673,1)*24,2))</f>
        <v/>
      </c>
      <c r="I673" s="18"/>
      <c r="J673" s="18"/>
      <c r="K673" s="18"/>
    </row>
    <row r="674" customFormat="false" ht="15" hidden="false" customHeight="false" outlineLevel="0" collapsed="false">
      <c r="A674" s="17"/>
      <c r="B674" s="18"/>
      <c r="C674" s="19"/>
      <c r="D674" s="19"/>
      <c r="E674" s="18"/>
      <c r="F674" s="18"/>
      <c r="G674" s="13" t="str">
        <f aca="false">IF(F674="","",IFERROR(INDEX(Metas!$B$5:$B$54,MATCH(F674,Metas!$A$5:$A$54,0)),"⚠ ID de meta no existe"))</f>
        <v/>
      </c>
      <c r="H674" s="16" t="str">
        <f aca="false">IF(OR(C674="",D674=""),"",ROUND(MOD(D674-C674,1)*24,2))</f>
        <v/>
      </c>
      <c r="I674" s="18"/>
      <c r="J674" s="18"/>
      <c r="K674" s="18"/>
    </row>
    <row r="675" customFormat="false" ht="15" hidden="false" customHeight="false" outlineLevel="0" collapsed="false">
      <c r="A675" s="17"/>
      <c r="B675" s="18"/>
      <c r="C675" s="19"/>
      <c r="D675" s="19"/>
      <c r="E675" s="18"/>
      <c r="F675" s="18"/>
      <c r="G675" s="13" t="str">
        <f aca="false">IF(F675="","",IFERROR(INDEX(Metas!$B$5:$B$54,MATCH(F675,Metas!$A$5:$A$54,0)),"⚠ ID de meta no existe"))</f>
        <v/>
      </c>
      <c r="H675" s="16" t="str">
        <f aca="false">IF(OR(C675="",D675=""),"",ROUND(MOD(D675-C675,1)*24,2))</f>
        <v/>
      </c>
      <c r="I675" s="18"/>
      <c r="J675" s="18"/>
      <c r="K675" s="18"/>
    </row>
    <row r="676" customFormat="false" ht="15" hidden="false" customHeight="false" outlineLevel="0" collapsed="false">
      <c r="A676" s="17"/>
      <c r="B676" s="18"/>
      <c r="C676" s="19"/>
      <c r="D676" s="19"/>
      <c r="E676" s="18"/>
      <c r="F676" s="18"/>
      <c r="G676" s="13" t="str">
        <f aca="false">IF(F676="","",IFERROR(INDEX(Metas!$B$5:$B$54,MATCH(F676,Metas!$A$5:$A$54,0)),"⚠ ID de meta no existe"))</f>
        <v/>
      </c>
      <c r="H676" s="16" t="str">
        <f aca="false">IF(OR(C676="",D676=""),"",ROUND(MOD(D676-C676,1)*24,2))</f>
        <v/>
      </c>
      <c r="I676" s="18"/>
      <c r="J676" s="18"/>
      <c r="K676" s="18"/>
    </row>
    <row r="677" customFormat="false" ht="15" hidden="false" customHeight="false" outlineLevel="0" collapsed="false">
      <c r="A677" s="17"/>
      <c r="B677" s="18"/>
      <c r="C677" s="19"/>
      <c r="D677" s="19"/>
      <c r="E677" s="18"/>
      <c r="F677" s="18"/>
      <c r="G677" s="13" t="str">
        <f aca="false">IF(F677="","",IFERROR(INDEX(Metas!$B$5:$B$54,MATCH(F677,Metas!$A$5:$A$54,0)),"⚠ ID de meta no existe"))</f>
        <v/>
      </c>
      <c r="H677" s="16" t="str">
        <f aca="false">IF(OR(C677="",D677=""),"",ROUND(MOD(D677-C677,1)*24,2))</f>
        <v/>
      </c>
      <c r="I677" s="18"/>
      <c r="J677" s="18"/>
      <c r="K677" s="18"/>
    </row>
    <row r="678" customFormat="false" ht="15" hidden="false" customHeight="false" outlineLevel="0" collapsed="false">
      <c r="A678" s="17"/>
      <c r="B678" s="18"/>
      <c r="C678" s="19"/>
      <c r="D678" s="19"/>
      <c r="E678" s="18"/>
      <c r="F678" s="18"/>
      <c r="G678" s="13" t="str">
        <f aca="false">IF(F678="","",IFERROR(INDEX(Metas!$B$5:$B$54,MATCH(F678,Metas!$A$5:$A$54,0)),"⚠ ID de meta no existe"))</f>
        <v/>
      </c>
      <c r="H678" s="16" t="str">
        <f aca="false">IF(OR(C678="",D678=""),"",ROUND(MOD(D678-C678,1)*24,2))</f>
        <v/>
      </c>
      <c r="I678" s="18"/>
      <c r="J678" s="18"/>
      <c r="K678" s="18"/>
    </row>
    <row r="679" customFormat="false" ht="15" hidden="false" customHeight="false" outlineLevel="0" collapsed="false">
      <c r="A679" s="17"/>
      <c r="B679" s="18"/>
      <c r="C679" s="19"/>
      <c r="D679" s="19"/>
      <c r="E679" s="18"/>
      <c r="F679" s="18"/>
      <c r="G679" s="13" t="str">
        <f aca="false">IF(F679="","",IFERROR(INDEX(Metas!$B$5:$B$54,MATCH(F679,Metas!$A$5:$A$54,0)),"⚠ ID de meta no existe"))</f>
        <v/>
      </c>
      <c r="H679" s="16" t="str">
        <f aca="false">IF(OR(C679="",D679=""),"",ROUND(MOD(D679-C679,1)*24,2))</f>
        <v/>
      </c>
      <c r="I679" s="18"/>
      <c r="J679" s="18"/>
      <c r="K679" s="18"/>
    </row>
    <row r="680" customFormat="false" ht="15" hidden="false" customHeight="false" outlineLevel="0" collapsed="false">
      <c r="A680" s="17"/>
      <c r="B680" s="18"/>
      <c r="C680" s="19"/>
      <c r="D680" s="19"/>
      <c r="E680" s="18"/>
      <c r="F680" s="18"/>
      <c r="G680" s="13" t="str">
        <f aca="false">IF(F680="","",IFERROR(INDEX(Metas!$B$5:$B$54,MATCH(F680,Metas!$A$5:$A$54,0)),"⚠ ID de meta no existe"))</f>
        <v/>
      </c>
      <c r="H680" s="16" t="str">
        <f aca="false">IF(OR(C680="",D680=""),"",ROUND(MOD(D680-C680,1)*24,2))</f>
        <v/>
      </c>
      <c r="I680" s="18"/>
      <c r="J680" s="18"/>
      <c r="K680" s="18"/>
    </row>
    <row r="681" customFormat="false" ht="15" hidden="false" customHeight="false" outlineLevel="0" collapsed="false">
      <c r="A681" s="17"/>
      <c r="B681" s="18"/>
      <c r="C681" s="19"/>
      <c r="D681" s="19"/>
      <c r="E681" s="18"/>
      <c r="F681" s="18"/>
      <c r="G681" s="13" t="str">
        <f aca="false">IF(F681="","",IFERROR(INDEX(Metas!$B$5:$B$54,MATCH(F681,Metas!$A$5:$A$54,0)),"⚠ ID de meta no existe"))</f>
        <v/>
      </c>
      <c r="H681" s="16" t="str">
        <f aca="false">IF(OR(C681="",D681=""),"",ROUND(MOD(D681-C681,1)*24,2))</f>
        <v/>
      </c>
      <c r="I681" s="18"/>
      <c r="J681" s="18"/>
      <c r="K681" s="18"/>
    </row>
    <row r="682" customFormat="false" ht="15" hidden="false" customHeight="false" outlineLevel="0" collapsed="false">
      <c r="A682" s="17"/>
      <c r="B682" s="18"/>
      <c r="C682" s="19"/>
      <c r="D682" s="19"/>
      <c r="E682" s="18"/>
      <c r="F682" s="18"/>
      <c r="G682" s="13" t="str">
        <f aca="false">IF(F682="","",IFERROR(INDEX(Metas!$B$5:$B$54,MATCH(F682,Metas!$A$5:$A$54,0)),"⚠ ID de meta no existe"))</f>
        <v/>
      </c>
      <c r="H682" s="16" t="str">
        <f aca="false">IF(OR(C682="",D682=""),"",ROUND(MOD(D682-C682,1)*24,2))</f>
        <v/>
      </c>
      <c r="I682" s="18"/>
      <c r="J682" s="18"/>
      <c r="K682" s="18"/>
    </row>
    <row r="683" customFormat="false" ht="15" hidden="false" customHeight="false" outlineLevel="0" collapsed="false">
      <c r="A683" s="17"/>
      <c r="B683" s="18"/>
      <c r="C683" s="19"/>
      <c r="D683" s="19"/>
      <c r="E683" s="18"/>
      <c r="F683" s="18"/>
      <c r="G683" s="13" t="str">
        <f aca="false">IF(F683="","",IFERROR(INDEX(Metas!$B$5:$B$54,MATCH(F683,Metas!$A$5:$A$54,0)),"⚠ ID de meta no existe"))</f>
        <v/>
      </c>
      <c r="H683" s="16" t="str">
        <f aca="false">IF(OR(C683="",D683=""),"",ROUND(MOD(D683-C683,1)*24,2))</f>
        <v/>
      </c>
      <c r="I683" s="18"/>
      <c r="J683" s="18"/>
      <c r="K683" s="18"/>
    </row>
    <row r="684" customFormat="false" ht="15" hidden="false" customHeight="false" outlineLevel="0" collapsed="false">
      <c r="A684" s="17"/>
      <c r="B684" s="18"/>
      <c r="C684" s="19"/>
      <c r="D684" s="19"/>
      <c r="E684" s="18"/>
      <c r="F684" s="18"/>
      <c r="G684" s="13" t="str">
        <f aca="false">IF(F684="","",IFERROR(INDEX(Metas!$B$5:$B$54,MATCH(F684,Metas!$A$5:$A$54,0)),"⚠ ID de meta no existe"))</f>
        <v/>
      </c>
      <c r="H684" s="16" t="str">
        <f aca="false">IF(OR(C684="",D684=""),"",ROUND(MOD(D684-C684,1)*24,2))</f>
        <v/>
      </c>
      <c r="I684" s="18"/>
      <c r="J684" s="18"/>
      <c r="K684" s="18"/>
    </row>
    <row r="685" customFormat="false" ht="15" hidden="false" customHeight="false" outlineLevel="0" collapsed="false">
      <c r="A685" s="17"/>
      <c r="B685" s="18"/>
      <c r="C685" s="19"/>
      <c r="D685" s="19"/>
      <c r="E685" s="18"/>
      <c r="F685" s="18"/>
      <c r="G685" s="13" t="str">
        <f aca="false">IF(F685="","",IFERROR(INDEX(Metas!$B$5:$B$54,MATCH(F685,Metas!$A$5:$A$54,0)),"⚠ ID de meta no existe"))</f>
        <v/>
      </c>
      <c r="H685" s="16" t="str">
        <f aca="false">IF(OR(C685="",D685=""),"",ROUND(MOD(D685-C685,1)*24,2))</f>
        <v/>
      </c>
      <c r="I685" s="18"/>
      <c r="J685" s="18"/>
      <c r="K685" s="18"/>
    </row>
    <row r="686" customFormat="false" ht="15" hidden="false" customHeight="false" outlineLevel="0" collapsed="false">
      <c r="A686" s="17"/>
      <c r="B686" s="18"/>
      <c r="C686" s="19"/>
      <c r="D686" s="19"/>
      <c r="E686" s="18"/>
      <c r="F686" s="18"/>
      <c r="G686" s="13" t="str">
        <f aca="false">IF(F686="","",IFERROR(INDEX(Metas!$B$5:$B$54,MATCH(F686,Metas!$A$5:$A$54,0)),"⚠ ID de meta no existe"))</f>
        <v/>
      </c>
      <c r="H686" s="16" t="str">
        <f aca="false">IF(OR(C686="",D686=""),"",ROUND(MOD(D686-C686,1)*24,2))</f>
        <v/>
      </c>
      <c r="I686" s="18"/>
      <c r="J686" s="18"/>
      <c r="K686" s="18"/>
    </row>
    <row r="687" customFormat="false" ht="15" hidden="false" customHeight="false" outlineLevel="0" collapsed="false">
      <c r="A687" s="17"/>
      <c r="B687" s="18"/>
      <c r="C687" s="19"/>
      <c r="D687" s="19"/>
      <c r="E687" s="18"/>
      <c r="F687" s="18"/>
      <c r="G687" s="13" t="str">
        <f aca="false">IF(F687="","",IFERROR(INDEX(Metas!$B$5:$B$54,MATCH(F687,Metas!$A$5:$A$54,0)),"⚠ ID de meta no existe"))</f>
        <v/>
      </c>
      <c r="H687" s="16" t="str">
        <f aca="false">IF(OR(C687="",D687=""),"",ROUND(MOD(D687-C687,1)*24,2))</f>
        <v/>
      </c>
      <c r="I687" s="18"/>
      <c r="J687" s="18"/>
      <c r="K687" s="18"/>
    </row>
    <row r="688" customFormat="false" ht="15" hidden="false" customHeight="false" outlineLevel="0" collapsed="false">
      <c r="A688" s="17"/>
      <c r="B688" s="18"/>
      <c r="C688" s="19"/>
      <c r="D688" s="19"/>
      <c r="E688" s="18"/>
      <c r="F688" s="18"/>
      <c r="G688" s="13" t="str">
        <f aca="false">IF(F688="","",IFERROR(INDEX(Metas!$B$5:$B$54,MATCH(F688,Metas!$A$5:$A$54,0)),"⚠ ID de meta no existe"))</f>
        <v/>
      </c>
      <c r="H688" s="16" t="str">
        <f aca="false">IF(OR(C688="",D688=""),"",ROUND(MOD(D688-C688,1)*24,2))</f>
        <v/>
      </c>
      <c r="I688" s="18"/>
      <c r="J688" s="18"/>
      <c r="K688" s="18"/>
    </row>
    <row r="689" customFormat="false" ht="15" hidden="false" customHeight="false" outlineLevel="0" collapsed="false">
      <c r="A689" s="17"/>
      <c r="B689" s="18"/>
      <c r="C689" s="19"/>
      <c r="D689" s="19"/>
      <c r="E689" s="18"/>
      <c r="F689" s="18"/>
      <c r="G689" s="13" t="str">
        <f aca="false">IF(F689="","",IFERROR(INDEX(Metas!$B$5:$B$54,MATCH(F689,Metas!$A$5:$A$54,0)),"⚠ ID de meta no existe"))</f>
        <v/>
      </c>
      <c r="H689" s="16" t="str">
        <f aca="false">IF(OR(C689="",D689=""),"",ROUND(MOD(D689-C689,1)*24,2))</f>
        <v/>
      </c>
      <c r="I689" s="18"/>
      <c r="J689" s="18"/>
      <c r="K689" s="18"/>
    </row>
    <row r="690" customFormat="false" ht="15" hidden="false" customHeight="false" outlineLevel="0" collapsed="false">
      <c r="A690" s="17"/>
      <c r="B690" s="18"/>
      <c r="C690" s="19"/>
      <c r="D690" s="19"/>
      <c r="E690" s="18"/>
      <c r="F690" s="18"/>
      <c r="G690" s="13" t="str">
        <f aca="false">IF(F690="","",IFERROR(INDEX(Metas!$B$5:$B$54,MATCH(F690,Metas!$A$5:$A$54,0)),"⚠ ID de meta no existe"))</f>
        <v/>
      </c>
      <c r="H690" s="16" t="str">
        <f aca="false">IF(OR(C690="",D690=""),"",ROUND(MOD(D690-C690,1)*24,2))</f>
        <v/>
      </c>
      <c r="I690" s="18"/>
      <c r="J690" s="18"/>
      <c r="K690" s="18"/>
    </row>
    <row r="691" customFormat="false" ht="15" hidden="false" customHeight="false" outlineLevel="0" collapsed="false">
      <c r="A691" s="17"/>
      <c r="B691" s="18"/>
      <c r="C691" s="19"/>
      <c r="D691" s="19"/>
      <c r="E691" s="18"/>
      <c r="F691" s="18"/>
      <c r="G691" s="13" t="str">
        <f aca="false">IF(F691="","",IFERROR(INDEX(Metas!$B$5:$B$54,MATCH(F691,Metas!$A$5:$A$54,0)),"⚠ ID de meta no existe"))</f>
        <v/>
      </c>
      <c r="H691" s="16" t="str">
        <f aca="false">IF(OR(C691="",D691=""),"",ROUND(MOD(D691-C691,1)*24,2))</f>
        <v/>
      </c>
      <c r="I691" s="18"/>
      <c r="J691" s="18"/>
      <c r="K691" s="18"/>
    </row>
    <row r="692" customFormat="false" ht="15" hidden="false" customHeight="false" outlineLevel="0" collapsed="false">
      <c r="A692" s="17"/>
      <c r="B692" s="18"/>
      <c r="C692" s="19"/>
      <c r="D692" s="19"/>
      <c r="E692" s="18"/>
      <c r="F692" s="18"/>
      <c r="G692" s="13" t="str">
        <f aca="false">IF(F692="","",IFERROR(INDEX(Metas!$B$5:$B$54,MATCH(F692,Metas!$A$5:$A$54,0)),"⚠ ID de meta no existe"))</f>
        <v/>
      </c>
      <c r="H692" s="16" t="str">
        <f aca="false">IF(OR(C692="",D692=""),"",ROUND(MOD(D692-C692,1)*24,2))</f>
        <v/>
      </c>
      <c r="I692" s="18"/>
      <c r="J692" s="18"/>
      <c r="K692" s="18"/>
    </row>
    <row r="693" customFormat="false" ht="15" hidden="false" customHeight="false" outlineLevel="0" collapsed="false">
      <c r="A693" s="17"/>
      <c r="B693" s="18"/>
      <c r="C693" s="19"/>
      <c r="D693" s="19"/>
      <c r="E693" s="18"/>
      <c r="F693" s="18"/>
      <c r="G693" s="13" t="str">
        <f aca="false">IF(F693="","",IFERROR(INDEX(Metas!$B$5:$B$54,MATCH(F693,Metas!$A$5:$A$54,0)),"⚠ ID de meta no existe"))</f>
        <v/>
      </c>
      <c r="H693" s="16" t="str">
        <f aca="false">IF(OR(C693="",D693=""),"",ROUND(MOD(D693-C693,1)*24,2))</f>
        <v/>
      </c>
      <c r="I693" s="18"/>
      <c r="J693" s="18"/>
      <c r="K693" s="18"/>
    </row>
    <row r="694" customFormat="false" ht="15" hidden="false" customHeight="false" outlineLevel="0" collapsed="false">
      <c r="A694" s="17"/>
      <c r="B694" s="18"/>
      <c r="C694" s="19"/>
      <c r="D694" s="19"/>
      <c r="E694" s="18"/>
      <c r="F694" s="18"/>
      <c r="G694" s="13" t="str">
        <f aca="false">IF(F694="","",IFERROR(INDEX(Metas!$B$5:$B$54,MATCH(F694,Metas!$A$5:$A$54,0)),"⚠ ID de meta no existe"))</f>
        <v/>
      </c>
      <c r="H694" s="16" t="str">
        <f aca="false">IF(OR(C694="",D694=""),"",ROUND(MOD(D694-C694,1)*24,2))</f>
        <v/>
      </c>
      <c r="I694" s="18"/>
      <c r="J694" s="18"/>
      <c r="K694" s="18"/>
    </row>
    <row r="695" customFormat="false" ht="15" hidden="false" customHeight="false" outlineLevel="0" collapsed="false">
      <c r="A695" s="17"/>
      <c r="B695" s="18"/>
      <c r="C695" s="19"/>
      <c r="D695" s="19"/>
      <c r="E695" s="18"/>
      <c r="F695" s="18"/>
      <c r="G695" s="13" t="str">
        <f aca="false">IF(F695="","",IFERROR(INDEX(Metas!$B$5:$B$54,MATCH(F695,Metas!$A$5:$A$54,0)),"⚠ ID de meta no existe"))</f>
        <v/>
      </c>
      <c r="H695" s="16" t="str">
        <f aca="false">IF(OR(C695="",D695=""),"",ROUND(MOD(D695-C695,1)*24,2))</f>
        <v/>
      </c>
      <c r="I695" s="18"/>
      <c r="J695" s="18"/>
      <c r="K695" s="18"/>
    </row>
    <row r="696" customFormat="false" ht="15" hidden="false" customHeight="false" outlineLevel="0" collapsed="false">
      <c r="A696" s="17"/>
      <c r="B696" s="18"/>
      <c r="C696" s="19"/>
      <c r="D696" s="19"/>
      <c r="E696" s="18"/>
      <c r="F696" s="18"/>
      <c r="G696" s="13" t="str">
        <f aca="false">IF(F696="","",IFERROR(INDEX(Metas!$B$5:$B$54,MATCH(F696,Metas!$A$5:$A$54,0)),"⚠ ID de meta no existe"))</f>
        <v/>
      </c>
      <c r="H696" s="16" t="str">
        <f aca="false">IF(OR(C696="",D696=""),"",ROUND(MOD(D696-C696,1)*24,2))</f>
        <v/>
      </c>
      <c r="I696" s="18"/>
      <c r="J696" s="18"/>
      <c r="K696" s="18"/>
    </row>
    <row r="697" customFormat="false" ht="15" hidden="false" customHeight="false" outlineLevel="0" collapsed="false">
      <c r="A697" s="17"/>
      <c r="B697" s="18"/>
      <c r="C697" s="19"/>
      <c r="D697" s="19"/>
      <c r="E697" s="18"/>
      <c r="F697" s="18"/>
      <c r="G697" s="13" t="str">
        <f aca="false">IF(F697="","",IFERROR(INDEX(Metas!$B$5:$B$54,MATCH(F697,Metas!$A$5:$A$54,0)),"⚠ ID de meta no existe"))</f>
        <v/>
      </c>
      <c r="H697" s="16" t="str">
        <f aca="false">IF(OR(C697="",D697=""),"",ROUND(MOD(D697-C697,1)*24,2))</f>
        <v/>
      </c>
      <c r="I697" s="18"/>
      <c r="J697" s="18"/>
      <c r="K697" s="18"/>
    </row>
    <row r="698" customFormat="false" ht="15" hidden="false" customHeight="false" outlineLevel="0" collapsed="false">
      <c r="A698" s="17"/>
      <c r="B698" s="18"/>
      <c r="C698" s="19"/>
      <c r="D698" s="19"/>
      <c r="E698" s="18"/>
      <c r="F698" s="18"/>
      <c r="G698" s="13" t="str">
        <f aca="false">IF(F698="","",IFERROR(INDEX(Metas!$B$5:$B$54,MATCH(F698,Metas!$A$5:$A$54,0)),"⚠ ID de meta no existe"))</f>
        <v/>
      </c>
      <c r="H698" s="16" t="str">
        <f aca="false">IF(OR(C698="",D698=""),"",ROUND(MOD(D698-C698,1)*24,2))</f>
        <v/>
      </c>
      <c r="I698" s="18"/>
      <c r="J698" s="18"/>
      <c r="K698" s="18"/>
    </row>
    <row r="699" customFormat="false" ht="15" hidden="false" customHeight="false" outlineLevel="0" collapsed="false">
      <c r="A699" s="17"/>
      <c r="B699" s="18"/>
      <c r="C699" s="19"/>
      <c r="D699" s="19"/>
      <c r="E699" s="18"/>
      <c r="F699" s="18"/>
      <c r="G699" s="13" t="str">
        <f aca="false">IF(F699="","",IFERROR(INDEX(Metas!$B$5:$B$54,MATCH(F699,Metas!$A$5:$A$54,0)),"⚠ ID de meta no existe"))</f>
        <v/>
      </c>
      <c r="H699" s="16" t="str">
        <f aca="false">IF(OR(C699="",D699=""),"",ROUND(MOD(D699-C699,1)*24,2))</f>
        <v/>
      </c>
      <c r="I699" s="18"/>
      <c r="J699" s="18"/>
      <c r="K699" s="18"/>
    </row>
    <row r="700" customFormat="false" ht="15" hidden="false" customHeight="false" outlineLevel="0" collapsed="false">
      <c r="A700" s="17"/>
      <c r="B700" s="18"/>
      <c r="C700" s="19"/>
      <c r="D700" s="19"/>
      <c r="E700" s="18"/>
      <c r="F700" s="18"/>
      <c r="G700" s="13" t="str">
        <f aca="false">IF(F700="","",IFERROR(INDEX(Metas!$B$5:$B$54,MATCH(F700,Metas!$A$5:$A$54,0)),"⚠ ID de meta no existe"))</f>
        <v/>
      </c>
      <c r="H700" s="16" t="str">
        <f aca="false">IF(OR(C700="",D700=""),"",ROUND(MOD(D700-C700,1)*24,2))</f>
        <v/>
      </c>
      <c r="I700" s="18"/>
      <c r="J700" s="18"/>
      <c r="K700" s="18"/>
    </row>
    <row r="701" customFormat="false" ht="15" hidden="false" customHeight="false" outlineLevel="0" collapsed="false">
      <c r="A701" s="17"/>
      <c r="B701" s="18"/>
      <c r="C701" s="19"/>
      <c r="D701" s="19"/>
      <c r="E701" s="18"/>
      <c r="F701" s="18"/>
      <c r="G701" s="13" t="str">
        <f aca="false">IF(F701="","",IFERROR(INDEX(Metas!$B$5:$B$54,MATCH(F701,Metas!$A$5:$A$54,0)),"⚠ ID de meta no existe"))</f>
        <v/>
      </c>
      <c r="H701" s="16" t="str">
        <f aca="false">IF(OR(C701="",D701=""),"",ROUND(MOD(D701-C701,1)*24,2))</f>
        <v/>
      </c>
      <c r="I701" s="18"/>
      <c r="J701" s="18"/>
      <c r="K701" s="18"/>
    </row>
    <row r="702" customFormat="false" ht="15" hidden="false" customHeight="false" outlineLevel="0" collapsed="false">
      <c r="A702" s="17"/>
      <c r="B702" s="18"/>
      <c r="C702" s="19"/>
      <c r="D702" s="19"/>
      <c r="E702" s="18"/>
      <c r="F702" s="18"/>
      <c r="G702" s="13" t="str">
        <f aca="false">IF(F702="","",IFERROR(INDEX(Metas!$B$5:$B$54,MATCH(F702,Metas!$A$5:$A$54,0)),"⚠ ID de meta no existe"))</f>
        <v/>
      </c>
      <c r="H702" s="16" t="str">
        <f aca="false">IF(OR(C702="",D702=""),"",ROUND(MOD(D702-C702,1)*24,2))</f>
        <v/>
      </c>
      <c r="I702" s="18"/>
      <c r="J702" s="18"/>
      <c r="K702" s="18"/>
    </row>
    <row r="703" customFormat="false" ht="15" hidden="false" customHeight="false" outlineLevel="0" collapsed="false">
      <c r="A703" s="17"/>
      <c r="B703" s="18"/>
      <c r="C703" s="19"/>
      <c r="D703" s="19"/>
      <c r="E703" s="18"/>
      <c r="F703" s="18"/>
      <c r="G703" s="13" t="str">
        <f aca="false">IF(F703="","",IFERROR(INDEX(Metas!$B$5:$B$54,MATCH(F703,Metas!$A$5:$A$54,0)),"⚠ ID de meta no existe"))</f>
        <v/>
      </c>
      <c r="H703" s="16" t="str">
        <f aca="false">IF(OR(C703="",D703=""),"",ROUND(MOD(D703-C703,1)*24,2))</f>
        <v/>
      </c>
      <c r="I703" s="18"/>
      <c r="J703" s="18"/>
      <c r="K703" s="18"/>
    </row>
    <row r="704" customFormat="false" ht="15" hidden="false" customHeight="false" outlineLevel="0" collapsed="false">
      <c r="A704" s="17"/>
      <c r="B704" s="18"/>
      <c r="C704" s="19"/>
      <c r="D704" s="19"/>
      <c r="E704" s="18"/>
      <c r="F704" s="18"/>
      <c r="G704" s="13" t="str">
        <f aca="false">IF(F704="","",IFERROR(INDEX(Metas!$B$5:$B$54,MATCH(F704,Metas!$A$5:$A$54,0)),"⚠ ID de meta no existe"))</f>
        <v/>
      </c>
      <c r="H704" s="16" t="str">
        <f aca="false">IF(OR(C704="",D704=""),"",ROUND(MOD(D704-C704,1)*24,2))</f>
        <v/>
      </c>
      <c r="I704" s="18"/>
      <c r="J704" s="18"/>
      <c r="K704" s="18"/>
    </row>
    <row r="705" customFormat="false" ht="15" hidden="false" customHeight="false" outlineLevel="0" collapsed="false">
      <c r="A705" s="17"/>
      <c r="B705" s="18"/>
      <c r="C705" s="19"/>
      <c r="D705" s="19"/>
      <c r="E705" s="18"/>
      <c r="F705" s="18"/>
      <c r="G705" s="13" t="str">
        <f aca="false">IF(F705="","",IFERROR(INDEX(Metas!$B$5:$B$54,MATCH(F705,Metas!$A$5:$A$54,0)),"⚠ ID de meta no existe"))</f>
        <v/>
      </c>
      <c r="H705" s="16" t="str">
        <f aca="false">IF(OR(C705="",D705=""),"",ROUND(MOD(D705-C705,1)*24,2))</f>
        <v/>
      </c>
      <c r="I705" s="18"/>
      <c r="J705" s="18"/>
      <c r="K705" s="18"/>
    </row>
    <row r="706" customFormat="false" ht="15" hidden="false" customHeight="false" outlineLevel="0" collapsed="false">
      <c r="A706" s="17"/>
      <c r="B706" s="18"/>
      <c r="C706" s="19"/>
      <c r="D706" s="19"/>
      <c r="E706" s="18"/>
      <c r="F706" s="18"/>
      <c r="G706" s="13" t="str">
        <f aca="false">IF(F706="","",IFERROR(INDEX(Metas!$B$5:$B$54,MATCH(F706,Metas!$A$5:$A$54,0)),"⚠ ID de meta no existe"))</f>
        <v/>
      </c>
      <c r="H706" s="16" t="str">
        <f aca="false">IF(OR(C706="",D706=""),"",ROUND(MOD(D706-C706,1)*24,2))</f>
        <v/>
      </c>
      <c r="I706" s="18"/>
      <c r="J706" s="18"/>
      <c r="K706" s="18"/>
    </row>
    <row r="707" customFormat="false" ht="15" hidden="false" customHeight="false" outlineLevel="0" collapsed="false">
      <c r="A707" s="17"/>
      <c r="B707" s="18"/>
      <c r="C707" s="19"/>
      <c r="D707" s="19"/>
      <c r="E707" s="18"/>
      <c r="F707" s="18"/>
      <c r="G707" s="13" t="str">
        <f aca="false">IF(F707="","",IFERROR(INDEX(Metas!$B$5:$B$54,MATCH(F707,Metas!$A$5:$A$54,0)),"⚠ ID de meta no existe"))</f>
        <v/>
      </c>
      <c r="H707" s="16" t="str">
        <f aca="false">IF(OR(C707="",D707=""),"",ROUND(MOD(D707-C707,1)*24,2))</f>
        <v/>
      </c>
      <c r="I707" s="18"/>
      <c r="J707" s="18"/>
      <c r="K707" s="18"/>
    </row>
    <row r="708" customFormat="false" ht="15" hidden="false" customHeight="false" outlineLevel="0" collapsed="false">
      <c r="A708" s="17"/>
      <c r="B708" s="18"/>
      <c r="C708" s="19"/>
      <c r="D708" s="19"/>
      <c r="E708" s="18"/>
      <c r="F708" s="18"/>
      <c r="G708" s="13" t="str">
        <f aca="false">IF(F708="","",IFERROR(INDEX(Metas!$B$5:$B$54,MATCH(F708,Metas!$A$5:$A$54,0)),"⚠ ID de meta no existe"))</f>
        <v/>
      </c>
      <c r="H708" s="16" t="str">
        <f aca="false">IF(OR(C708="",D708=""),"",ROUND(MOD(D708-C708,1)*24,2))</f>
        <v/>
      </c>
      <c r="I708" s="18"/>
      <c r="J708" s="18"/>
      <c r="K708" s="18"/>
    </row>
    <row r="709" customFormat="false" ht="15" hidden="false" customHeight="false" outlineLevel="0" collapsed="false">
      <c r="A709" s="17"/>
      <c r="B709" s="18"/>
      <c r="C709" s="19"/>
      <c r="D709" s="19"/>
      <c r="E709" s="18"/>
      <c r="F709" s="18"/>
      <c r="G709" s="13" t="str">
        <f aca="false">IF(F709="","",IFERROR(INDEX(Metas!$B$5:$B$54,MATCH(F709,Metas!$A$5:$A$54,0)),"⚠ ID de meta no existe"))</f>
        <v/>
      </c>
      <c r="H709" s="16" t="str">
        <f aca="false">IF(OR(C709="",D709=""),"",ROUND(MOD(D709-C709,1)*24,2))</f>
        <v/>
      </c>
      <c r="I709" s="18"/>
      <c r="J709" s="18"/>
      <c r="K709" s="18"/>
    </row>
    <row r="710" customFormat="false" ht="15" hidden="false" customHeight="false" outlineLevel="0" collapsed="false">
      <c r="A710" s="17"/>
      <c r="B710" s="18"/>
      <c r="C710" s="19"/>
      <c r="D710" s="19"/>
      <c r="E710" s="18"/>
      <c r="F710" s="18"/>
      <c r="G710" s="13" t="str">
        <f aca="false">IF(F710="","",IFERROR(INDEX(Metas!$B$5:$B$54,MATCH(F710,Metas!$A$5:$A$54,0)),"⚠ ID de meta no existe"))</f>
        <v/>
      </c>
      <c r="H710" s="16" t="str">
        <f aca="false">IF(OR(C710="",D710=""),"",ROUND(MOD(D710-C710,1)*24,2))</f>
        <v/>
      </c>
      <c r="I710" s="18"/>
      <c r="J710" s="18"/>
      <c r="K710" s="18"/>
    </row>
    <row r="711" customFormat="false" ht="15" hidden="false" customHeight="false" outlineLevel="0" collapsed="false">
      <c r="A711" s="17"/>
      <c r="B711" s="18"/>
      <c r="C711" s="19"/>
      <c r="D711" s="19"/>
      <c r="E711" s="18"/>
      <c r="F711" s="18"/>
      <c r="G711" s="13" t="str">
        <f aca="false">IF(F711="","",IFERROR(INDEX(Metas!$B$5:$B$54,MATCH(F711,Metas!$A$5:$A$54,0)),"⚠ ID de meta no existe"))</f>
        <v/>
      </c>
      <c r="H711" s="16" t="str">
        <f aca="false">IF(OR(C711="",D711=""),"",ROUND(MOD(D711-C711,1)*24,2))</f>
        <v/>
      </c>
      <c r="I711" s="18"/>
      <c r="J711" s="18"/>
      <c r="K711" s="18"/>
    </row>
    <row r="712" customFormat="false" ht="15" hidden="false" customHeight="false" outlineLevel="0" collapsed="false">
      <c r="A712" s="17"/>
      <c r="B712" s="18"/>
      <c r="C712" s="19"/>
      <c r="D712" s="19"/>
      <c r="E712" s="18"/>
      <c r="F712" s="18"/>
      <c r="G712" s="13" t="str">
        <f aca="false">IF(F712="","",IFERROR(INDEX(Metas!$B$5:$B$54,MATCH(F712,Metas!$A$5:$A$54,0)),"⚠ ID de meta no existe"))</f>
        <v/>
      </c>
      <c r="H712" s="16" t="str">
        <f aca="false">IF(OR(C712="",D712=""),"",ROUND(MOD(D712-C712,1)*24,2))</f>
        <v/>
      </c>
      <c r="I712" s="18"/>
      <c r="J712" s="18"/>
      <c r="K712" s="18"/>
    </row>
    <row r="713" customFormat="false" ht="15" hidden="false" customHeight="false" outlineLevel="0" collapsed="false">
      <c r="A713" s="17"/>
      <c r="B713" s="18"/>
      <c r="C713" s="19"/>
      <c r="D713" s="19"/>
      <c r="E713" s="18"/>
      <c r="F713" s="18"/>
      <c r="G713" s="13" t="str">
        <f aca="false">IF(F713="","",IFERROR(INDEX(Metas!$B$5:$B$54,MATCH(F713,Metas!$A$5:$A$54,0)),"⚠ ID de meta no existe"))</f>
        <v/>
      </c>
      <c r="H713" s="16" t="str">
        <f aca="false">IF(OR(C713="",D713=""),"",ROUND(MOD(D713-C713,1)*24,2))</f>
        <v/>
      </c>
      <c r="I713" s="18"/>
      <c r="J713" s="18"/>
      <c r="K713" s="18"/>
    </row>
    <row r="714" customFormat="false" ht="15" hidden="false" customHeight="false" outlineLevel="0" collapsed="false">
      <c r="A714" s="17"/>
      <c r="B714" s="18"/>
      <c r="C714" s="19"/>
      <c r="D714" s="19"/>
      <c r="E714" s="18"/>
      <c r="F714" s="18"/>
      <c r="G714" s="13" t="str">
        <f aca="false">IF(F714="","",IFERROR(INDEX(Metas!$B$5:$B$54,MATCH(F714,Metas!$A$5:$A$54,0)),"⚠ ID de meta no existe"))</f>
        <v/>
      </c>
      <c r="H714" s="16" t="str">
        <f aca="false">IF(OR(C714="",D714=""),"",ROUND(MOD(D714-C714,1)*24,2))</f>
        <v/>
      </c>
      <c r="I714" s="18"/>
      <c r="J714" s="18"/>
      <c r="K714" s="18"/>
    </row>
    <row r="715" customFormat="false" ht="15" hidden="false" customHeight="false" outlineLevel="0" collapsed="false">
      <c r="A715" s="17"/>
      <c r="B715" s="18"/>
      <c r="C715" s="19"/>
      <c r="D715" s="19"/>
      <c r="E715" s="18"/>
      <c r="F715" s="18"/>
      <c r="G715" s="13" t="str">
        <f aca="false">IF(F715="","",IFERROR(INDEX(Metas!$B$5:$B$54,MATCH(F715,Metas!$A$5:$A$54,0)),"⚠ ID de meta no existe"))</f>
        <v/>
      </c>
      <c r="H715" s="16" t="str">
        <f aca="false">IF(OR(C715="",D715=""),"",ROUND(MOD(D715-C715,1)*24,2))</f>
        <v/>
      </c>
      <c r="I715" s="18"/>
      <c r="J715" s="18"/>
      <c r="K715" s="18"/>
    </row>
    <row r="716" customFormat="false" ht="15" hidden="false" customHeight="false" outlineLevel="0" collapsed="false">
      <c r="A716" s="17"/>
      <c r="B716" s="18"/>
      <c r="C716" s="19"/>
      <c r="D716" s="19"/>
      <c r="E716" s="18"/>
      <c r="F716" s="18"/>
      <c r="G716" s="13" t="str">
        <f aca="false">IF(F716="","",IFERROR(INDEX(Metas!$B$5:$B$54,MATCH(F716,Metas!$A$5:$A$54,0)),"⚠ ID de meta no existe"))</f>
        <v/>
      </c>
      <c r="H716" s="16" t="str">
        <f aca="false">IF(OR(C716="",D716=""),"",ROUND(MOD(D716-C716,1)*24,2))</f>
        <v/>
      </c>
      <c r="I716" s="18"/>
      <c r="J716" s="18"/>
      <c r="K716" s="18"/>
    </row>
    <row r="717" customFormat="false" ht="15" hidden="false" customHeight="false" outlineLevel="0" collapsed="false">
      <c r="A717" s="17"/>
      <c r="B717" s="18"/>
      <c r="C717" s="19"/>
      <c r="D717" s="19"/>
      <c r="E717" s="18"/>
      <c r="F717" s="18"/>
      <c r="G717" s="13" t="str">
        <f aca="false">IF(F717="","",IFERROR(INDEX(Metas!$B$5:$B$54,MATCH(F717,Metas!$A$5:$A$54,0)),"⚠ ID de meta no existe"))</f>
        <v/>
      </c>
      <c r="H717" s="16" t="str">
        <f aca="false">IF(OR(C717="",D717=""),"",ROUND(MOD(D717-C717,1)*24,2))</f>
        <v/>
      </c>
      <c r="I717" s="18"/>
      <c r="J717" s="18"/>
      <c r="K717" s="18"/>
    </row>
    <row r="718" customFormat="false" ht="15" hidden="false" customHeight="false" outlineLevel="0" collapsed="false">
      <c r="A718" s="17"/>
      <c r="B718" s="18"/>
      <c r="C718" s="19"/>
      <c r="D718" s="19"/>
      <c r="E718" s="18"/>
      <c r="F718" s="18"/>
      <c r="G718" s="13" t="str">
        <f aca="false">IF(F718="","",IFERROR(INDEX(Metas!$B$5:$B$54,MATCH(F718,Metas!$A$5:$A$54,0)),"⚠ ID de meta no existe"))</f>
        <v/>
      </c>
      <c r="H718" s="16" t="str">
        <f aca="false">IF(OR(C718="",D718=""),"",ROUND(MOD(D718-C718,1)*24,2))</f>
        <v/>
      </c>
      <c r="I718" s="18"/>
      <c r="J718" s="18"/>
      <c r="K718" s="18"/>
    </row>
    <row r="719" customFormat="false" ht="15" hidden="false" customHeight="false" outlineLevel="0" collapsed="false">
      <c r="A719" s="17"/>
      <c r="B719" s="18"/>
      <c r="C719" s="19"/>
      <c r="D719" s="19"/>
      <c r="E719" s="18"/>
      <c r="F719" s="18"/>
      <c r="G719" s="13" t="str">
        <f aca="false">IF(F719="","",IFERROR(INDEX(Metas!$B$5:$B$54,MATCH(F719,Metas!$A$5:$A$54,0)),"⚠ ID de meta no existe"))</f>
        <v/>
      </c>
      <c r="H719" s="16" t="str">
        <f aca="false">IF(OR(C719="",D719=""),"",ROUND(MOD(D719-C719,1)*24,2))</f>
        <v/>
      </c>
      <c r="I719" s="18"/>
      <c r="J719" s="18"/>
      <c r="K719" s="18"/>
    </row>
    <row r="720" customFormat="false" ht="15" hidden="false" customHeight="false" outlineLevel="0" collapsed="false">
      <c r="A720" s="17"/>
      <c r="B720" s="18"/>
      <c r="C720" s="19"/>
      <c r="D720" s="19"/>
      <c r="E720" s="18"/>
      <c r="F720" s="18"/>
      <c r="G720" s="13" t="str">
        <f aca="false">IF(F720="","",IFERROR(INDEX(Metas!$B$5:$B$54,MATCH(F720,Metas!$A$5:$A$54,0)),"⚠ ID de meta no existe"))</f>
        <v/>
      </c>
      <c r="H720" s="16" t="str">
        <f aca="false">IF(OR(C720="",D720=""),"",ROUND(MOD(D720-C720,1)*24,2))</f>
        <v/>
      </c>
      <c r="I720" s="18"/>
      <c r="J720" s="18"/>
      <c r="K720" s="18"/>
    </row>
    <row r="721" customFormat="false" ht="15" hidden="false" customHeight="false" outlineLevel="0" collapsed="false">
      <c r="A721" s="17"/>
      <c r="B721" s="18"/>
      <c r="C721" s="19"/>
      <c r="D721" s="19"/>
      <c r="E721" s="18"/>
      <c r="F721" s="18"/>
      <c r="G721" s="13" t="str">
        <f aca="false">IF(F721="","",IFERROR(INDEX(Metas!$B$5:$B$54,MATCH(F721,Metas!$A$5:$A$54,0)),"⚠ ID de meta no existe"))</f>
        <v/>
      </c>
      <c r="H721" s="16" t="str">
        <f aca="false">IF(OR(C721="",D721=""),"",ROUND(MOD(D721-C721,1)*24,2))</f>
        <v/>
      </c>
      <c r="I721" s="18"/>
      <c r="J721" s="18"/>
      <c r="K721" s="18"/>
    </row>
    <row r="722" customFormat="false" ht="15" hidden="false" customHeight="false" outlineLevel="0" collapsed="false">
      <c r="A722" s="17"/>
      <c r="B722" s="18"/>
      <c r="C722" s="19"/>
      <c r="D722" s="19"/>
      <c r="E722" s="18"/>
      <c r="F722" s="18"/>
      <c r="G722" s="13" t="str">
        <f aca="false">IF(F722="","",IFERROR(INDEX(Metas!$B$5:$B$54,MATCH(F722,Metas!$A$5:$A$54,0)),"⚠ ID de meta no existe"))</f>
        <v/>
      </c>
      <c r="H722" s="16" t="str">
        <f aca="false">IF(OR(C722="",D722=""),"",ROUND(MOD(D722-C722,1)*24,2))</f>
        <v/>
      </c>
      <c r="I722" s="18"/>
      <c r="J722" s="18"/>
      <c r="K722" s="18"/>
    </row>
    <row r="723" customFormat="false" ht="15" hidden="false" customHeight="false" outlineLevel="0" collapsed="false">
      <c r="A723" s="17"/>
      <c r="B723" s="18"/>
      <c r="C723" s="19"/>
      <c r="D723" s="19"/>
      <c r="E723" s="18"/>
      <c r="F723" s="18"/>
      <c r="G723" s="13" t="str">
        <f aca="false">IF(F723="","",IFERROR(INDEX(Metas!$B$5:$B$54,MATCH(F723,Metas!$A$5:$A$54,0)),"⚠ ID de meta no existe"))</f>
        <v/>
      </c>
      <c r="H723" s="16" t="str">
        <f aca="false">IF(OR(C723="",D723=""),"",ROUND(MOD(D723-C723,1)*24,2))</f>
        <v/>
      </c>
      <c r="I723" s="18"/>
      <c r="J723" s="18"/>
      <c r="K723" s="18"/>
    </row>
    <row r="724" customFormat="false" ht="15" hidden="false" customHeight="false" outlineLevel="0" collapsed="false">
      <c r="A724" s="17"/>
      <c r="B724" s="18"/>
      <c r="C724" s="19"/>
      <c r="D724" s="19"/>
      <c r="E724" s="18"/>
      <c r="F724" s="18"/>
      <c r="G724" s="13" t="str">
        <f aca="false">IF(F724="","",IFERROR(INDEX(Metas!$B$5:$B$54,MATCH(F724,Metas!$A$5:$A$54,0)),"⚠ ID de meta no existe"))</f>
        <v/>
      </c>
      <c r="H724" s="16" t="str">
        <f aca="false">IF(OR(C724="",D724=""),"",ROUND(MOD(D724-C724,1)*24,2))</f>
        <v/>
      </c>
      <c r="I724" s="18"/>
      <c r="J724" s="18"/>
      <c r="K724" s="18"/>
    </row>
    <row r="725" customFormat="false" ht="15" hidden="false" customHeight="false" outlineLevel="0" collapsed="false">
      <c r="A725" s="17"/>
      <c r="B725" s="18"/>
      <c r="C725" s="19"/>
      <c r="D725" s="19"/>
      <c r="E725" s="18"/>
      <c r="F725" s="18"/>
      <c r="G725" s="13" t="str">
        <f aca="false">IF(F725="","",IFERROR(INDEX(Metas!$B$5:$B$54,MATCH(F725,Metas!$A$5:$A$54,0)),"⚠ ID de meta no existe"))</f>
        <v/>
      </c>
      <c r="H725" s="16" t="str">
        <f aca="false">IF(OR(C725="",D725=""),"",ROUND(MOD(D725-C725,1)*24,2))</f>
        <v/>
      </c>
      <c r="I725" s="18"/>
      <c r="J725" s="18"/>
      <c r="K725" s="18"/>
    </row>
    <row r="726" customFormat="false" ht="15" hidden="false" customHeight="false" outlineLevel="0" collapsed="false">
      <c r="A726" s="17"/>
      <c r="B726" s="18"/>
      <c r="C726" s="19"/>
      <c r="D726" s="19"/>
      <c r="E726" s="18"/>
      <c r="F726" s="18"/>
      <c r="G726" s="13" t="str">
        <f aca="false">IF(F726="","",IFERROR(INDEX(Metas!$B$5:$B$54,MATCH(F726,Metas!$A$5:$A$54,0)),"⚠ ID de meta no existe"))</f>
        <v/>
      </c>
      <c r="H726" s="16" t="str">
        <f aca="false">IF(OR(C726="",D726=""),"",ROUND(MOD(D726-C726,1)*24,2))</f>
        <v/>
      </c>
      <c r="I726" s="18"/>
      <c r="J726" s="18"/>
      <c r="K726" s="18"/>
    </row>
    <row r="727" customFormat="false" ht="15" hidden="false" customHeight="false" outlineLevel="0" collapsed="false">
      <c r="A727" s="17"/>
      <c r="B727" s="18"/>
      <c r="C727" s="19"/>
      <c r="D727" s="19"/>
      <c r="E727" s="18"/>
      <c r="F727" s="18"/>
      <c r="G727" s="13" t="str">
        <f aca="false">IF(F727="","",IFERROR(INDEX(Metas!$B$5:$B$54,MATCH(F727,Metas!$A$5:$A$54,0)),"⚠ ID de meta no existe"))</f>
        <v/>
      </c>
      <c r="H727" s="16" t="str">
        <f aca="false">IF(OR(C727="",D727=""),"",ROUND(MOD(D727-C727,1)*24,2))</f>
        <v/>
      </c>
      <c r="I727" s="18"/>
      <c r="J727" s="18"/>
      <c r="K727" s="18"/>
    </row>
    <row r="728" customFormat="false" ht="15" hidden="false" customHeight="false" outlineLevel="0" collapsed="false">
      <c r="A728" s="17"/>
      <c r="B728" s="18"/>
      <c r="C728" s="19"/>
      <c r="D728" s="19"/>
      <c r="E728" s="18"/>
      <c r="F728" s="18"/>
      <c r="G728" s="13" t="str">
        <f aca="false">IF(F728="","",IFERROR(INDEX(Metas!$B$5:$B$54,MATCH(F728,Metas!$A$5:$A$54,0)),"⚠ ID de meta no existe"))</f>
        <v/>
      </c>
      <c r="H728" s="16" t="str">
        <f aca="false">IF(OR(C728="",D728=""),"",ROUND(MOD(D728-C728,1)*24,2))</f>
        <v/>
      </c>
      <c r="I728" s="18"/>
      <c r="J728" s="18"/>
      <c r="K728" s="18"/>
    </row>
    <row r="729" customFormat="false" ht="15" hidden="false" customHeight="false" outlineLevel="0" collapsed="false">
      <c r="A729" s="17"/>
      <c r="B729" s="18"/>
      <c r="C729" s="19"/>
      <c r="D729" s="19"/>
      <c r="E729" s="18"/>
      <c r="F729" s="18"/>
      <c r="G729" s="13" t="str">
        <f aca="false">IF(F729="","",IFERROR(INDEX(Metas!$B$5:$B$54,MATCH(F729,Metas!$A$5:$A$54,0)),"⚠ ID de meta no existe"))</f>
        <v/>
      </c>
      <c r="H729" s="16" t="str">
        <f aca="false">IF(OR(C729="",D729=""),"",ROUND(MOD(D729-C729,1)*24,2))</f>
        <v/>
      </c>
      <c r="I729" s="18"/>
      <c r="J729" s="18"/>
      <c r="K729" s="18"/>
    </row>
    <row r="730" customFormat="false" ht="15" hidden="false" customHeight="false" outlineLevel="0" collapsed="false">
      <c r="A730" s="17"/>
      <c r="B730" s="18"/>
      <c r="C730" s="19"/>
      <c r="D730" s="19"/>
      <c r="E730" s="18"/>
      <c r="F730" s="18"/>
      <c r="G730" s="13" t="str">
        <f aca="false">IF(F730="","",IFERROR(INDEX(Metas!$B$5:$B$54,MATCH(F730,Metas!$A$5:$A$54,0)),"⚠ ID de meta no existe"))</f>
        <v/>
      </c>
      <c r="H730" s="16" t="str">
        <f aca="false">IF(OR(C730="",D730=""),"",ROUND(MOD(D730-C730,1)*24,2))</f>
        <v/>
      </c>
      <c r="I730" s="18"/>
      <c r="J730" s="18"/>
      <c r="K730" s="18"/>
    </row>
    <row r="731" customFormat="false" ht="15" hidden="false" customHeight="false" outlineLevel="0" collapsed="false">
      <c r="A731" s="17"/>
      <c r="B731" s="18"/>
      <c r="C731" s="19"/>
      <c r="D731" s="19"/>
      <c r="E731" s="18"/>
      <c r="F731" s="18"/>
      <c r="G731" s="13" t="str">
        <f aca="false">IF(F731="","",IFERROR(INDEX(Metas!$B$5:$B$54,MATCH(F731,Metas!$A$5:$A$54,0)),"⚠ ID de meta no existe"))</f>
        <v/>
      </c>
      <c r="H731" s="16" t="str">
        <f aca="false">IF(OR(C731="",D731=""),"",ROUND(MOD(D731-C731,1)*24,2))</f>
        <v/>
      </c>
      <c r="I731" s="18"/>
      <c r="J731" s="18"/>
      <c r="K731" s="18"/>
    </row>
    <row r="732" customFormat="false" ht="15" hidden="false" customHeight="false" outlineLevel="0" collapsed="false">
      <c r="A732" s="17"/>
      <c r="B732" s="18"/>
      <c r="C732" s="19"/>
      <c r="D732" s="19"/>
      <c r="E732" s="18"/>
      <c r="F732" s="18"/>
      <c r="G732" s="13" t="str">
        <f aca="false">IF(F732="","",IFERROR(INDEX(Metas!$B$5:$B$54,MATCH(F732,Metas!$A$5:$A$54,0)),"⚠ ID de meta no existe"))</f>
        <v/>
      </c>
      <c r="H732" s="16" t="str">
        <f aca="false">IF(OR(C732="",D732=""),"",ROUND(MOD(D732-C732,1)*24,2))</f>
        <v/>
      </c>
      <c r="I732" s="18"/>
      <c r="J732" s="18"/>
      <c r="K732" s="18"/>
    </row>
    <row r="733" customFormat="false" ht="15" hidden="false" customHeight="false" outlineLevel="0" collapsed="false">
      <c r="A733" s="17"/>
      <c r="B733" s="18"/>
      <c r="C733" s="19"/>
      <c r="D733" s="19"/>
      <c r="E733" s="18"/>
      <c r="F733" s="18"/>
      <c r="G733" s="13" t="str">
        <f aca="false">IF(F733="","",IFERROR(INDEX(Metas!$B$5:$B$54,MATCH(F733,Metas!$A$5:$A$54,0)),"⚠ ID de meta no existe"))</f>
        <v/>
      </c>
      <c r="H733" s="16" t="str">
        <f aca="false">IF(OR(C733="",D733=""),"",ROUND(MOD(D733-C733,1)*24,2))</f>
        <v/>
      </c>
      <c r="I733" s="18"/>
      <c r="J733" s="18"/>
      <c r="K733" s="18"/>
    </row>
    <row r="734" customFormat="false" ht="15" hidden="false" customHeight="false" outlineLevel="0" collapsed="false">
      <c r="A734" s="17"/>
      <c r="B734" s="18"/>
      <c r="C734" s="19"/>
      <c r="D734" s="19"/>
      <c r="E734" s="18"/>
      <c r="F734" s="18"/>
      <c r="G734" s="13" t="str">
        <f aca="false">IF(F734="","",IFERROR(INDEX(Metas!$B$5:$B$54,MATCH(F734,Metas!$A$5:$A$54,0)),"⚠ ID de meta no existe"))</f>
        <v/>
      </c>
      <c r="H734" s="16" t="str">
        <f aca="false">IF(OR(C734="",D734=""),"",ROUND(MOD(D734-C734,1)*24,2))</f>
        <v/>
      </c>
      <c r="I734" s="18"/>
      <c r="J734" s="18"/>
      <c r="K734" s="18"/>
    </row>
    <row r="735" customFormat="false" ht="15" hidden="false" customHeight="false" outlineLevel="0" collapsed="false">
      <c r="A735" s="17"/>
      <c r="B735" s="18"/>
      <c r="C735" s="19"/>
      <c r="D735" s="19"/>
      <c r="E735" s="18"/>
      <c r="F735" s="18"/>
      <c r="G735" s="13" t="str">
        <f aca="false">IF(F735="","",IFERROR(INDEX(Metas!$B$5:$B$54,MATCH(F735,Metas!$A$5:$A$54,0)),"⚠ ID de meta no existe"))</f>
        <v/>
      </c>
      <c r="H735" s="16" t="str">
        <f aca="false">IF(OR(C735="",D735=""),"",ROUND(MOD(D735-C735,1)*24,2))</f>
        <v/>
      </c>
      <c r="I735" s="18"/>
      <c r="J735" s="18"/>
      <c r="K735" s="18"/>
    </row>
    <row r="736" customFormat="false" ht="15" hidden="false" customHeight="false" outlineLevel="0" collapsed="false">
      <c r="A736" s="17"/>
      <c r="B736" s="18"/>
      <c r="C736" s="19"/>
      <c r="D736" s="19"/>
      <c r="E736" s="18"/>
      <c r="F736" s="18"/>
      <c r="G736" s="13" t="str">
        <f aca="false">IF(F736="","",IFERROR(INDEX(Metas!$B$5:$B$54,MATCH(F736,Metas!$A$5:$A$54,0)),"⚠ ID de meta no existe"))</f>
        <v/>
      </c>
      <c r="H736" s="16" t="str">
        <f aca="false">IF(OR(C736="",D736=""),"",ROUND(MOD(D736-C736,1)*24,2))</f>
        <v/>
      </c>
      <c r="I736" s="18"/>
      <c r="J736" s="18"/>
      <c r="K736" s="18"/>
    </row>
    <row r="737" customFormat="false" ht="15" hidden="false" customHeight="false" outlineLevel="0" collapsed="false">
      <c r="A737" s="17"/>
      <c r="B737" s="18"/>
      <c r="C737" s="19"/>
      <c r="D737" s="19"/>
      <c r="E737" s="18"/>
      <c r="F737" s="18"/>
      <c r="G737" s="13" t="str">
        <f aca="false">IF(F737="","",IFERROR(INDEX(Metas!$B$5:$B$54,MATCH(F737,Metas!$A$5:$A$54,0)),"⚠ ID de meta no existe"))</f>
        <v/>
      </c>
      <c r="H737" s="16" t="str">
        <f aca="false">IF(OR(C737="",D737=""),"",ROUND(MOD(D737-C737,1)*24,2))</f>
        <v/>
      </c>
      <c r="I737" s="18"/>
      <c r="J737" s="18"/>
      <c r="K737" s="18"/>
    </row>
    <row r="738" customFormat="false" ht="15" hidden="false" customHeight="false" outlineLevel="0" collapsed="false">
      <c r="A738" s="17"/>
      <c r="B738" s="18"/>
      <c r="C738" s="19"/>
      <c r="D738" s="19"/>
      <c r="E738" s="18"/>
      <c r="F738" s="18"/>
      <c r="G738" s="13" t="str">
        <f aca="false">IF(F738="","",IFERROR(INDEX(Metas!$B$5:$B$54,MATCH(F738,Metas!$A$5:$A$54,0)),"⚠ ID de meta no existe"))</f>
        <v/>
      </c>
      <c r="H738" s="16" t="str">
        <f aca="false">IF(OR(C738="",D738=""),"",ROUND(MOD(D738-C738,1)*24,2))</f>
        <v/>
      </c>
      <c r="I738" s="18"/>
      <c r="J738" s="18"/>
      <c r="K738" s="18"/>
    </row>
    <row r="739" customFormat="false" ht="15" hidden="false" customHeight="false" outlineLevel="0" collapsed="false">
      <c r="A739" s="17"/>
      <c r="B739" s="18"/>
      <c r="C739" s="19"/>
      <c r="D739" s="19"/>
      <c r="E739" s="18"/>
      <c r="F739" s="18"/>
      <c r="G739" s="13" t="str">
        <f aca="false">IF(F739="","",IFERROR(INDEX(Metas!$B$5:$B$54,MATCH(F739,Metas!$A$5:$A$54,0)),"⚠ ID de meta no existe"))</f>
        <v/>
      </c>
      <c r="H739" s="16" t="str">
        <f aca="false">IF(OR(C739="",D739=""),"",ROUND(MOD(D739-C739,1)*24,2))</f>
        <v/>
      </c>
      <c r="I739" s="18"/>
      <c r="J739" s="18"/>
      <c r="K739" s="18"/>
    </row>
    <row r="740" customFormat="false" ht="15" hidden="false" customHeight="false" outlineLevel="0" collapsed="false">
      <c r="A740" s="17"/>
      <c r="B740" s="18"/>
      <c r="C740" s="19"/>
      <c r="D740" s="19"/>
      <c r="E740" s="18"/>
      <c r="F740" s="18"/>
      <c r="G740" s="13" t="str">
        <f aca="false">IF(F740="","",IFERROR(INDEX(Metas!$B$5:$B$54,MATCH(F740,Metas!$A$5:$A$54,0)),"⚠ ID de meta no existe"))</f>
        <v/>
      </c>
      <c r="H740" s="16" t="str">
        <f aca="false">IF(OR(C740="",D740=""),"",ROUND(MOD(D740-C740,1)*24,2))</f>
        <v/>
      </c>
      <c r="I740" s="18"/>
      <c r="J740" s="18"/>
      <c r="K740" s="18"/>
    </row>
    <row r="741" customFormat="false" ht="15" hidden="false" customHeight="false" outlineLevel="0" collapsed="false">
      <c r="A741" s="17"/>
      <c r="B741" s="18"/>
      <c r="C741" s="19"/>
      <c r="D741" s="19"/>
      <c r="E741" s="18"/>
      <c r="F741" s="18"/>
      <c r="G741" s="13" t="str">
        <f aca="false">IF(F741="","",IFERROR(INDEX(Metas!$B$5:$B$54,MATCH(F741,Metas!$A$5:$A$54,0)),"⚠ ID de meta no existe"))</f>
        <v/>
      </c>
      <c r="H741" s="16" t="str">
        <f aca="false">IF(OR(C741="",D741=""),"",ROUND(MOD(D741-C741,1)*24,2))</f>
        <v/>
      </c>
      <c r="I741" s="18"/>
      <c r="J741" s="18"/>
      <c r="K741" s="18"/>
    </row>
    <row r="742" customFormat="false" ht="15" hidden="false" customHeight="false" outlineLevel="0" collapsed="false">
      <c r="A742" s="17"/>
      <c r="B742" s="18"/>
      <c r="C742" s="19"/>
      <c r="D742" s="19"/>
      <c r="E742" s="18"/>
      <c r="F742" s="18"/>
      <c r="G742" s="13" t="str">
        <f aca="false">IF(F742="","",IFERROR(INDEX(Metas!$B$5:$B$54,MATCH(F742,Metas!$A$5:$A$54,0)),"⚠ ID de meta no existe"))</f>
        <v/>
      </c>
      <c r="H742" s="16" t="str">
        <f aca="false">IF(OR(C742="",D742=""),"",ROUND(MOD(D742-C742,1)*24,2))</f>
        <v/>
      </c>
      <c r="I742" s="18"/>
      <c r="J742" s="18"/>
      <c r="K742" s="18"/>
    </row>
    <row r="743" customFormat="false" ht="15" hidden="false" customHeight="false" outlineLevel="0" collapsed="false">
      <c r="A743" s="17"/>
      <c r="B743" s="18"/>
      <c r="C743" s="19"/>
      <c r="D743" s="19"/>
      <c r="E743" s="18"/>
      <c r="F743" s="18"/>
      <c r="G743" s="13" t="str">
        <f aca="false">IF(F743="","",IFERROR(INDEX(Metas!$B$5:$B$54,MATCH(F743,Metas!$A$5:$A$54,0)),"⚠ ID de meta no existe"))</f>
        <v/>
      </c>
      <c r="H743" s="16" t="str">
        <f aca="false">IF(OR(C743="",D743=""),"",ROUND(MOD(D743-C743,1)*24,2))</f>
        <v/>
      </c>
      <c r="I743" s="18"/>
      <c r="J743" s="18"/>
      <c r="K743" s="18"/>
    </row>
    <row r="744" customFormat="false" ht="15" hidden="false" customHeight="false" outlineLevel="0" collapsed="false">
      <c r="A744" s="17"/>
      <c r="B744" s="18"/>
      <c r="C744" s="19"/>
      <c r="D744" s="19"/>
      <c r="E744" s="18"/>
      <c r="F744" s="18"/>
      <c r="G744" s="13" t="str">
        <f aca="false">IF(F744="","",IFERROR(INDEX(Metas!$B$5:$B$54,MATCH(F744,Metas!$A$5:$A$54,0)),"⚠ ID de meta no existe"))</f>
        <v/>
      </c>
      <c r="H744" s="16" t="str">
        <f aca="false">IF(OR(C744="",D744=""),"",ROUND(MOD(D744-C744,1)*24,2))</f>
        <v/>
      </c>
      <c r="I744" s="18"/>
      <c r="J744" s="18"/>
      <c r="K744" s="18"/>
    </row>
    <row r="745" customFormat="false" ht="15" hidden="false" customHeight="false" outlineLevel="0" collapsed="false">
      <c r="A745" s="17"/>
      <c r="B745" s="18"/>
      <c r="C745" s="19"/>
      <c r="D745" s="19"/>
      <c r="E745" s="18"/>
      <c r="F745" s="18"/>
      <c r="G745" s="13" t="str">
        <f aca="false">IF(F745="","",IFERROR(INDEX(Metas!$B$5:$B$54,MATCH(F745,Metas!$A$5:$A$54,0)),"⚠ ID de meta no existe"))</f>
        <v/>
      </c>
      <c r="H745" s="16" t="str">
        <f aca="false">IF(OR(C745="",D745=""),"",ROUND(MOD(D745-C745,1)*24,2))</f>
        <v/>
      </c>
      <c r="I745" s="18"/>
      <c r="J745" s="18"/>
      <c r="K745" s="18"/>
    </row>
    <row r="746" customFormat="false" ht="15" hidden="false" customHeight="false" outlineLevel="0" collapsed="false">
      <c r="A746" s="17"/>
      <c r="B746" s="18"/>
      <c r="C746" s="19"/>
      <c r="D746" s="19"/>
      <c r="E746" s="18"/>
      <c r="F746" s="18"/>
      <c r="G746" s="13" t="str">
        <f aca="false">IF(F746="","",IFERROR(INDEX(Metas!$B$5:$B$54,MATCH(F746,Metas!$A$5:$A$54,0)),"⚠ ID de meta no existe"))</f>
        <v/>
      </c>
      <c r="H746" s="16" t="str">
        <f aca="false">IF(OR(C746="",D746=""),"",ROUND(MOD(D746-C746,1)*24,2))</f>
        <v/>
      </c>
      <c r="I746" s="18"/>
      <c r="J746" s="18"/>
      <c r="K746" s="18"/>
    </row>
    <row r="747" customFormat="false" ht="15" hidden="false" customHeight="false" outlineLevel="0" collapsed="false">
      <c r="A747" s="17"/>
      <c r="B747" s="18"/>
      <c r="C747" s="19"/>
      <c r="D747" s="19"/>
      <c r="E747" s="18"/>
      <c r="F747" s="18"/>
      <c r="G747" s="13" t="str">
        <f aca="false">IF(F747="","",IFERROR(INDEX(Metas!$B$5:$B$54,MATCH(F747,Metas!$A$5:$A$54,0)),"⚠ ID de meta no existe"))</f>
        <v/>
      </c>
      <c r="H747" s="16" t="str">
        <f aca="false">IF(OR(C747="",D747=""),"",ROUND(MOD(D747-C747,1)*24,2))</f>
        <v/>
      </c>
      <c r="I747" s="18"/>
      <c r="J747" s="18"/>
      <c r="K747" s="18"/>
    </row>
    <row r="748" customFormat="false" ht="15" hidden="false" customHeight="false" outlineLevel="0" collapsed="false">
      <c r="A748" s="17"/>
      <c r="B748" s="18"/>
      <c r="C748" s="19"/>
      <c r="D748" s="19"/>
      <c r="E748" s="18"/>
      <c r="F748" s="18"/>
      <c r="G748" s="13" t="str">
        <f aca="false">IF(F748="","",IFERROR(INDEX(Metas!$B$5:$B$54,MATCH(F748,Metas!$A$5:$A$54,0)),"⚠ ID de meta no existe"))</f>
        <v/>
      </c>
      <c r="H748" s="16" t="str">
        <f aca="false">IF(OR(C748="",D748=""),"",ROUND(MOD(D748-C748,1)*24,2))</f>
        <v/>
      </c>
      <c r="I748" s="18"/>
      <c r="J748" s="18"/>
      <c r="K748" s="18"/>
    </row>
    <row r="749" customFormat="false" ht="15" hidden="false" customHeight="false" outlineLevel="0" collapsed="false">
      <c r="A749" s="17"/>
      <c r="B749" s="18"/>
      <c r="C749" s="19"/>
      <c r="D749" s="19"/>
      <c r="E749" s="18"/>
      <c r="F749" s="18"/>
      <c r="G749" s="13" t="str">
        <f aca="false">IF(F749="","",IFERROR(INDEX(Metas!$B$5:$B$54,MATCH(F749,Metas!$A$5:$A$54,0)),"⚠ ID de meta no existe"))</f>
        <v/>
      </c>
      <c r="H749" s="16" t="str">
        <f aca="false">IF(OR(C749="",D749=""),"",ROUND(MOD(D749-C749,1)*24,2))</f>
        <v/>
      </c>
      <c r="I749" s="18"/>
      <c r="J749" s="18"/>
      <c r="K749" s="18"/>
    </row>
    <row r="750" customFormat="false" ht="15" hidden="false" customHeight="false" outlineLevel="0" collapsed="false">
      <c r="A750" s="17"/>
      <c r="B750" s="18"/>
      <c r="C750" s="19"/>
      <c r="D750" s="19"/>
      <c r="E750" s="18"/>
      <c r="F750" s="18"/>
      <c r="G750" s="13" t="str">
        <f aca="false">IF(F750="","",IFERROR(INDEX(Metas!$B$5:$B$54,MATCH(F750,Metas!$A$5:$A$54,0)),"⚠ ID de meta no existe"))</f>
        <v/>
      </c>
      <c r="H750" s="16" t="str">
        <f aca="false">IF(OR(C750="",D750=""),"",ROUND(MOD(D750-C750,1)*24,2))</f>
        <v/>
      </c>
      <c r="I750" s="18"/>
      <c r="J750" s="18"/>
      <c r="K750" s="18"/>
    </row>
    <row r="751" customFormat="false" ht="15" hidden="false" customHeight="false" outlineLevel="0" collapsed="false">
      <c r="A751" s="17"/>
      <c r="B751" s="18"/>
      <c r="C751" s="19"/>
      <c r="D751" s="19"/>
      <c r="E751" s="18"/>
      <c r="F751" s="18"/>
      <c r="G751" s="13" t="str">
        <f aca="false">IF(F751="","",IFERROR(INDEX(Metas!$B$5:$B$54,MATCH(F751,Metas!$A$5:$A$54,0)),"⚠ ID de meta no existe"))</f>
        <v/>
      </c>
      <c r="H751" s="16" t="str">
        <f aca="false">IF(OR(C751="",D751=""),"",ROUND(MOD(D751-C751,1)*24,2))</f>
        <v/>
      </c>
      <c r="I751" s="18"/>
      <c r="J751" s="18"/>
      <c r="K751" s="18"/>
    </row>
    <row r="752" customFormat="false" ht="15" hidden="false" customHeight="false" outlineLevel="0" collapsed="false">
      <c r="A752" s="17"/>
      <c r="B752" s="18"/>
      <c r="C752" s="19"/>
      <c r="D752" s="19"/>
      <c r="E752" s="18"/>
      <c r="F752" s="18"/>
      <c r="G752" s="13" t="str">
        <f aca="false">IF(F752="","",IFERROR(INDEX(Metas!$B$5:$B$54,MATCH(F752,Metas!$A$5:$A$54,0)),"⚠ ID de meta no existe"))</f>
        <v/>
      </c>
      <c r="H752" s="16" t="str">
        <f aca="false">IF(OR(C752="",D752=""),"",ROUND(MOD(D752-C752,1)*24,2))</f>
        <v/>
      </c>
      <c r="I752" s="18"/>
      <c r="J752" s="18"/>
      <c r="K752" s="18"/>
    </row>
    <row r="753" customFormat="false" ht="15" hidden="false" customHeight="false" outlineLevel="0" collapsed="false">
      <c r="A753" s="17"/>
      <c r="B753" s="18"/>
      <c r="C753" s="19"/>
      <c r="D753" s="19"/>
      <c r="E753" s="18"/>
      <c r="F753" s="18"/>
      <c r="G753" s="13" t="str">
        <f aca="false">IF(F753="","",IFERROR(INDEX(Metas!$B$5:$B$54,MATCH(F753,Metas!$A$5:$A$54,0)),"⚠ ID de meta no existe"))</f>
        <v/>
      </c>
      <c r="H753" s="16" t="str">
        <f aca="false">IF(OR(C753="",D753=""),"",ROUND(MOD(D753-C753,1)*24,2))</f>
        <v/>
      </c>
      <c r="I753" s="18"/>
      <c r="J753" s="18"/>
      <c r="K753" s="18"/>
    </row>
    <row r="754" customFormat="false" ht="15" hidden="false" customHeight="false" outlineLevel="0" collapsed="false">
      <c r="A754" s="17"/>
      <c r="B754" s="18"/>
      <c r="C754" s="19"/>
      <c r="D754" s="19"/>
      <c r="E754" s="18"/>
      <c r="F754" s="18"/>
      <c r="G754" s="13" t="str">
        <f aca="false">IF(F754="","",IFERROR(INDEX(Metas!$B$5:$B$54,MATCH(F754,Metas!$A$5:$A$54,0)),"⚠ ID de meta no existe"))</f>
        <v/>
      </c>
      <c r="H754" s="16" t="str">
        <f aca="false">IF(OR(C754="",D754=""),"",ROUND(MOD(D754-C754,1)*24,2))</f>
        <v/>
      </c>
      <c r="I754" s="18"/>
      <c r="J754" s="18"/>
      <c r="K754" s="18"/>
    </row>
    <row r="755" customFormat="false" ht="15" hidden="false" customHeight="false" outlineLevel="0" collapsed="false">
      <c r="A755" s="17"/>
      <c r="B755" s="18"/>
      <c r="C755" s="19"/>
      <c r="D755" s="19"/>
      <c r="E755" s="18"/>
      <c r="F755" s="18"/>
      <c r="G755" s="13" t="str">
        <f aca="false">IF(F755="","",IFERROR(INDEX(Metas!$B$5:$B$54,MATCH(F755,Metas!$A$5:$A$54,0)),"⚠ ID de meta no existe"))</f>
        <v/>
      </c>
      <c r="H755" s="16" t="str">
        <f aca="false">IF(OR(C755="",D755=""),"",ROUND(MOD(D755-C755,1)*24,2))</f>
        <v/>
      </c>
      <c r="I755" s="18"/>
      <c r="J755" s="18"/>
      <c r="K755" s="18"/>
    </row>
    <row r="756" customFormat="false" ht="15" hidden="false" customHeight="false" outlineLevel="0" collapsed="false">
      <c r="A756" s="17"/>
      <c r="B756" s="18"/>
      <c r="C756" s="19"/>
      <c r="D756" s="19"/>
      <c r="E756" s="18"/>
      <c r="F756" s="18"/>
      <c r="G756" s="13" t="str">
        <f aca="false">IF(F756="","",IFERROR(INDEX(Metas!$B$5:$B$54,MATCH(F756,Metas!$A$5:$A$54,0)),"⚠ ID de meta no existe"))</f>
        <v/>
      </c>
      <c r="H756" s="16" t="str">
        <f aca="false">IF(OR(C756="",D756=""),"",ROUND(MOD(D756-C756,1)*24,2))</f>
        <v/>
      </c>
      <c r="I756" s="18"/>
      <c r="J756" s="18"/>
      <c r="K756" s="18"/>
    </row>
    <row r="757" customFormat="false" ht="15" hidden="false" customHeight="false" outlineLevel="0" collapsed="false">
      <c r="A757" s="17"/>
      <c r="B757" s="18"/>
      <c r="C757" s="19"/>
      <c r="D757" s="19"/>
      <c r="E757" s="18"/>
      <c r="F757" s="18"/>
      <c r="G757" s="13" t="str">
        <f aca="false">IF(F757="","",IFERROR(INDEX(Metas!$B$5:$B$54,MATCH(F757,Metas!$A$5:$A$54,0)),"⚠ ID de meta no existe"))</f>
        <v/>
      </c>
      <c r="H757" s="16" t="str">
        <f aca="false">IF(OR(C757="",D757=""),"",ROUND(MOD(D757-C757,1)*24,2))</f>
        <v/>
      </c>
      <c r="I757" s="18"/>
      <c r="J757" s="18"/>
      <c r="K757" s="18"/>
    </row>
    <row r="758" customFormat="false" ht="15" hidden="false" customHeight="false" outlineLevel="0" collapsed="false">
      <c r="A758" s="17"/>
      <c r="B758" s="18"/>
      <c r="C758" s="19"/>
      <c r="D758" s="19"/>
      <c r="E758" s="18"/>
      <c r="F758" s="18"/>
      <c r="G758" s="13" t="str">
        <f aca="false">IF(F758="","",IFERROR(INDEX(Metas!$B$5:$B$54,MATCH(F758,Metas!$A$5:$A$54,0)),"⚠ ID de meta no existe"))</f>
        <v/>
      </c>
      <c r="H758" s="16" t="str">
        <f aca="false">IF(OR(C758="",D758=""),"",ROUND(MOD(D758-C758,1)*24,2))</f>
        <v/>
      </c>
      <c r="I758" s="18"/>
      <c r="J758" s="18"/>
      <c r="K758" s="18"/>
    </row>
    <row r="759" customFormat="false" ht="15" hidden="false" customHeight="false" outlineLevel="0" collapsed="false">
      <c r="A759" s="17"/>
      <c r="B759" s="18"/>
      <c r="C759" s="19"/>
      <c r="D759" s="19"/>
      <c r="E759" s="18"/>
      <c r="F759" s="18"/>
      <c r="G759" s="13" t="str">
        <f aca="false">IF(F759="","",IFERROR(INDEX(Metas!$B$5:$B$54,MATCH(F759,Metas!$A$5:$A$54,0)),"⚠ ID de meta no existe"))</f>
        <v/>
      </c>
      <c r="H759" s="16" t="str">
        <f aca="false">IF(OR(C759="",D759=""),"",ROUND(MOD(D759-C759,1)*24,2))</f>
        <v/>
      </c>
      <c r="I759" s="18"/>
      <c r="J759" s="18"/>
      <c r="K759" s="18"/>
    </row>
    <row r="760" customFormat="false" ht="15" hidden="false" customHeight="false" outlineLevel="0" collapsed="false">
      <c r="A760" s="17"/>
      <c r="B760" s="18"/>
      <c r="C760" s="19"/>
      <c r="D760" s="19"/>
      <c r="E760" s="18"/>
      <c r="F760" s="18"/>
      <c r="G760" s="13" t="str">
        <f aca="false">IF(F760="","",IFERROR(INDEX(Metas!$B$5:$B$54,MATCH(F760,Metas!$A$5:$A$54,0)),"⚠ ID de meta no existe"))</f>
        <v/>
      </c>
      <c r="H760" s="16" t="str">
        <f aca="false">IF(OR(C760="",D760=""),"",ROUND(MOD(D760-C760,1)*24,2))</f>
        <v/>
      </c>
      <c r="I760" s="18"/>
      <c r="J760" s="18"/>
      <c r="K760" s="18"/>
    </row>
    <row r="761" customFormat="false" ht="15" hidden="false" customHeight="false" outlineLevel="0" collapsed="false">
      <c r="A761" s="17"/>
      <c r="B761" s="18"/>
      <c r="C761" s="19"/>
      <c r="D761" s="19"/>
      <c r="E761" s="18"/>
      <c r="F761" s="18"/>
      <c r="G761" s="13" t="str">
        <f aca="false">IF(F761="","",IFERROR(INDEX(Metas!$B$5:$B$54,MATCH(F761,Metas!$A$5:$A$54,0)),"⚠ ID de meta no existe"))</f>
        <v/>
      </c>
      <c r="H761" s="16" t="str">
        <f aca="false">IF(OR(C761="",D761=""),"",ROUND(MOD(D761-C761,1)*24,2))</f>
        <v/>
      </c>
      <c r="I761" s="18"/>
      <c r="J761" s="18"/>
      <c r="K761" s="18"/>
    </row>
    <row r="762" customFormat="false" ht="15" hidden="false" customHeight="false" outlineLevel="0" collapsed="false">
      <c r="A762" s="17"/>
      <c r="B762" s="18"/>
      <c r="C762" s="19"/>
      <c r="D762" s="19"/>
      <c r="E762" s="18"/>
      <c r="F762" s="18"/>
      <c r="G762" s="13" t="str">
        <f aca="false">IF(F762="","",IFERROR(INDEX(Metas!$B$5:$B$54,MATCH(F762,Metas!$A$5:$A$54,0)),"⚠ ID de meta no existe"))</f>
        <v/>
      </c>
      <c r="H762" s="16" t="str">
        <f aca="false">IF(OR(C762="",D762=""),"",ROUND(MOD(D762-C762,1)*24,2))</f>
        <v/>
      </c>
      <c r="I762" s="18"/>
      <c r="J762" s="18"/>
      <c r="K762" s="18"/>
    </row>
    <row r="763" customFormat="false" ht="15" hidden="false" customHeight="false" outlineLevel="0" collapsed="false">
      <c r="A763" s="17"/>
      <c r="B763" s="18"/>
      <c r="C763" s="19"/>
      <c r="D763" s="19"/>
      <c r="E763" s="18"/>
      <c r="F763" s="18"/>
      <c r="G763" s="13" t="str">
        <f aca="false">IF(F763="","",IFERROR(INDEX(Metas!$B$5:$B$54,MATCH(F763,Metas!$A$5:$A$54,0)),"⚠ ID de meta no existe"))</f>
        <v/>
      </c>
      <c r="H763" s="16" t="str">
        <f aca="false">IF(OR(C763="",D763=""),"",ROUND(MOD(D763-C763,1)*24,2))</f>
        <v/>
      </c>
      <c r="I763" s="18"/>
      <c r="J763" s="18"/>
      <c r="K763" s="18"/>
    </row>
    <row r="764" customFormat="false" ht="15" hidden="false" customHeight="false" outlineLevel="0" collapsed="false">
      <c r="A764" s="17"/>
      <c r="B764" s="18"/>
      <c r="C764" s="19"/>
      <c r="D764" s="19"/>
      <c r="E764" s="18"/>
      <c r="F764" s="18"/>
      <c r="G764" s="13" t="str">
        <f aca="false">IF(F764="","",IFERROR(INDEX(Metas!$B$5:$B$54,MATCH(F764,Metas!$A$5:$A$54,0)),"⚠ ID de meta no existe"))</f>
        <v/>
      </c>
      <c r="H764" s="16" t="str">
        <f aca="false">IF(OR(C764="",D764=""),"",ROUND(MOD(D764-C764,1)*24,2))</f>
        <v/>
      </c>
      <c r="I764" s="18"/>
      <c r="J764" s="18"/>
      <c r="K764" s="18"/>
    </row>
    <row r="765" customFormat="false" ht="15" hidden="false" customHeight="false" outlineLevel="0" collapsed="false">
      <c r="A765" s="17"/>
      <c r="B765" s="18"/>
      <c r="C765" s="19"/>
      <c r="D765" s="19"/>
      <c r="E765" s="18"/>
      <c r="F765" s="18"/>
      <c r="G765" s="13" t="str">
        <f aca="false">IF(F765="","",IFERROR(INDEX(Metas!$B$5:$B$54,MATCH(F765,Metas!$A$5:$A$54,0)),"⚠ ID de meta no existe"))</f>
        <v/>
      </c>
      <c r="H765" s="16" t="str">
        <f aca="false">IF(OR(C765="",D765=""),"",ROUND(MOD(D765-C765,1)*24,2))</f>
        <v/>
      </c>
      <c r="I765" s="18"/>
      <c r="J765" s="18"/>
      <c r="K765" s="18"/>
    </row>
    <row r="766" customFormat="false" ht="15" hidden="false" customHeight="false" outlineLevel="0" collapsed="false">
      <c r="A766" s="17"/>
      <c r="B766" s="18"/>
      <c r="C766" s="19"/>
      <c r="D766" s="19"/>
      <c r="E766" s="18"/>
      <c r="F766" s="18"/>
      <c r="G766" s="13" t="str">
        <f aca="false">IF(F766="","",IFERROR(INDEX(Metas!$B$5:$B$54,MATCH(F766,Metas!$A$5:$A$54,0)),"⚠ ID de meta no existe"))</f>
        <v/>
      </c>
      <c r="H766" s="16" t="str">
        <f aca="false">IF(OR(C766="",D766=""),"",ROUND(MOD(D766-C766,1)*24,2))</f>
        <v/>
      </c>
      <c r="I766" s="18"/>
      <c r="J766" s="18"/>
      <c r="K766" s="18"/>
    </row>
    <row r="767" customFormat="false" ht="15" hidden="false" customHeight="false" outlineLevel="0" collapsed="false">
      <c r="A767" s="17"/>
      <c r="B767" s="18"/>
      <c r="C767" s="19"/>
      <c r="D767" s="19"/>
      <c r="E767" s="18"/>
      <c r="F767" s="18"/>
      <c r="G767" s="13" t="str">
        <f aca="false">IF(F767="","",IFERROR(INDEX(Metas!$B$5:$B$54,MATCH(F767,Metas!$A$5:$A$54,0)),"⚠ ID de meta no existe"))</f>
        <v/>
      </c>
      <c r="H767" s="16" t="str">
        <f aca="false">IF(OR(C767="",D767=""),"",ROUND(MOD(D767-C767,1)*24,2))</f>
        <v/>
      </c>
      <c r="I767" s="18"/>
      <c r="J767" s="18"/>
      <c r="K767" s="18"/>
    </row>
    <row r="768" customFormat="false" ht="15" hidden="false" customHeight="false" outlineLevel="0" collapsed="false">
      <c r="A768" s="17"/>
      <c r="B768" s="18"/>
      <c r="C768" s="19"/>
      <c r="D768" s="19"/>
      <c r="E768" s="18"/>
      <c r="F768" s="18"/>
      <c r="G768" s="13" t="str">
        <f aca="false">IF(F768="","",IFERROR(INDEX(Metas!$B$5:$B$54,MATCH(F768,Metas!$A$5:$A$54,0)),"⚠ ID de meta no existe"))</f>
        <v/>
      </c>
      <c r="H768" s="16" t="str">
        <f aca="false">IF(OR(C768="",D768=""),"",ROUND(MOD(D768-C768,1)*24,2))</f>
        <v/>
      </c>
      <c r="I768" s="18"/>
      <c r="J768" s="18"/>
      <c r="K768" s="18"/>
    </row>
    <row r="769" customFormat="false" ht="15" hidden="false" customHeight="false" outlineLevel="0" collapsed="false">
      <c r="A769" s="17"/>
      <c r="B769" s="18"/>
      <c r="C769" s="19"/>
      <c r="D769" s="19"/>
      <c r="E769" s="18"/>
      <c r="F769" s="18"/>
      <c r="G769" s="13" t="str">
        <f aca="false">IF(F769="","",IFERROR(INDEX(Metas!$B$5:$B$54,MATCH(F769,Metas!$A$5:$A$54,0)),"⚠ ID de meta no existe"))</f>
        <v/>
      </c>
      <c r="H769" s="16" t="str">
        <f aca="false">IF(OR(C769="",D769=""),"",ROUND(MOD(D769-C769,1)*24,2))</f>
        <v/>
      </c>
      <c r="I769" s="18"/>
      <c r="J769" s="18"/>
      <c r="K769" s="18"/>
    </row>
    <row r="770" customFormat="false" ht="15" hidden="false" customHeight="false" outlineLevel="0" collapsed="false">
      <c r="A770" s="17"/>
      <c r="B770" s="18"/>
      <c r="C770" s="19"/>
      <c r="D770" s="19"/>
      <c r="E770" s="18"/>
      <c r="F770" s="18"/>
      <c r="G770" s="13" t="str">
        <f aca="false">IF(F770="","",IFERROR(INDEX(Metas!$B$5:$B$54,MATCH(F770,Metas!$A$5:$A$54,0)),"⚠ ID de meta no existe"))</f>
        <v/>
      </c>
      <c r="H770" s="16" t="str">
        <f aca="false">IF(OR(C770="",D770=""),"",ROUND(MOD(D770-C770,1)*24,2))</f>
        <v/>
      </c>
      <c r="I770" s="18"/>
      <c r="J770" s="18"/>
      <c r="K770" s="18"/>
    </row>
    <row r="771" customFormat="false" ht="15" hidden="false" customHeight="false" outlineLevel="0" collapsed="false">
      <c r="A771" s="17"/>
      <c r="B771" s="18"/>
      <c r="C771" s="19"/>
      <c r="D771" s="19"/>
      <c r="E771" s="18"/>
      <c r="F771" s="18"/>
      <c r="G771" s="13" t="str">
        <f aca="false">IF(F771="","",IFERROR(INDEX(Metas!$B$5:$B$54,MATCH(F771,Metas!$A$5:$A$54,0)),"⚠ ID de meta no existe"))</f>
        <v/>
      </c>
      <c r="H771" s="16" t="str">
        <f aca="false">IF(OR(C771="",D771=""),"",ROUND(MOD(D771-C771,1)*24,2))</f>
        <v/>
      </c>
      <c r="I771" s="18"/>
      <c r="J771" s="18"/>
      <c r="K771" s="18"/>
    </row>
    <row r="772" customFormat="false" ht="15" hidden="false" customHeight="false" outlineLevel="0" collapsed="false">
      <c r="A772" s="17"/>
      <c r="B772" s="18"/>
      <c r="C772" s="19"/>
      <c r="D772" s="19"/>
      <c r="E772" s="18"/>
      <c r="F772" s="18"/>
      <c r="G772" s="13" t="str">
        <f aca="false">IF(F772="","",IFERROR(INDEX(Metas!$B$5:$B$54,MATCH(F772,Metas!$A$5:$A$54,0)),"⚠ ID de meta no existe"))</f>
        <v/>
      </c>
      <c r="H772" s="16" t="str">
        <f aca="false">IF(OR(C772="",D772=""),"",ROUND(MOD(D772-C772,1)*24,2))</f>
        <v/>
      </c>
      <c r="I772" s="18"/>
      <c r="J772" s="18"/>
      <c r="K772" s="18"/>
    </row>
    <row r="773" customFormat="false" ht="15" hidden="false" customHeight="false" outlineLevel="0" collapsed="false">
      <c r="A773" s="17"/>
      <c r="B773" s="18"/>
      <c r="C773" s="19"/>
      <c r="D773" s="19"/>
      <c r="E773" s="18"/>
      <c r="F773" s="18"/>
      <c r="G773" s="13" t="str">
        <f aca="false">IF(F773="","",IFERROR(INDEX(Metas!$B$5:$B$54,MATCH(F773,Metas!$A$5:$A$54,0)),"⚠ ID de meta no existe"))</f>
        <v/>
      </c>
      <c r="H773" s="16" t="str">
        <f aca="false">IF(OR(C773="",D773=""),"",ROUND(MOD(D773-C773,1)*24,2))</f>
        <v/>
      </c>
      <c r="I773" s="18"/>
      <c r="J773" s="18"/>
      <c r="K773" s="18"/>
    </row>
    <row r="774" customFormat="false" ht="15" hidden="false" customHeight="false" outlineLevel="0" collapsed="false">
      <c r="A774" s="17"/>
      <c r="B774" s="18"/>
      <c r="C774" s="19"/>
      <c r="D774" s="19"/>
      <c r="E774" s="18"/>
      <c r="F774" s="18"/>
      <c r="G774" s="13" t="str">
        <f aca="false">IF(F774="","",IFERROR(INDEX(Metas!$B$5:$B$54,MATCH(F774,Metas!$A$5:$A$54,0)),"⚠ ID de meta no existe"))</f>
        <v/>
      </c>
      <c r="H774" s="16" t="str">
        <f aca="false">IF(OR(C774="",D774=""),"",ROUND(MOD(D774-C774,1)*24,2))</f>
        <v/>
      </c>
      <c r="I774" s="18"/>
      <c r="J774" s="18"/>
      <c r="K774" s="18"/>
    </row>
    <row r="775" customFormat="false" ht="15" hidden="false" customHeight="false" outlineLevel="0" collapsed="false">
      <c r="A775" s="17"/>
      <c r="B775" s="18"/>
      <c r="C775" s="19"/>
      <c r="D775" s="19"/>
      <c r="E775" s="18"/>
      <c r="F775" s="18"/>
      <c r="G775" s="13" t="str">
        <f aca="false">IF(F775="","",IFERROR(INDEX(Metas!$B$5:$B$54,MATCH(F775,Metas!$A$5:$A$54,0)),"⚠ ID de meta no existe"))</f>
        <v/>
      </c>
      <c r="H775" s="16" t="str">
        <f aca="false">IF(OR(C775="",D775=""),"",ROUND(MOD(D775-C775,1)*24,2))</f>
        <v/>
      </c>
      <c r="I775" s="18"/>
      <c r="J775" s="18"/>
      <c r="K775" s="18"/>
    </row>
    <row r="776" customFormat="false" ht="15" hidden="false" customHeight="false" outlineLevel="0" collapsed="false">
      <c r="A776" s="17"/>
      <c r="B776" s="18"/>
      <c r="C776" s="19"/>
      <c r="D776" s="19"/>
      <c r="E776" s="18"/>
      <c r="F776" s="18"/>
      <c r="G776" s="13" t="str">
        <f aca="false">IF(F776="","",IFERROR(INDEX(Metas!$B$5:$B$54,MATCH(F776,Metas!$A$5:$A$54,0)),"⚠ ID de meta no existe"))</f>
        <v/>
      </c>
      <c r="H776" s="16" t="str">
        <f aca="false">IF(OR(C776="",D776=""),"",ROUND(MOD(D776-C776,1)*24,2))</f>
        <v/>
      </c>
      <c r="I776" s="18"/>
      <c r="J776" s="18"/>
      <c r="K776" s="18"/>
    </row>
    <row r="777" customFormat="false" ht="15" hidden="false" customHeight="false" outlineLevel="0" collapsed="false">
      <c r="A777" s="17"/>
      <c r="B777" s="18"/>
      <c r="C777" s="19"/>
      <c r="D777" s="19"/>
      <c r="E777" s="18"/>
      <c r="F777" s="18"/>
      <c r="G777" s="13" t="str">
        <f aca="false">IF(F777="","",IFERROR(INDEX(Metas!$B$5:$B$54,MATCH(F777,Metas!$A$5:$A$54,0)),"⚠ ID de meta no existe"))</f>
        <v/>
      </c>
      <c r="H777" s="16" t="str">
        <f aca="false">IF(OR(C777="",D777=""),"",ROUND(MOD(D777-C777,1)*24,2))</f>
        <v/>
      </c>
      <c r="I777" s="18"/>
      <c r="J777" s="18"/>
      <c r="K777" s="18"/>
    </row>
    <row r="778" customFormat="false" ht="15" hidden="false" customHeight="false" outlineLevel="0" collapsed="false">
      <c r="A778" s="17"/>
      <c r="B778" s="18"/>
      <c r="C778" s="19"/>
      <c r="D778" s="19"/>
      <c r="E778" s="18"/>
      <c r="F778" s="18"/>
      <c r="G778" s="13" t="str">
        <f aca="false">IF(F778="","",IFERROR(INDEX(Metas!$B$5:$B$54,MATCH(F778,Metas!$A$5:$A$54,0)),"⚠ ID de meta no existe"))</f>
        <v/>
      </c>
      <c r="H778" s="16" t="str">
        <f aca="false">IF(OR(C778="",D778=""),"",ROUND(MOD(D778-C778,1)*24,2))</f>
        <v/>
      </c>
      <c r="I778" s="18"/>
      <c r="J778" s="18"/>
      <c r="K778" s="18"/>
    </row>
    <row r="779" customFormat="false" ht="15" hidden="false" customHeight="false" outlineLevel="0" collapsed="false">
      <c r="A779" s="17"/>
      <c r="B779" s="18"/>
      <c r="C779" s="19"/>
      <c r="D779" s="19"/>
      <c r="E779" s="18"/>
      <c r="F779" s="18"/>
      <c r="G779" s="13" t="str">
        <f aca="false">IF(F779="","",IFERROR(INDEX(Metas!$B$5:$B$54,MATCH(F779,Metas!$A$5:$A$54,0)),"⚠ ID de meta no existe"))</f>
        <v/>
      </c>
      <c r="H779" s="16" t="str">
        <f aca="false">IF(OR(C779="",D779=""),"",ROUND(MOD(D779-C779,1)*24,2))</f>
        <v/>
      </c>
      <c r="I779" s="18"/>
      <c r="J779" s="18"/>
      <c r="K779" s="18"/>
    </row>
    <row r="780" customFormat="false" ht="15" hidden="false" customHeight="false" outlineLevel="0" collapsed="false">
      <c r="A780" s="17"/>
      <c r="B780" s="18"/>
      <c r="C780" s="19"/>
      <c r="D780" s="19"/>
      <c r="E780" s="18"/>
      <c r="F780" s="18"/>
      <c r="G780" s="13" t="str">
        <f aca="false">IF(F780="","",IFERROR(INDEX(Metas!$B$5:$B$54,MATCH(F780,Metas!$A$5:$A$54,0)),"⚠ ID de meta no existe"))</f>
        <v/>
      </c>
      <c r="H780" s="16" t="str">
        <f aca="false">IF(OR(C780="",D780=""),"",ROUND(MOD(D780-C780,1)*24,2))</f>
        <v/>
      </c>
      <c r="I780" s="18"/>
      <c r="J780" s="18"/>
      <c r="K780" s="18"/>
    </row>
    <row r="781" customFormat="false" ht="15" hidden="false" customHeight="false" outlineLevel="0" collapsed="false">
      <c r="A781" s="17"/>
      <c r="B781" s="18"/>
      <c r="C781" s="19"/>
      <c r="D781" s="19"/>
      <c r="E781" s="18"/>
      <c r="F781" s="18"/>
      <c r="G781" s="13" t="str">
        <f aca="false">IF(F781="","",IFERROR(INDEX(Metas!$B$5:$B$54,MATCH(F781,Metas!$A$5:$A$54,0)),"⚠ ID de meta no existe"))</f>
        <v/>
      </c>
      <c r="H781" s="16" t="str">
        <f aca="false">IF(OR(C781="",D781=""),"",ROUND(MOD(D781-C781,1)*24,2))</f>
        <v/>
      </c>
      <c r="I781" s="18"/>
      <c r="J781" s="18"/>
      <c r="K781" s="18"/>
    </row>
    <row r="782" customFormat="false" ht="15" hidden="false" customHeight="false" outlineLevel="0" collapsed="false">
      <c r="A782" s="17"/>
      <c r="B782" s="18"/>
      <c r="C782" s="19"/>
      <c r="D782" s="19"/>
      <c r="E782" s="18"/>
      <c r="F782" s="18"/>
      <c r="G782" s="13" t="str">
        <f aca="false">IF(F782="","",IFERROR(INDEX(Metas!$B$5:$B$54,MATCH(F782,Metas!$A$5:$A$54,0)),"⚠ ID de meta no existe"))</f>
        <v/>
      </c>
      <c r="H782" s="16" t="str">
        <f aca="false">IF(OR(C782="",D782=""),"",ROUND(MOD(D782-C782,1)*24,2))</f>
        <v/>
      </c>
      <c r="I782" s="18"/>
      <c r="J782" s="18"/>
      <c r="K782" s="18"/>
    </row>
    <row r="783" customFormat="false" ht="15" hidden="false" customHeight="false" outlineLevel="0" collapsed="false">
      <c r="A783" s="17"/>
      <c r="B783" s="18"/>
      <c r="C783" s="19"/>
      <c r="D783" s="19"/>
      <c r="E783" s="18"/>
      <c r="F783" s="18"/>
      <c r="G783" s="13" t="str">
        <f aca="false">IF(F783="","",IFERROR(INDEX(Metas!$B$5:$B$54,MATCH(F783,Metas!$A$5:$A$54,0)),"⚠ ID de meta no existe"))</f>
        <v/>
      </c>
      <c r="H783" s="16" t="str">
        <f aca="false">IF(OR(C783="",D783=""),"",ROUND(MOD(D783-C783,1)*24,2))</f>
        <v/>
      </c>
      <c r="I783" s="18"/>
      <c r="J783" s="18"/>
      <c r="K783" s="18"/>
    </row>
    <row r="784" customFormat="false" ht="15" hidden="false" customHeight="false" outlineLevel="0" collapsed="false">
      <c r="A784" s="17"/>
      <c r="B784" s="18"/>
      <c r="C784" s="19"/>
      <c r="D784" s="19"/>
      <c r="E784" s="18"/>
      <c r="F784" s="18"/>
      <c r="G784" s="13" t="str">
        <f aca="false">IF(F784="","",IFERROR(INDEX(Metas!$B$5:$B$54,MATCH(F784,Metas!$A$5:$A$54,0)),"⚠ ID de meta no existe"))</f>
        <v/>
      </c>
      <c r="H784" s="16" t="str">
        <f aca="false">IF(OR(C784="",D784=""),"",ROUND(MOD(D784-C784,1)*24,2))</f>
        <v/>
      </c>
      <c r="I784" s="18"/>
      <c r="J784" s="18"/>
      <c r="K784" s="18"/>
    </row>
    <row r="785" customFormat="false" ht="15" hidden="false" customHeight="false" outlineLevel="0" collapsed="false">
      <c r="A785" s="17"/>
      <c r="B785" s="18"/>
      <c r="C785" s="19"/>
      <c r="D785" s="19"/>
      <c r="E785" s="18"/>
      <c r="F785" s="18"/>
      <c r="G785" s="13" t="str">
        <f aca="false">IF(F785="","",IFERROR(INDEX(Metas!$B$5:$B$54,MATCH(F785,Metas!$A$5:$A$54,0)),"⚠ ID de meta no existe"))</f>
        <v/>
      </c>
      <c r="H785" s="16" t="str">
        <f aca="false">IF(OR(C785="",D785=""),"",ROUND(MOD(D785-C785,1)*24,2))</f>
        <v/>
      </c>
      <c r="I785" s="18"/>
      <c r="J785" s="18"/>
      <c r="K785" s="18"/>
    </row>
    <row r="786" customFormat="false" ht="15" hidden="false" customHeight="false" outlineLevel="0" collapsed="false">
      <c r="A786" s="17"/>
      <c r="B786" s="18"/>
      <c r="C786" s="19"/>
      <c r="D786" s="19"/>
      <c r="E786" s="18"/>
      <c r="F786" s="18"/>
      <c r="G786" s="13" t="str">
        <f aca="false">IF(F786="","",IFERROR(INDEX(Metas!$B$5:$B$54,MATCH(F786,Metas!$A$5:$A$54,0)),"⚠ ID de meta no existe"))</f>
        <v/>
      </c>
      <c r="H786" s="16" t="str">
        <f aca="false">IF(OR(C786="",D786=""),"",ROUND(MOD(D786-C786,1)*24,2))</f>
        <v/>
      </c>
      <c r="I786" s="18"/>
      <c r="J786" s="18"/>
      <c r="K786" s="18"/>
    </row>
    <row r="787" customFormat="false" ht="15" hidden="false" customHeight="false" outlineLevel="0" collapsed="false">
      <c r="A787" s="17"/>
      <c r="B787" s="18"/>
      <c r="C787" s="19"/>
      <c r="D787" s="19"/>
      <c r="E787" s="18"/>
      <c r="F787" s="18"/>
      <c r="G787" s="13" t="str">
        <f aca="false">IF(F787="","",IFERROR(INDEX(Metas!$B$5:$B$54,MATCH(F787,Metas!$A$5:$A$54,0)),"⚠ ID de meta no existe"))</f>
        <v/>
      </c>
      <c r="H787" s="16" t="str">
        <f aca="false">IF(OR(C787="",D787=""),"",ROUND(MOD(D787-C787,1)*24,2))</f>
        <v/>
      </c>
      <c r="I787" s="18"/>
      <c r="J787" s="18"/>
      <c r="K787" s="18"/>
    </row>
    <row r="788" customFormat="false" ht="15" hidden="false" customHeight="false" outlineLevel="0" collapsed="false">
      <c r="A788" s="17"/>
      <c r="B788" s="18"/>
      <c r="C788" s="19"/>
      <c r="D788" s="19"/>
      <c r="E788" s="18"/>
      <c r="F788" s="18"/>
      <c r="G788" s="13" t="str">
        <f aca="false">IF(F788="","",IFERROR(INDEX(Metas!$B$5:$B$54,MATCH(F788,Metas!$A$5:$A$54,0)),"⚠ ID de meta no existe"))</f>
        <v/>
      </c>
      <c r="H788" s="16" t="str">
        <f aca="false">IF(OR(C788="",D788=""),"",ROUND(MOD(D788-C788,1)*24,2))</f>
        <v/>
      </c>
      <c r="I788" s="18"/>
      <c r="J788" s="18"/>
      <c r="K788" s="18"/>
    </row>
    <row r="789" customFormat="false" ht="15" hidden="false" customHeight="false" outlineLevel="0" collapsed="false">
      <c r="A789" s="17"/>
      <c r="B789" s="18"/>
      <c r="C789" s="19"/>
      <c r="D789" s="19"/>
      <c r="E789" s="18"/>
      <c r="F789" s="18"/>
      <c r="G789" s="13" t="str">
        <f aca="false">IF(F789="","",IFERROR(INDEX(Metas!$B$5:$B$54,MATCH(F789,Metas!$A$5:$A$54,0)),"⚠ ID de meta no existe"))</f>
        <v/>
      </c>
      <c r="H789" s="16" t="str">
        <f aca="false">IF(OR(C789="",D789=""),"",ROUND(MOD(D789-C789,1)*24,2))</f>
        <v/>
      </c>
      <c r="I789" s="18"/>
      <c r="J789" s="18"/>
      <c r="K789" s="18"/>
    </row>
    <row r="790" customFormat="false" ht="15" hidden="false" customHeight="false" outlineLevel="0" collapsed="false">
      <c r="A790" s="17"/>
      <c r="B790" s="18"/>
      <c r="C790" s="19"/>
      <c r="D790" s="19"/>
      <c r="E790" s="18"/>
      <c r="F790" s="18"/>
      <c r="G790" s="13" t="str">
        <f aca="false">IF(F790="","",IFERROR(INDEX(Metas!$B$5:$B$54,MATCH(F790,Metas!$A$5:$A$54,0)),"⚠ ID de meta no existe"))</f>
        <v/>
      </c>
      <c r="H790" s="16" t="str">
        <f aca="false">IF(OR(C790="",D790=""),"",ROUND(MOD(D790-C790,1)*24,2))</f>
        <v/>
      </c>
      <c r="I790" s="18"/>
      <c r="J790" s="18"/>
      <c r="K790" s="18"/>
    </row>
    <row r="791" customFormat="false" ht="15" hidden="false" customHeight="false" outlineLevel="0" collapsed="false">
      <c r="A791" s="17"/>
      <c r="B791" s="18"/>
      <c r="C791" s="19"/>
      <c r="D791" s="19"/>
      <c r="E791" s="18"/>
      <c r="F791" s="18"/>
      <c r="G791" s="13" t="str">
        <f aca="false">IF(F791="","",IFERROR(INDEX(Metas!$B$5:$B$54,MATCH(F791,Metas!$A$5:$A$54,0)),"⚠ ID de meta no existe"))</f>
        <v/>
      </c>
      <c r="H791" s="16" t="str">
        <f aca="false">IF(OR(C791="",D791=""),"",ROUND(MOD(D791-C791,1)*24,2))</f>
        <v/>
      </c>
      <c r="I791" s="18"/>
      <c r="J791" s="18"/>
      <c r="K791" s="18"/>
    </row>
    <row r="792" customFormat="false" ht="15" hidden="false" customHeight="false" outlineLevel="0" collapsed="false">
      <c r="A792" s="17"/>
      <c r="B792" s="18"/>
      <c r="C792" s="19"/>
      <c r="D792" s="19"/>
      <c r="E792" s="18"/>
      <c r="F792" s="18"/>
      <c r="G792" s="13" t="str">
        <f aca="false">IF(F792="","",IFERROR(INDEX(Metas!$B$5:$B$54,MATCH(F792,Metas!$A$5:$A$54,0)),"⚠ ID de meta no existe"))</f>
        <v/>
      </c>
      <c r="H792" s="16" t="str">
        <f aca="false">IF(OR(C792="",D792=""),"",ROUND(MOD(D792-C792,1)*24,2))</f>
        <v/>
      </c>
      <c r="I792" s="18"/>
      <c r="J792" s="18"/>
      <c r="K792" s="18"/>
    </row>
    <row r="793" customFormat="false" ht="15" hidden="false" customHeight="false" outlineLevel="0" collapsed="false">
      <c r="A793" s="17"/>
      <c r="B793" s="18"/>
      <c r="C793" s="19"/>
      <c r="D793" s="19"/>
      <c r="E793" s="18"/>
      <c r="F793" s="18"/>
      <c r="G793" s="13" t="str">
        <f aca="false">IF(F793="","",IFERROR(INDEX(Metas!$B$5:$B$54,MATCH(F793,Metas!$A$5:$A$54,0)),"⚠ ID de meta no existe"))</f>
        <v/>
      </c>
      <c r="H793" s="16" t="str">
        <f aca="false">IF(OR(C793="",D793=""),"",ROUND(MOD(D793-C793,1)*24,2))</f>
        <v/>
      </c>
      <c r="I793" s="18"/>
      <c r="J793" s="18"/>
      <c r="K793" s="18"/>
    </row>
    <row r="794" customFormat="false" ht="15" hidden="false" customHeight="false" outlineLevel="0" collapsed="false">
      <c r="A794" s="17"/>
      <c r="B794" s="18"/>
      <c r="C794" s="19"/>
      <c r="D794" s="19"/>
      <c r="E794" s="18"/>
      <c r="F794" s="18"/>
      <c r="G794" s="13" t="str">
        <f aca="false">IF(F794="","",IFERROR(INDEX(Metas!$B$5:$B$54,MATCH(F794,Metas!$A$5:$A$54,0)),"⚠ ID de meta no existe"))</f>
        <v/>
      </c>
      <c r="H794" s="16" t="str">
        <f aca="false">IF(OR(C794="",D794=""),"",ROUND(MOD(D794-C794,1)*24,2))</f>
        <v/>
      </c>
      <c r="I794" s="18"/>
      <c r="J794" s="18"/>
      <c r="K794" s="18"/>
    </row>
    <row r="795" customFormat="false" ht="15" hidden="false" customHeight="false" outlineLevel="0" collapsed="false">
      <c r="A795" s="17"/>
      <c r="B795" s="18"/>
      <c r="C795" s="19"/>
      <c r="D795" s="19"/>
      <c r="E795" s="18"/>
      <c r="F795" s="18"/>
      <c r="G795" s="13" t="str">
        <f aca="false">IF(F795="","",IFERROR(INDEX(Metas!$B$5:$B$54,MATCH(F795,Metas!$A$5:$A$54,0)),"⚠ ID de meta no existe"))</f>
        <v/>
      </c>
      <c r="H795" s="16" t="str">
        <f aca="false">IF(OR(C795="",D795=""),"",ROUND(MOD(D795-C795,1)*24,2))</f>
        <v/>
      </c>
      <c r="I795" s="18"/>
      <c r="J795" s="18"/>
      <c r="K795" s="18"/>
    </row>
    <row r="796" customFormat="false" ht="15" hidden="false" customHeight="false" outlineLevel="0" collapsed="false">
      <c r="A796" s="17"/>
      <c r="B796" s="18"/>
      <c r="C796" s="19"/>
      <c r="D796" s="19"/>
      <c r="E796" s="18"/>
      <c r="F796" s="18"/>
      <c r="G796" s="13" t="str">
        <f aca="false">IF(F796="","",IFERROR(INDEX(Metas!$B$5:$B$54,MATCH(F796,Metas!$A$5:$A$54,0)),"⚠ ID de meta no existe"))</f>
        <v/>
      </c>
      <c r="H796" s="16" t="str">
        <f aca="false">IF(OR(C796="",D796=""),"",ROUND(MOD(D796-C796,1)*24,2))</f>
        <v/>
      </c>
      <c r="I796" s="18"/>
      <c r="J796" s="18"/>
      <c r="K796" s="18"/>
    </row>
    <row r="797" customFormat="false" ht="15" hidden="false" customHeight="false" outlineLevel="0" collapsed="false">
      <c r="A797" s="17"/>
      <c r="B797" s="18"/>
      <c r="C797" s="19"/>
      <c r="D797" s="19"/>
      <c r="E797" s="18"/>
      <c r="F797" s="18"/>
      <c r="G797" s="13" t="str">
        <f aca="false">IF(F797="","",IFERROR(INDEX(Metas!$B$5:$B$54,MATCH(F797,Metas!$A$5:$A$54,0)),"⚠ ID de meta no existe"))</f>
        <v/>
      </c>
      <c r="H797" s="16" t="str">
        <f aca="false">IF(OR(C797="",D797=""),"",ROUND(MOD(D797-C797,1)*24,2))</f>
        <v/>
      </c>
      <c r="I797" s="18"/>
      <c r="J797" s="18"/>
      <c r="K797" s="18"/>
    </row>
    <row r="798" customFormat="false" ht="15" hidden="false" customHeight="false" outlineLevel="0" collapsed="false">
      <c r="A798" s="17"/>
      <c r="B798" s="18"/>
      <c r="C798" s="19"/>
      <c r="D798" s="19"/>
      <c r="E798" s="18"/>
      <c r="F798" s="18"/>
      <c r="G798" s="13" t="str">
        <f aca="false">IF(F798="","",IFERROR(INDEX(Metas!$B$5:$B$54,MATCH(F798,Metas!$A$5:$A$54,0)),"⚠ ID de meta no existe"))</f>
        <v/>
      </c>
      <c r="H798" s="16" t="str">
        <f aca="false">IF(OR(C798="",D798=""),"",ROUND(MOD(D798-C798,1)*24,2))</f>
        <v/>
      </c>
      <c r="I798" s="18"/>
      <c r="J798" s="18"/>
      <c r="K798" s="18"/>
    </row>
    <row r="799" customFormat="false" ht="15" hidden="false" customHeight="false" outlineLevel="0" collapsed="false">
      <c r="A799" s="17"/>
      <c r="B799" s="18"/>
      <c r="C799" s="19"/>
      <c r="D799" s="19"/>
      <c r="E799" s="18"/>
      <c r="F799" s="18"/>
      <c r="G799" s="13" t="str">
        <f aca="false">IF(F799="","",IFERROR(INDEX(Metas!$B$5:$B$54,MATCH(F799,Metas!$A$5:$A$54,0)),"⚠ ID de meta no existe"))</f>
        <v/>
      </c>
      <c r="H799" s="16" t="str">
        <f aca="false">IF(OR(C799="",D799=""),"",ROUND(MOD(D799-C799,1)*24,2))</f>
        <v/>
      </c>
      <c r="I799" s="18"/>
      <c r="J799" s="18"/>
      <c r="K799" s="18"/>
    </row>
    <row r="800" customFormat="false" ht="15" hidden="false" customHeight="false" outlineLevel="0" collapsed="false">
      <c r="A800" s="17"/>
      <c r="B800" s="18"/>
      <c r="C800" s="19"/>
      <c r="D800" s="19"/>
      <c r="E800" s="18"/>
      <c r="F800" s="18"/>
      <c r="G800" s="13" t="str">
        <f aca="false">IF(F800="","",IFERROR(INDEX(Metas!$B$5:$B$54,MATCH(F800,Metas!$A$5:$A$54,0)),"⚠ ID de meta no existe"))</f>
        <v/>
      </c>
      <c r="H800" s="16" t="str">
        <f aca="false">IF(OR(C800="",D800=""),"",ROUND(MOD(D800-C800,1)*24,2))</f>
        <v/>
      </c>
      <c r="I800" s="18"/>
      <c r="J800" s="18"/>
      <c r="K800" s="18"/>
    </row>
    <row r="801" customFormat="false" ht="15" hidden="false" customHeight="false" outlineLevel="0" collapsed="false">
      <c r="A801" s="17"/>
      <c r="B801" s="18"/>
      <c r="C801" s="19"/>
      <c r="D801" s="19"/>
      <c r="E801" s="18"/>
      <c r="F801" s="18"/>
      <c r="G801" s="13" t="str">
        <f aca="false">IF(F801="","",IFERROR(INDEX(Metas!$B$5:$B$54,MATCH(F801,Metas!$A$5:$A$54,0)),"⚠ ID de meta no existe"))</f>
        <v/>
      </c>
      <c r="H801" s="16" t="str">
        <f aca="false">IF(OR(C801="",D801=""),"",ROUND(MOD(D801-C801,1)*24,2))</f>
        <v/>
      </c>
      <c r="I801" s="18"/>
      <c r="J801" s="18"/>
      <c r="K801" s="18"/>
    </row>
    <row r="802" customFormat="false" ht="15" hidden="false" customHeight="false" outlineLevel="0" collapsed="false">
      <c r="A802" s="17"/>
      <c r="B802" s="18"/>
      <c r="C802" s="19"/>
      <c r="D802" s="19"/>
      <c r="E802" s="18"/>
      <c r="F802" s="18"/>
      <c r="G802" s="13" t="str">
        <f aca="false">IF(F802="","",IFERROR(INDEX(Metas!$B$5:$B$54,MATCH(F802,Metas!$A$5:$A$54,0)),"⚠ ID de meta no existe"))</f>
        <v/>
      </c>
      <c r="H802" s="16" t="str">
        <f aca="false">IF(OR(C802="",D802=""),"",ROUND(MOD(D802-C802,1)*24,2))</f>
        <v/>
      </c>
      <c r="I802" s="18"/>
      <c r="J802" s="18"/>
      <c r="K802" s="18"/>
    </row>
    <row r="803" customFormat="false" ht="15" hidden="false" customHeight="false" outlineLevel="0" collapsed="false">
      <c r="A803" s="17"/>
      <c r="B803" s="18"/>
      <c r="C803" s="19"/>
      <c r="D803" s="19"/>
      <c r="E803" s="18"/>
      <c r="F803" s="18"/>
      <c r="G803" s="13" t="str">
        <f aca="false">IF(F803="","",IFERROR(INDEX(Metas!$B$5:$B$54,MATCH(F803,Metas!$A$5:$A$54,0)),"⚠ ID de meta no existe"))</f>
        <v/>
      </c>
      <c r="H803" s="16" t="str">
        <f aca="false">IF(OR(C803="",D803=""),"",ROUND(MOD(D803-C803,1)*24,2))</f>
        <v/>
      </c>
      <c r="I803" s="18"/>
      <c r="J803" s="18"/>
      <c r="K803" s="18"/>
    </row>
    <row r="804" customFormat="false" ht="15" hidden="false" customHeight="false" outlineLevel="0" collapsed="false">
      <c r="A804" s="17"/>
      <c r="B804" s="18"/>
      <c r="C804" s="19"/>
      <c r="D804" s="19"/>
      <c r="E804" s="18"/>
      <c r="F804" s="18"/>
      <c r="G804" s="13" t="str">
        <f aca="false">IF(F804="","",IFERROR(INDEX(Metas!$B$5:$B$54,MATCH(F804,Metas!$A$5:$A$54,0)),"⚠ ID de meta no existe"))</f>
        <v/>
      </c>
      <c r="H804" s="16" t="str">
        <f aca="false">IF(OR(C804="",D804=""),"",ROUND(MOD(D804-C804,1)*24,2))</f>
        <v/>
      </c>
      <c r="I804" s="18"/>
      <c r="J804" s="18"/>
      <c r="K804" s="18"/>
    </row>
    <row r="805" customFormat="false" ht="15" hidden="false" customHeight="false" outlineLevel="0" collapsed="false">
      <c r="A805" s="17"/>
      <c r="B805" s="18"/>
      <c r="C805" s="19"/>
      <c r="D805" s="19"/>
      <c r="E805" s="18"/>
      <c r="F805" s="18"/>
      <c r="G805" s="13" t="str">
        <f aca="false">IF(F805="","",IFERROR(INDEX(Metas!$B$5:$B$54,MATCH(F805,Metas!$A$5:$A$54,0)),"⚠ ID de meta no existe"))</f>
        <v/>
      </c>
      <c r="H805" s="16" t="str">
        <f aca="false">IF(OR(C805="",D805=""),"",ROUND(MOD(D805-C805,1)*24,2))</f>
        <v/>
      </c>
      <c r="I805" s="18"/>
      <c r="J805" s="18"/>
      <c r="K805" s="18"/>
    </row>
    <row r="806" customFormat="false" ht="15" hidden="false" customHeight="false" outlineLevel="0" collapsed="false">
      <c r="A806" s="17"/>
      <c r="B806" s="18"/>
      <c r="C806" s="19"/>
      <c r="D806" s="19"/>
      <c r="E806" s="18"/>
      <c r="F806" s="18"/>
      <c r="G806" s="13" t="str">
        <f aca="false">IF(F806="","",IFERROR(INDEX(Metas!$B$5:$B$54,MATCH(F806,Metas!$A$5:$A$54,0)),"⚠ ID de meta no existe"))</f>
        <v/>
      </c>
      <c r="H806" s="16" t="str">
        <f aca="false">IF(OR(C806="",D806=""),"",ROUND(MOD(D806-C806,1)*24,2))</f>
        <v/>
      </c>
      <c r="I806" s="18"/>
      <c r="J806" s="18"/>
      <c r="K806" s="18"/>
    </row>
    <row r="807" customFormat="false" ht="15" hidden="false" customHeight="false" outlineLevel="0" collapsed="false">
      <c r="A807" s="17"/>
      <c r="B807" s="18"/>
      <c r="C807" s="19"/>
      <c r="D807" s="19"/>
      <c r="E807" s="18"/>
      <c r="F807" s="18"/>
      <c r="G807" s="13" t="str">
        <f aca="false">IF(F807="","",IFERROR(INDEX(Metas!$B$5:$B$54,MATCH(F807,Metas!$A$5:$A$54,0)),"⚠ ID de meta no existe"))</f>
        <v/>
      </c>
      <c r="H807" s="16" t="str">
        <f aca="false">IF(OR(C807="",D807=""),"",ROUND(MOD(D807-C807,1)*24,2))</f>
        <v/>
      </c>
      <c r="I807" s="18"/>
      <c r="J807" s="18"/>
      <c r="K807" s="18"/>
    </row>
    <row r="808" customFormat="false" ht="15" hidden="false" customHeight="false" outlineLevel="0" collapsed="false">
      <c r="A808" s="17"/>
      <c r="B808" s="18"/>
      <c r="C808" s="19"/>
      <c r="D808" s="19"/>
      <c r="E808" s="18"/>
      <c r="F808" s="18"/>
      <c r="G808" s="13" t="str">
        <f aca="false">IF(F808="","",IFERROR(INDEX(Metas!$B$5:$B$54,MATCH(F808,Metas!$A$5:$A$54,0)),"⚠ ID de meta no existe"))</f>
        <v/>
      </c>
      <c r="H808" s="16" t="str">
        <f aca="false">IF(OR(C808="",D808=""),"",ROUND(MOD(D808-C808,1)*24,2))</f>
        <v/>
      </c>
      <c r="I808" s="18"/>
      <c r="J808" s="18"/>
      <c r="K808" s="18"/>
    </row>
    <row r="809" customFormat="false" ht="15" hidden="false" customHeight="false" outlineLevel="0" collapsed="false">
      <c r="A809" s="17"/>
      <c r="B809" s="18"/>
      <c r="C809" s="19"/>
      <c r="D809" s="19"/>
      <c r="E809" s="18"/>
      <c r="F809" s="18"/>
      <c r="G809" s="13" t="str">
        <f aca="false">IF(F809="","",IFERROR(INDEX(Metas!$B$5:$B$54,MATCH(F809,Metas!$A$5:$A$54,0)),"⚠ ID de meta no existe"))</f>
        <v/>
      </c>
      <c r="H809" s="16" t="str">
        <f aca="false">IF(OR(C809="",D809=""),"",ROUND(MOD(D809-C809,1)*24,2))</f>
        <v/>
      </c>
      <c r="I809" s="18"/>
      <c r="J809" s="18"/>
      <c r="K809" s="18"/>
    </row>
    <row r="810" customFormat="false" ht="15" hidden="false" customHeight="false" outlineLevel="0" collapsed="false">
      <c r="A810" s="17"/>
      <c r="B810" s="18"/>
      <c r="C810" s="19"/>
      <c r="D810" s="19"/>
      <c r="E810" s="18"/>
      <c r="F810" s="18"/>
      <c r="G810" s="13" t="str">
        <f aca="false">IF(F810="","",IFERROR(INDEX(Metas!$B$5:$B$54,MATCH(F810,Metas!$A$5:$A$54,0)),"⚠ ID de meta no existe"))</f>
        <v/>
      </c>
      <c r="H810" s="16" t="str">
        <f aca="false">IF(OR(C810="",D810=""),"",ROUND(MOD(D810-C810,1)*24,2))</f>
        <v/>
      </c>
      <c r="I810" s="18"/>
      <c r="J810" s="18"/>
      <c r="K810" s="18"/>
    </row>
    <row r="811" customFormat="false" ht="15" hidden="false" customHeight="false" outlineLevel="0" collapsed="false">
      <c r="A811" s="17"/>
      <c r="B811" s="18"/>
      <c r="C811" s="19"/>
      <c r="D811" s="19"/>
      <c r="E811" s="18"/>
      <c r="F811" s="18"/>
      <c r="G811" s="13" t="str">
        <f aca="false">IF(F811="","",IFERROR(INDEX(Metas!$B$5:$B$54,MATCH(F811,Metas!$A$5:$A$54,0)),"⚠ ID de meta no existe"))</f>
        <v/>
      </c>
      <c r="H811" s="16" t="str">
        <f aca="false">IF(OR(C811="",D811=""),"",ROUND(MOD(D811-C811,1)*24,2))</f>
        <v/>
      </c>
      <c r="I811" s="18"/>
      <c r="J811" s="18"/>
      <c r="K811" s="18"/>
    </row>
    <row r="812" customFormat="false" ht="15" hidden="false" customHeight="false" outlineLevel="0" collapsed="false">
      <c r="A812" s="17"/>
      <c r="B812" s="18"/>
      <c r="C812" s="19"/>
      <c r="D812" s="19"/>
      <c r="E812" s="18"/>
      <c r="F812" s="18"/>
      <c r="G812" s="13" t="str">
        <f aca="false">IF(F812="","",IFERROR(INDEX(Metas!$B$5:$B$54,MATCH(F812,Metas!$A$5:$A$54,0)),"⚠ ID de meta no existe"))</f>
        <v/>
      </c>
      <c r="H812" s="16" t="str">
        <f aca="false">IF(OR(C812="",D812=""),"",ROUND(MOD(D812-C812,1)*24,2))</f>
        <v/>
      </c>
      <c r="I812" s="18"/>
      <c r="J812" s="18"/>
      <c r="K812" s="18"/>
    </row>
    <row r="813" customFormat="false" ht="15" hidden="false" customHeight="false" outlineLevel="0" collapsed="false">
      <c r="A813" s="17"/>
      <c r="B813" s="18"/>
      <c r="C813" s="19"/>
      <c r="D813" s="19"/>
      <c r="E813" s="18"/>
      <c r="F813" s="18"/>
      <c r="G813" s="13" t="str">
        <f aca="false">IF(F813="","",IFERROR(INDEX(Metas!$B$5:$B$54,MATCH(F813,Metas!$A$5:$A$54,0)),"⚠ ID de meta no existe"))</f>
        <v/>
      </c>
      <c r="H813" s="16" t="str">
        <f aca="false">IF(OR(C813="",D813=""),"",ROUND(MOD(D813-C813,1)*24,2))</f>
        <v/>
      </c>
      <c r="I813" s="18"/>
      <c r="J813" s="18"/>
      <c r="K813" s="18"/>
    </row>
    <row r="814" customFormat="false" ht="15" hidden="false" customHeight="false" outlineLevel="0" collapsed="false">
      <c r="A814" s="17"/>
      <c r="B814" s="18"/>
      <c r="C814" s="19"/>
      <c r="D814" s="19"/>
      <c r="E814" s="18"/>
      <c r="F814" s="18"/>
      <c r="G814" s="13" t="str">
        <f aca="false">IF(F814="","",IFERROR(INDEX(Metas!$B$5:$B$54,MATCH(F814,Metas!$A$5:$A$54,0)),"⚠ ID de meta no existe"))</f>
        <v/>
      </c>
      <c r="H814" s="16" t="str">
        <f aca="false">IF(OR(C814="",D814=""),"",ROUND(MOD(D814-C814,1)*24,2))</f>
        <v/>
      </c>
      <c r="I814" s="18"/>
      <c r="J814" s="18"/>
      <c r="K814" s="18"/>
    </row>
    <row r="815" customFormat="false" ht="15" hidden="false" customHeight="false" outlineLevel="0" collapsed="false">
      <c r="A815" s="17"/>
      <c r="B815" s="18"/>
      <c r="C815" s="19"/>
      <c r="D815" s="19"/>
      <c r="E815" s="18"/>
      <c r="F815" s="18"/>
      <c r="G815" s="13" t="str">
        <f aca="false">IF(F815="","",IFERROR(INDEX(Metas!$B$5:$B$54,MATCH(F815,Metas!$A$5:$A$54,0)),"⚠ ID de meta no existe"))</f>
        <v/>
      </c>
      <c r="H815" s="16" t="str">
        <f aca="false">IF(OR(C815="",D815=""),"",ROUND(MOD(D815-C815,1)*24,2))</f>
        <v/>
      </c>
      <c r="I815" s="18"/>
      <c r="J815" s="18"/>
      <c r="K815" s="18"/>
    </row>
    <row r="816" customFormat="false" ht="15" hidden="false" customHeight="false" outlineLevel="0" collapsed="false">
      <c r="A816" s="17"/>
      <c r="B816" s="18"/>
      <c r="C816" s="19"/>
      <c r="D816" s="19"/>
      <c r="E816" s="18"/>
      <c r="F816" s="18"/>
      <c r="G816" s="13" t="str">
        <f aca="false">IF(F816="","",IFERROR(INDEX(Metas!$B$5:$B$54,MATCH(F816,Metas!$A$5:$A$54,0)),"⚠ ID de meta no existe"))</f>
        <v/>
      </c>
      <c r="H816" s="16" t="str">
        <f aca="false">IF(OR(C816="",D816=""),"",ROUND(MOD(D816-C816,1)*24,2))</f>
        <v/>
      </c>
      <c r="I816" s="18"/>
      <c r="J816" s="18"/>
      <c r="K816" s="18"/>
    </row>
    <row r="817" customFormat="false" ht="15" hidden="false" customHeight="false" outlineLevel="0" collapsed="false">
      <c r="A817" s="17"/>
      <c r="B817" s="18"/>
      <c r="C817" s="19"/>
      <c r="D817" s="19"/>
      <c r="E817" s="18"/>
      <c r="F817" s="18"/>
      <c r="G817" s="13" t="str">
        <f aca="false">IF(F817="","",IFERROR(INDEX(Metas!$B$5:$B$54,MATCH(F817,Metas!$A$5:$A$54,0)),"⚠ ID de meta no existe"))</f>
        <v/>
      </c>
      <c r="H817" s="16" t="str">
        <f aca="false">IF(OR(C817="",D817=""),"",ROUND(MOD(D817-C817,1)*24,2))</f>
        <v/>
      </c>
      <c r="I817" s="18"/>
      <c r="J817" s="18"/>
      <c r="K817" s="18"/>
    </row>
    <row r="818" customFormat="false" ht="15" hidden="false" customHeight="false" outlineLevel="0" collapsed="false">
      <c r="A818" s="17"/>
      <c r="B818" s="18"/>
      <c r="C818" s="19"/>
      <c r="D818" s="19"/>
      <c r="E818" s="18"/>
      <c r="F818" s="18"/>
      <c r="G818" s="13" t="str">
        <f aca="false">IF(F818="","",IFERROR(INDEX(Metas!$B$5:$B$54,MATCH(F818,Metas!$A$5:$A$54,0)),"⚠ ID de meta no existe"))</f>
        <v/>
      </c>
      <c r="H818" s="16" t="str">
        <f aca="false">IF(OR(C818="",D818=""),"",ROUND(MOD(D818-C818,1)*24,2))</f>
        <v/>
      </c>
      <c r="I818" s="18"/>
      <c r="J818" s="18"/>
      <c r="K818" s="18"/>
    </row>
    <row r="819" customFormat="false" ht="15" hidden="false" customHeight="false" outlineLevel="0" collapsed="false">
      <c r="A819" s="17"/>
      <c r="B819" s="18"/>
      <c r="C819" s="19"/>
      <c r="D819" s="19"/>
      <c r="E819" s="18"/>
      <c r="F819" s="18"/>
      <c r="G819" s="13" t="str">
        <f aca="false">IF(F819="","",IFERROR(INDEX(Metas!$B$5:$B$54,MATCH(F819,Metas!$A$5:$A$54,0)),"⚠ ID de meta no existe"))</f>
        <v/>
      </c>
      <c r="H819" s="16" t="str">
        <f aca="false">IF(OR(C819="",D819=""),"",ROUND(MOD(D819-C819,1)*24,2))</f>
        <v/>
      </c>
      <c r="I819" s="18"/>
      <c r="J819" s="18"/>
      <c r="K819" s="18"/>
    </row>
    <row r="820" customFormat="false" ht="15" hidden="false" customHeight="false" outlineLevel="0" collapsed="false">
      <c r="A820" s="17"/>
      <c r="B820" s="18"/>
      <c r="C820" s="19"/>
      <c r="D820" s="19"/>
      <c r="E820" s="18"/>
      <c r="F820" s="18"/>
      <c r="G820" s="13" t="str">
        <f aca="false">IF(F820="","",IFERROR(INDEX(Metas!$B$5:$B$54,MATCH(F820,Metas!$A$5:$A$54,0)),"⚠ ID de meta no existe"))</f>
        <v/>
      </c>
      <c r="H820" s="16" t="str">
        <f aca="false">IF(OR(C820="",D820=""),"",ROUND(MOD(D820-C820,1)*24,2))</f>
        <v/>
      </c>
      <c r="I820" s="18"/>
      <c r="J820" s="18"/>
      <c r="K820" s="18"/>
    </row>
    <row r="821" customFormat="false" ht="15" hidden="false" customHeight="false" outlineLevel="0" collapsed="false">
      <c r="A821" s="17"/>
      <c r="B821" s="18"/>
      <c r="C821" s="19"/>
      <c r="D821" s="19"/>
      <c r="E821" s="18"/>
      <c r="F821" s="18"/>
      <c r="G821" s="13" t="str">
        <f aca="false">IF(F821="","",IFERROR(INDEX(Metas!$B$5:$B$54,MATCH(F821,Metas!$A$5:$A$54,0)),"⚠ ID de meta no existe"))</f>
        <v/>
      </c>
      <c r="H821" s="16" t="str">
        <f aca="false">IF(OR(C821="",D821=""),"",ROUND(MOD(D821-C821,1)*24,2))</f>
        <v/>
      </c>
      <c r="I821" s="18"/>
      <c r="J821" s="18"/>
      <c r="K821" s="18"/>
    </row>
    <row r="822" customFormat="false" ht="15" hidden="false" customHeight="false" outlineLevel="0" collapsed="false">
      <c r="A822" s="17"/>
      <c r="B822" s="18"/>
      <c r="C822" s="19"/>
      <c r="D822" s="19"/>
      <c r="E822" s="18"/>
      <c r="F822" s="18"/>
      <c r="G822" s="13" t="str">
        <f aca="false">IF(F822="","",IFERROR(INDEX(Metas!$B$5:$B$54,MATCH(F822,Metas!$A$5:$A$54,0)),"⚠ ID de meta no existe"))</f>
        <v/>
      </c>
      <c r="H822" s="16" t="str">
        <f aca="false">IF(OR(C822="",D822=""),"",ROUND(MOD(D822-C822,1)*24,2))</f>
        <v/>
      </c>
      <c r="I822" s="18"/>
      <c r="J822" s="18"/>
      <c r="K822" s="18"/>
    </row>
    <row r="823" customFormat="false" ht="15" hidden="false" customHeight="false" outlineLevel="0" collapsed="false">
      <c r="A823" s="17"/>
      <c r="B823" s="18"/>
      <c r="C823" s="19"/>
      <c r="D823" s="19"/>
      <c r="E823" s="18"/>
      <c r="F823" s="18"/>
      <c r="G823" s="13" t="str">
        <f aca="false">IF(F823="","",IFERROR(INDEX(Metas!$B$5:$B$54,MATCH(F823,Metas!$A$5:$A$54,0)),"⚠ ID de meta no existe"))</f>
        <v/>
      </c>
      <c r="H823" s="16" t="str">
        <f aca="false">IF(OR(C823="",D823=""),"",ROUND(MOD(D823-C823,1)*24,2))</f>
        <v/>
      </c>
      <c r="I823" s="18"/>
      <c r="J823" s="18"/>
      <c r="K823" s="18"/>
    </row>
    <row r="824" customFormat="false" ht="15" hidden="false" customHeight="false" outlineLevel="0" collapsed="false">
      <c r="A824" s="17"/>
      <c r="B824" s="18"/>
      <c r="C824" s="19"/>
      <c r="D824" s="19"/>
      <c r="E824" s="18"/>
      <c r="F824" s="18"/>
      <c r="G824" s="13" t="str">
        <f aca="false">IF(F824="","",IFERROR(INDEX(Metas!$B$5:$B$54,MATCH(F824,Metas!$A$5:$A$54,0)),"⚠ ID de meta no existe"))</f>
        <v/>
      </c>
      <c r="H824" s="16" t="str">
        <f aca="false">IF(OR(C824="",D824=""),"",ROUND(MOD(D824-C824,1)*24,2))</f>
        <v/>
      </c>
      <c r="I824" s="18"/>
      <c r="J824" s="18"/>
      <c r="K824" s="18"/>
    </row>
    <row r="825" customFormat="false" ht="15" hidden="false" customHeight="false" outlineLevel="0" collapsed="false">
      <c r="A825" s="17"/>
      <c r="B825" s="18"/>
      <c r="C825" s="19"/>
      <c r="D825" s="19"/>
      <c r="E825" s="18"/>
      <c r="F825" s="18"/>
      <c r="G825" s="13" t="str">
        <f aca="false">IF(F825="","",IFERROR(INDEX(Metas!$B$5:$B$54,MATCH(F825,Metas!$A$5:$A$54,0)),"⚠ ID de meta no existe"))</f>
        <v/>
      </c>
      <c r="H825" s="16" t="str">
        <f aca="false">IF(OR(C825="",D825=""),"",ROUND(MOD(D825-C825,1)*24,2))</f>
        <v/>
      </c>
      <c r="I825" s="18"/>
      <c r="J825" s="18"/>
      <c r="K825" s="18"/>
    </row>
    <row r="826" customFormat="false" ht="15" hidden="false" customHeight="false" outlineLevel="0" collapsed="false">
      <c r="A826" s="17"/>
      <c r="B826" s="18"/>
      <c r="C826" s="19"/>
      <c r="D826" s="19"/>
      <c r="E826" s="18"/>
      <c r="F826" s="18"/>
      <c r="G826" s="13" t="str">
        <f aca="false">IF(F826="","",IFERROR(INDEX(Metas!$B$5:$B$54,MATCH(F826,Metas!$A$5:$A$54,0)),"⚠ ID de meta no existe"))</f>
        <v/>
      </c>
      <c r="H826" s="16" t="str">
        <f aca="false">IF(OR(C826="",D826=""),"",ROUND(MOD(D826-C826,1)*24,2))</f>
        <v/>
      </c>
      <c r="I826" s="18"/>
      <c r="J826" s="18"/>
      <c r="K826" s="18"/>
    </row>
    <row r="827" customFormat="false" ht="15" hidden="false" customHeight="false" outlineLevel="0" collapsed="false">
      <c r="A827" s="17"/>
      <c r="B827" s="18"/>
      <c r="C827" s="19"/>
      <c r="D827" s="19"/>
      <c r="E827" s="18"/>
      <c r="F827" s="18"/>
      <c r="G827" s="13" t="str">
        <f aca="false">IF(F827="","",IFERROR(INDEX(Metas!$B$5:$B$54,MATCH(F827,Metas!$A$5:$A$54,0)),"⚠ ID de meta no existe"))</f>
        <v/>
      </c>
      <c r="H827" s="16" t="str">
        <f aca="false">IF(OR(C827="",D827=""),"",ROUND(MOD(D827-C827,1)*24,2))</f>
        <v/>
      </c>
      <c r="I827" s="18"/>
      <c r="J827" s="18"/>
      <c r="K827" s="18"/>
    </row>
    <row r="828" customFormat="false" ht="15" hidden="false" customHeight="false" outlineLevel="0" collapsed="false">
      <c r="A828" s="17"/>
      <c r="B828" s="18"/>
      <c r="C828" s="19"/>
      <c r="D828" s="19"/>
      <c r="E828" s="18"/>
      <c r="F828" s="18"/>
      <c r="G828" s="13" t="str">
        <f aca="false">IF(F828="","",IFERROR(INDEX(Metas!$B$5:$B$54,MATCH(F828,Metas!$A$5:$A$54,0)),"⚠ ID de meta no existe"))</f>
        <v/>
      </c>
      <c r="H828" s="16" t="str">
        <f aca="false">IF(OR(C828="",D828=""),"",ROUND(MOD(D828-C828,1)*24,2))</f>
        <v/>
      </c>
      <c r="I828" s="18"/>
      <c r="J828" s="18"/>
      <c r="K828" s="18"/>
    </row>
    <row r="829" customFormat="false" ht="15" hidden="false" customHeight="false" outlineLevel="0" collapsed="false">
      <c r="A829" s="17"/>
      <c r="B829" s="18"/>
      <c r="C829" s="19"/>
      <c r="D829" s="19"/>
      <c r="E829" s="18"/>
      <c r="F829" s="18"/>
      <c r="G829" s="13" t="str">
        <f aca="false">IF(F829="","",IFERROR(INDEX(Metas!$B$5:$B$54,MATCH(F829,Metas!$A$5:$A$54,0)),"⚠ ID de meta no existe"))</f>
        <v/>
      </c>
      <c r="H829" s="16" t="str">
        <f aca="false">IF(OR(C829="",D829=""),"",ROUND(MOD(D829-C829,1)*24,2))</f>
        <v/>
      </c>
      <c r="I829" s="18"/>
      <c r="J829" s="18"/>
      <c r="K829" s="18"/>
    </row>
    <row r="830" customFormat="false" ht="15" hidden="false" customHeight="false" outlineLevel="0" collapsed="false">
      <c r="A830" s="17"/>
      <c r="B830" s="18"/>
      <c r="C830" s="19"/>
      <c r="D830" s="19"/>
      <c r="E830" s="18"/>
      <c r="F830" s="18"/>
      <c r="G830" s="13" t="str">
        <f aca="false">IF(F830="","",IFERROR(INDEX(Metas!$B$5:$B$54,MATCH(F830,Metas!$A$5:$A$54,0)),"⚠ ID de meta no existe"))</f>
        <v/>
      </c>
      <c r="H830" s="16" t="str">
        <f aca="false">IF(OR(C830="",D830=""),"",ROUND(MOD(D830-C830,1)*24,2))</f>
        <v/>
      </c>
      <c r="I830" s="18"/>
      <c r="J830" s="18"/>
      <c r="K830" s="18"/>
    </row>
    <row r="831" customFormat="false" ht="15" hidden="false" customHeight="false" outlineLevel="0" collapsed="false">
      <c r="A831" s="17"/>
      <c r="B831" s="18"/>
      <c r="C831" s="19"/>
      <c r="D831" s="19"/>
      <c r="E831" s="18"/>
      <c r="F831" s="18"/>
      <c r="G831" s="13" t="str">
        <f aca="false">IF(F831="","",IFERROR(INDEX(Metas!$B$5:$B$54,MATCH(F831,Metas!$A$5:$A$54,0)),"⚠ ID de meta no existe"))</f>
        <v/>
      </c>
      <c r="H831" s="16" t="str">
        <f aca="false">IF(OR(C831="",D831=""),"",ROUND(MOD(D831-C831,1)*24,2))</f>
        <v/>
      </c>
      <c r="I831" s="18"/>
      <c r="J831" s="18"/>
      <c r="K831" s="18"/>
    </row>
    <row r="832" customFormat="false" ht="15" hidden="false" customHeight="false" outlineLevel="0" collapsed="false">
      <c r="A832" s="17"/>
      <c r="B832" s="18"/>
      <c r="C832" s="19"/>
      <c r="D832" s="19"/>
      <c r="E832" s="18"/>
      <c r="F832" s="18"/>
      <c r="G832" s="13" t="str">
        <f aca="false">IF(F832="","",IFERROR(INDEX(Metas!$B$5:$B$54,MATCH(F832,Metas!$A$5:$A$54,0)),"⚠ ID de meta no existe"))</f>
        <v/>
      </c>
      <c r="H832" s="16" t="str">
        <f aca="false">IF(OR(C832="",D832=""),"",ROUND(MOD(D832-C832,1)*24,2))</f>
        <v/>
      </c>
      <c r="I832" s="18"/>
      <c r="J832" s="18"/>
      <c r="K832" s="18"/>
    </row>
    <row r="833" customFormat="false" ht="15" hidden="false" customHeight="false" outlineLevel="0" collapsed="false">
      <c r="A833" s="17"/>
      <c r="B833" s="18"/>
      <c r="C833" s="19"/>
      <c r="D833" s="19"/>
      <c r="E833" s="18"/>
      <c r="F833" s="18"/>
      <c r="G833" s="13" t="str">
        <f aca="false">IF(F833="","",IFERROR(INDEX(Metas!$B$5:$B$54,MATCH(F833,Metas!$A$5:$A$54,0)),"⚠ ID de meta no existe"))</f>
        <v/>
      </c>
      <c r="H833" s="16" t="str">
        <f aca="false">IF(OR(C833="",D833=""),"",ROUND(MOD(D833-C833,1)*24,2))</f>
        <v/>
      </c>
      <c r="I833" s="18"/>
      <c r="J833" s="18"/>
      <c r="K833" s="18"/>
    </row>
    <row r="834" customFormat="false" ht="15" hidden="false" customHeight="false" outlineLevel="0" collapsed="false">
      <c r="A834" s="17"/>
      <c r="B834" s="18"/>
      <c r="C834" s="19"/>
      <c r="D834" s="19"/>
      <c r="E834" s="18"/>
      <c r="F834" s="18"/>
      <c r="G834" s="13" t="str">
        <f aca="false">IF(F834="","",IFERROR(INDEX(Metas!$B$5:$B$54,MATCH(F834,Metas!$A$5:$A$54,0)),"⚠ ID de meta no existe"))</f>
        <v/>
      </c>
      <c r="H834" s="16" t="str">
        <f aca="false">IF(OR(C834="",D834=""),"",ROUND(MOD(D834-C834,1)*24,2))</f>
        <v/>
      </c>
      <c r="I834" s="18"/>
      <c r="J834" s="18"/>
      <c r="K834" s="18"/>
    </row>
    <row r="835" customFormat="false" ht="15" hidden="false" customHeight="false" outlineLevel="0" collapsed="false">
      <c r="A835" s="17"/>
      <c r="B835" s="18"/>
      <c r="C835" s="19"/>
      <c r="D835" s="19"/>
      <c r="E835" s="18"/>
      <c r="F835" s="18"/>
      <c r="G835" s="13" t="str">
        <f aca="false">IF(F835="","",IFERROR(INDEX(Metas!$B$5:$B$54,MATCH(F835,Metas!$A$5:$A$54,0)),"⚠ ID de meta no existe"))</f>
        <v/>
      </c>
      <c r="H835" s="16" t="str">
        <f aca="false">IF(OR(C835="",D835=""),"",ROUND(MOD(D835-C835,1)*24,2))</f>
        <v/>
      </c>
      <c r="I835" s="18"/>
      <c r="J835" s="18"/>
      <c r="K835" s="18"/>
    </row>
    <row r="836" customFormat="false" ht="15" hidden="false" customHeight="false" outlineLevel="0" collapsed="false">
      <c r="A836" s="17"/>
      <c r="B836" s="18"/>
      <c r="C836" s="19"/>
      <c r="D836" s="19"/>
      <c r="E836" s="18"/>
      <c r="F836" s="18"/>
      <c r="G836" s="13" t="str">
        <f aca="false">IF(F836="","",IFERROR(INDEX(Metas!$B$5:$B$54,MATCH(F836,Metas!$A$5:$A$54,0)),"⚠ ID de meta no existe"))</f>
        <v/>
      </c>
      <c r="H836" s="16" t="str">
        <f aca="false">IF(OR(C836="",D836=""),"",ROUND(MOD(D836-C836,1)*24,2))</f>
        <v/>
      </c>
      <c r="I836" s="18"/>
      <c r="J836" s="18"/>
      <c r="K836" s="18"/>
    </row>
    <row r="837" customFormat="false" ht="15" hidden="false" customHeight="false" outlineLevel="0" collapsed="false">
      <c r="A837" s="17"/>
      <c r="B837" s="18"/>
      <c r="C837" s="19"/>
      <c r="D837" s="19"/>
      <c r="E837" s="18"/>
      <c r="F837" s="18"/>
      <c r="G837" s="13" t="str">
        <f aca="false">IF(F837="","",IFERROR(INDEX(Metas!$B$5:$B$54,MATCH(F837,Metas!$A$5:$A$54,0)),"⚠ ID de meta no existe"))</f>
        <v/>
      </c>
      <c r="H837" s="16" t="str">
        <f aca="false">IF(OR(C837="",D837=""),"",ROUND(MOD(D837-C837,1)*24,2))</f>
        <v/>
      </c>
      <c r="I837" s="18"/>
      <c r="J837" s="18"/>
      <c r="K837" s="18"/>
    </row>
    <row r="838" customFormat="false" ht="15" hidden="false" customHeight="false" outlineLevel="0" collapsed="false">
      <c r="A838" s="17"/>
      <c r="B838" s="18"/>
      <c r="C838" s="19"/>
      <c r="D838" s="19"/>
      <c r="E838" s="18"/>
      <c r="F838" s="18"/>
      <c r="G838" s="13" t="str">
        <f aca="false">IF(F838="","",IFERROR(INDEX(Metas!$B$5:$B$54,MATCH(F838,Metas!$A$5:$A$54,0)),"⚠ ID de meta no existe"))</f>
        <v/>
      </c>
      <c r="H838" s="16" t="str">
        <f aca="false">IF(OR(C838="",D838=""),"",ROUND(MOD(D838-C838,1)*24,2))</f>
        <v/>
      </c>
      <c r="I838" s="18"/>
      <c r="J838" s="18"/>
      <c r="K838" s="18"/>
    </row>
    <row r="839" customFormat="false" ht="15" hidden="false" customHeight="false" outlineLevel="0" collapsed="false">
      <c r="A839" s="17"/>
      <c r="B839" s="18"/>
      <c r="C839" s="19"/>
      <c r="D839" s="19"/>
      <c r="E839" s="18"/>
      <c r="F839" s="18"/>
      <c r="G839" s="13" t="str">
        <f aca="false">IF(F839="","",IFERROR(INDEX(Metas!$B$5:$B$54,MATCH(F839,Metas!$A$5:$A$54,0)),"⚠ ID de meta no existe"))</f>
        <v/>
      </c>
      <c r="H839" s="16" t="str">
        <f aca="false">IF(OR(C839="",D839=""),"",ROUND(MOD(D839-C839,1)*24,2))</f>
        <v/>
      </c>
      <c r="I839" s="18"/>
      <c r="J839" s="18"/>
      <c r="K839" s="18"/>
    </row>
    <row r="840" customFormat="false" ht="15" hidden="false" customHeight="false" outlineLevel="0" collapsed="false">
      <c r="A840" s="17"/>
      <c r="B840" s="18"/>
      <c r="C840" s="19"/>
      <c r="D840" s="19"/>
      <c r="E840" s="18"/>
      <c r="F840" s="18"/>
      <c r="G840" s="13" t="str">
        <f aca="false">IF(F840="","",IFERROR(INDEX(Metas!$B$5:$B$54,MATCH(F840,Metas!$A$5:$A$54,0)),"⚠ ID de meta no existe"))</f>
        <v/>
      </c>
      <c r="H840" s="16" t="str">
        <f aca="false">IF(OR(C840="",D840=""),"",ROUND(MOD(D840-C840,1)*24,2))</f>
        <v/>
      </c>
      <c r="I840" s="18"/>
      <c r="J840" s="18"/>
      <c r="K840" s="18"/>
    </row>
    <row r="841" customFormat="false" ht="15" hidden="false" customHeight="false" outlineLevel="0" collapsed="false">
      <c r="A841" s="17"/>
      <c r="B841" s="18"/>
      <c r="C841" s="19"/>
      <c r="D841" s="19"/>
      <c r="E841" s="18"/>
      <c r="F841" s="18"/>
      <c r="G841" s="13" t="str">
        <f aca="false">IF(F841="","",IFERROR(INDEX(Metas!$B$5:$B$54,MATCH(F841,Metas!$A$5:$A$54,0)),"⚠ ID de meta no existe"))</f>
        <v/>
      </c>
      <c r="H841" s="16" t="str">
        <f aca="false">IF(OR(C841="",D841=""),"",ROUND(MOD(D841-C841,1)*24,2))</f>
        <v/>
      </c>
      <c r="I841" s="18"/>
      <c r="J841" s="18"/>
      <c r="K841" s="18"/>
    </row>
    <row r="842" customFormat="false" ht="15" hidden="false" customHeight="false" outlineLevel="0" collapsed="false">
      <c r="A842" s="17"/>
      <c r="B842" s="18"/>
      <c r="C842" s="19"/>
      <c r="D842" s="19"/>
      <c r="E842" s="18"/>
      <c r="F842" s="18"/>
      <c r="G842" s="13" t="str">
        <f aca="false">IF(F842="","",IFERROR(INDEX(Metas!$B$5:$B$54,MATCH(F842,Metas!$A$5:$A$54,0)),"⚠ ID de meta no existe"))</f>
        <v/>
      </c>
      <c r="H842" s="16" t="str">
        <f aca="false">IF(OR(C842="",D842=""),"",ROUND(MOD(D842-C842,1)*24,2))</f>
        <v/>
      </c>
      <c r="I842" s="18"/>
      <c r="J842" s="18"/>
      <c r="K842" s="18"/>
    </row>
    <row r="843" customFormat="false" ht="15" hidden="false" customHeight="false" outlineLevel="0" collapsed="false">
      <c r="A843" s="17"/>
      <c r="B843" s="18"/>
      <c r="C843" s="19"/>
      <c r="D843" s="19"/>
      <c r="E843" s="18"/>
      <c r="F843" s="18"/>
      <c r="G843" s="13" t="str">
        <f aca="false">IF(F843="","",IFERROR(INDEX(Metas!$B$5:$B$54,MATCH(F843,Metas!$A$5:$A$54,0)),"⚠ ID de meta no existe"))</f>
        <v/>
      </c>
      <c r="H843" s="16" t="str">
        <f aca="false">IF(OR(C843="",D843=""),"",ROUND(MOD(D843-C843,1)*24,2))</f>
        <v/>
      </c>
      <c r="I843" s="18"/>
      <c r="J843" s="18"/>
      <c r="K843" s="18"/>
    </row>
    <row r="844" customFormat="false" ht="15" hidden="false" customHeight="false" outlineLevel="0" collapsed="false">
      <c r="A844" s="17"/>
      <c r="B844" s="18"/>
      <c r="C844" s="19"/>
      <c r="D844" s="19"/>
      <c r="E844" s="18"/>
      <c r="F844" s="18"/>
      <c r="G844" s="13" t="str">
        <f aca="false">IF(F844="","",IFERROR(INDEX(Metas!$B$5:$B$54,MATCH(F844,Metas!$A$5:$A$54,0)),"⚠ ID de meta no existe"))</f>
        <v/>
      </c>
      <c r="H844" s="16" t="str">
        <f aca="false">IF(OR(C844="",D844=""),"",ROUND(MOD(D844-C844,1)*24,2))</f>
        <v/>
      </c>
      <c r="I844" s="18"/>
      <c r="J844" s="18"/>
      <c r="K844" s="18"/>
    </row>
    <row r="845" customFormat="false" ht="15" hidden="false" customHeight="false" outlineLevel="0" collapsed="false">
      <c r="A845" s="17"/>
      <c r="B845" s="18"/>
      <c r="C845" s="19"/>
      <c r="D845" s="19"/>
      <c r="E845" s="18"/>
      <c r="F845" s="18"/>
      <c r="G845" s="13" t="str">
        <f aca="false">IF(F845="","",IFERROR(INDEX(Metas!$B$5:$B$54,MATCH(F845,Metas!$A$5:$A$54,0)),"⚠ ID de meta no existe"))</f>
        <v/>
      </c>
      <c r="H845" s="16" t="str">
        <f aca="false">IF(OR(C845="",D845=""),"",ROUND(MOD(D845-C845,1)*24,2))</f>
        <v/>
      </c>
      <c r="I845" s="18"/>
      <c r="J845" s="18"/>
      <c r="K845" s="18"/>
    </row>
    <row r="846" customFormat="false" ht="15" hidden="false" customHeight="false" outlineLevel="0" collapsed="false">
      <c r="A846" s="17"/>
      <c r="B846" s="18"/>
      <c r="C846" s="19"/>
      <c r="D846" s="19"/>
      <c r="E846" s="18"/>
      <c r="F846" s="18"/>
      <c r="G846" s="13" t="str">
        <f aca="false">IF(F846="","",IFERROR(INDEX(Metas!$B$5:$B$54,MATCH(F846,Metas!$A$5:$A$54,0)),"⚠ ID de meta no existe"))</f>
        <v/>
      </c>
      <c r="H846" s="16" t="str">
        <f aca="false">IF(OR(C846="",D846=""),"",ROUND(MOD(D846-C846,1)*24,2))</f>
        <v/>
      </c>
      <c r="I846" s="18"/>
      <c r="J846" s="18"/>
      <c r="K846" s="18"/>
    </row>
    <row r="847" customFormat="false" ht="15" hidden="false" customHeight="false" outlineLevel="0" collapsed="false">
      <c r="A847" s="17"/>
      <c r="B847" s="18"/>
      <c r="C847" s="19"/>
      <c r="D847" s="19"/>
      <c r="E847" s="18"/>
      <c r="F847" s="18"/>
      <c r="G847" s="13" t="str">
        <f aca="false">IF(F847="","",IFERROR(INDEX(Metas!$B$5:$B$54,MATCH(F847,Metas!$A$5:$A$54,0)),"⚠ ID de meta no existe"))</f>
        <v/>
      </c>
      <c r="H847" s="16" t="str">
        <f aca="false">IF(OR(C847="",D847=""),"",ROUND(MOD(D847-C847,1)*24,2))</f>
        <v/>
      </c>
      <c r="I847" s="18"/>
      <c r="J847" s="18"/>
      <c r="K847" s="18"/>
    </row>
    <row r="848" customFormat="false" ht="15" hidden="false" customHeight="false" outlineLevel="0" collapsed="false">
      <c r="A848" s="17"/>
      <c r="B848" s="18"/>
      <c r="C848" s="19"/>
      <c r="D848" s="19"/>
      <c r="E848" s="18"/>
      <c r="F848" s="18"/>
      <c r="G848" s="13" t="str">
        <f aca="false">IF(F848="","",IFERROR(INDEX(Metas!$B$5:$B$54,MATCH(F848,Metas!$A$5:$A$54,0)),"⚠ ID de meta no existe"))</f>
        <v/>
      </c>
      <c r="H848" s="16" t="str">
        <f aca="false">IF(OR(C848="",D848=""),"",ROUND(MOD(D848-C848,1)*24,2))</f>
        <v/>
      </c>
      <c r="I848" s="18"/>
      <c r="J848" s="18"/>
      <c r="K848" s="18"/>
    </row>
    <row r="849" customFormat="false" ht="15" hidden="false" customHeight="false" outlineLevel="0" collapsed="false">
      <c r="A849" s="17"/>
      <c r="B849" s="18"/>
      <c r="C849" s="19"/>
      <c r="D849" s="19"/>
      <c r="E849" s="18"/>
      <c r="F849" s="18"/>
      <c r="G849" s="13" t="str">
        <f aca="false">IF(F849="","",IFERROR(INDEX(Metas!$B$5:$B$54,MATCH(F849,Metas!$A$5:$A$54,0)),"⚠ ID de meta no existe"))</f>
        <v/>
      </c>
      <c r="H849" s="16" t="str">
        <f aca="false">IF(OR(C849="",D849=""),"",ROUND(MOD(D849-C849,1)*24,2))</f>
        <v/>
      </c>
      <c r="I849" s="18"/>
      <c r="J849" s="18"/>
      <c r="K849" s="18"/>
    </row>
    <row r="850" customFormat="false" ht="15" hidden="false" customHeight="false" outlineLevel="0" collapsed="false">
      <c r="A850" s="17"/>
      <c r="B850" s="18"/>
      <c r="C850" s="19"/>
      <c r="D850" s="19"/>
      <c r="E850" s="18"/>
      <c r="F850" s="18"/>
      <c r="G850" s="13" t="str">
        <f aca="false">IF(F850="","",IFERROR(INDEX(Metas!$B$5:$B$54,MATCH(F850,Metas!$A$5:$A$54,0)),"⚠ ID de meta no existe"))</f>
        <v/>
      </c>
      <c r="H850" s="16" t="str">
        <f aca="false">IF(OR(C850="",D850=""),"",ROUND(MOD(D850-C850,1)*24,2))</f>
        <v/>
      </c>
      <c r="I850" s="18"/>
      <c r="J850" s="18"/>
      <c r="K850" s="18"/>
    </row>
    <row r="851" customFormat="false" ht="15" hidden="false" customHeight="false" outlineLevel="0" collapsed="false">
      <c r="A851" s="17"/>
      <c r="B851" s="18"/>
      <c r="C851" s="19"/>
      <c r="D851" s="19"/>
      <c r="E851" s="18"/>
      <c r="F851" s="18"/>
      <c r="G851" s="13" t="str">
        <f aca="false">IF(F851="","",IFERROR(INDEX(Metas!$B$5:$B$54,MATCH(F851,Metas!$A$5:$A$54,0)),"⚠ ID de meta no existe"))</f>
        <v/>
      </c>
      <c r="H851" s="16" t="str">
        <f aca="false">IF(OR(C851="",D851=""),"",ROUND(MOD(D851-C851,1)*24,2))</f>
        <v/>
      </c>
      <c r="I851" s="18"/>
      <c r="J851" s="18"/>
      <c r="K851" s="18"/>
    </row>
    <row r="852" customFormat="false" ht="15" hidden="false" customHeight="false" outlineLevel="0" collapsed="false">
      <c r="A852" s="17"/>
      <c r="B852" s="18"/>
      <c r="C852" s="19"/>
      <c r="D852" s="19"/>
      <c r="E852" s="18"/>
      <c r="F852" s="18"/>
      <c r="G852" s="13" t="str">
        <f aca="false">IF(F852="","",IFERROR(INDEX(Metas!$B$5:$B$54,MATCH(F852,Metas!$A$5:$A$54,0)),"⚠ ID de meta no existe"))</f>
        <v/>
      </c>
      <c r="H852" s="16" t="str">
        <f aca="false">IF(OR(C852="",D852=""),"",ROUND(MOD(D852-C852,1)*24,2))</f>
        <v/>
      </c>
      <c r="I852" s="18"/>
      <c r="J852" s="18"/>
      <c r="K852" s="18"/>
    </row>
    <row r="853" customFormat="false" ht="15" hidden="false" customHeight="false" outlineLevel="0" collapsed="false">
      <c r="A853" s="17"/>
      <c r="B853" s="18"/>
      <c r="C853" s="19"/>
      <c r="D853" s="19"/>
      <c r="E853" s="18"/>
      <c r="F853" s="18"/>
      <c r="G853" s="13" t="str">
        <f aca="false">IF(F853="","",IFERROR(INDEX(Metas!$B$5:$B$54,MATCH(F853,Metas!$A$5:$A$54,0)),"⚠ ID de meta no existe"))</f>
        <v/>
      </c>
      <c r="H853" s="16" t="str">
        <f aca="false">IF(OR(C853="",D853=""),"",ROUND(MOD(D853-C853,1)*24,2))</f>
        <v/>
      </c>
      <c r="I853" s="18"/>
      <c r="J853" s="18"/>
      <c r="K853" s="18"/>
    </row>
    <row r="854" customFormat="false" ht="15" hidden="false" customHeight="false" outlineLevel="0" collapsed="false">
      <c r="A854" s="17"/>
      <c r="B854" s="18"/>
      <c r="C854" s="19"/>
      <c r="D854" s="19"/>
      <c r="E854" s="18"/>
      <c r="F854" s="18"/>
      <c r="G854" s="13" t="str">
        <f aca="false">IF(F854="","",IFERROR(INDEX(Metas!$B$5:$B$54,MATCH(F854,Metas!$A$5:$A$54,0)),"⚠ ID de meta no existe"))</f>
        <v/>
      </c>
      <c r="H854" s="16" t="str">
        <f aca="false">IF(OR(C854="",D854=""),"",ROUND(MOD(D854-C854,1)*24,2))</f>
        <v/>
      </c>
      <c r="I854" s="18"/>
      <c r="J854" s="18"/>
      <c r="K854" s="18"/>
    </row>
    <row r="855" customFormat="false" ht="15" hidden="false" customHeight="false" outlineLevel="0" collapsed="false">
      <c r="A855" s="17"/>
      <c r="B855" s="18"/>
      <c r="C855" s="19"/>
      <c r="D855" s="19"/>
      <c r="E855" s="18"/>
      <c r="F855" s="18"/>
      <c r="G855" s="13" t="str">
        <f aca="false">IF(F855="","",IFERROR(INDEX(Metas!$B$5:$B$54,MATCH(F855,Metas!$A$5:$A$54,0)),"⚠ ID de meta no existe"))</f>
        <v/>
      </c>
      <c r="H855" s="16" t="str">
        <f aca="false">IF(OR(C855="",D855=""),"",ROUND(MOD(D855-C855,1)*24,2))</f>
        <v/>
      </c>
      <c r="I855" s="18"/>
      <c r="J855" s="18"/>
      <c r="K855" s="18"/>
    </row>
    <row r="856" customFormat="false" ht="15" hidden="false" customHeight="false" outlineLevel="0" collapsed="false">
      <c r="A856" s="17"/>
      <c r="B856" s="18"/>
      <c r="C856" s="19"/>
      <c r="D856" s="19"/>
      <c r="E856" s="18"/>
      <c r="F856" s="18"/>
      <c r="G856" s="13" t="str">
        <f aca="false">IF(F856="","",IFERROR(INDEX(Metas!$B$5:$B$54,MATCH(F856,Metas!$A$5:$A$54,0)),"⚠ ID de meta no existe"))</f>
        <v/>
      </c>
      <c r="H856" s="16" t="str">
        <f aca="false">IF(OR(C856="",D856=""),"",ROUND(MOD(D856-C856,1)*24,2))</f>
        <v/>
      </c>
      <c r="I856" s="18"/>
      <c r="J856" s="18"/>
      <c r="K856" s="18"/>
    </row>
    <row r="857" customFormat="false" ht="15" hidden="false" customHeight="false" outlineLevel="0" collapsed="false">
      <c r="A857" s="17"/>
      <c r="B857" s="18"/>
      <c r="C857" s="19"/>
      <c r="D857" s="19"/>
      <c r="E857" s="18"/>
      <c r="F857" s="18"/>
      <c r="G857" s="13" t="str">
        <f aca="false">IF(F857="","",IFERROR(INDEX(Metas!$B$5:$B$54,MATCH(F857,Metas!$A$5:$A$54,0)),"⚠ ID de meta no existe"))</f>
        <v/>
      </c>
      <c r="H857" s="16" t="str">
        <f aca="false">IF(OR(C857="",D857=""),"",ROUND(MOD(D857-C857,1)*24,2))</f>
        <v/>
      </c>
      <c r="I857" s="18"/>
      <c r="J857" s="18"/>
      <c r="K857" s="18"/>
    </row>
    <row r="858" customFormat="false" ht="15" hidden="false" customHeight="false" outlineLevel="0" collapsed="false">
      <c r="A858" s="17"/>
      <c r="B858" s="18"/>
      <c r="C858" s="19"/>
      <c r="D858" s="19"/>
      <c r="E858" s="18"/>
      <c r="F858" s="18"/>
      <c r="G858" s="13" t="str">
        <f aca="false">IF(F858="","",IFERROR(INDEX(Metas!$B$5:$B$54,MATCH(F858,Metas!$A$5:$A$54,0)),"⚠ ID de meta no existe"))</f>
        <v/>
      </c>
      <c r="H858" s="16" t="str">
        <f aca="false">IF(OR(C858="",D858=""),"",ROUND(MOD(D858-C858,1)*24,2))</f>
        <v/>
      </c>
      <c r="I858" s="18"/>
      <c r="J858" s="18"/>
      <c r="K858" s="18"/>
    </row>
    <row r="859" customFormat="false" ht="15" hidden="false" customHeight="false" outlineLevel="0" collapsed="false">
      <c r="A859" s="17"/>
      <c r="B859" s="18"/>
      <c r="C859" s="19"/>
      <c r="D859" s="19"/>
      <c r="E859" s="18"/>
      <c r="F859" s="18"/>
      <c r="G859" s="13" t="str">
        <f aca="false">IF(F859="","",IFERROR(INDEX(Metas!$B$5:$B$54,MATCH(F859,Metas!$A$5:$A$54,0)),"⚠ ID de meta no existe"))</f>
        <v/>
      </c>
      <c r="H859" s="16" t="str">
        <f aca="false">IF(OR(C859="",D859=""),"",ROUND(MOD(D859-C859,1)*24,2))</f>
        <v/>
      </c>
      <c r="I859" s="18"/>
      <c r="J859" s="18"/>
      <c r="K859" s="18"/>
    </row>
    <row r="860" customFormat="false" ht="15" hidden="false" customHeight="false" outlineLevel="0" collapsed="false">
      <c r="A860" s="17"/>
      <c r="B860" s="18"/>
      <c r="C860" s="19"/>
      <c r="D860" s="19"/>
      <c r="E860" s="18"/>
      <c r="F860" s="18"/>
      <c r="G860" s="13" t="str">
        <f aca="false">IF(F860="","",IFERROR(INDEX(Metas!$B$5:$B$54,MATCH(F860,Metas!$A$5:$A$54,0)),"⚠ ID de meta no existe"))</f>
        <v/>
      </c>
      <c r="H860" s="16" t="str">
        <f aca="false">IF(OR(C860="",D860=""),"",ROUND(MOD(D860-C860,1)*24,2))</f>
        <v/>
      </c>
      <c r="I860" s="18"/>
      <c r="J860" s="18"/>
      <c r="K860" s="18"/>
    </row>
    <row r="861" customFormat="false" ht="15" hidden="false" customHeight="false" outlineLevel="0" collapsed="false">
      <c r="A861" s="17"/>
      <c r="B861" s="18"/>
      <c r="C861" s="19"/>
      <c r="D861" s="19"/>
      <c r="E861" s="18"/>
      <c r="F861" s="18"/>
      <c r="G861" s="13" t="str">
        <f aca="false">IF(F861="","",IFERROR(INDEX(Metas!$B$5:$B$54,MATCH(F861,Metas!$A$5:$A$54,0)),"⚠ ID de meta no existe"))</f>
        <v/>
      </c>
      <c r="H861" s="16" t="str">
        <f aca="false">IF(OR(C861="",D861=""),"",ROUND(MOD(D861-C861,1)*24,2))</f>
        <v/>
      </c>
      <c r="I861" s="18"/>
      <c r="J861" s="18"/>
      <c r="K861" s="18"/>
    </row>
    <row r="862" customFormat="false" ht="15" hidden="false" customHeight="false" outlineLevel="0" collapsed="false">
      <c r="A862" s="17"/>
      <c r="B862" s="18"/>
      <c r="C862" s="19"/>
      <c r="D862" s="19"/>
      <c r="E862" s="18"/>
      <c r="F862" s="18"/>
      <c r="G862" s="13" t="str">
        <f aca="false">IF(F862="","",IFERROR(INDEX(Metas!$B$5:$B$54,MATCH(F862,Metas!$A$5:$A$54,0)),"⚠ ID de meta no existe"))</f>
        <v/>
      </c>
      <c r="H862" s="16" t="str">
        <f aca="false">IF(OR(C862="",D862=""),"",ROUND(MOD(D862-C862,1)*24,2))</f>
        <v/>
      </c>
      <c r="I862" s="18"/>
      <c r="J862" s="18"/>
      <c r="K862" s="18"/>
    </row>
    <row r="863" customFormat="false" ht="15" hidden="false" customHeight="false" outlineLevel="0" collapsed="false">
      <c r="A863" s="17"/>
      <c r="B863" s="18"/>
      <c r="C863" s="19"/>
      <c r="D863" s="19"/>
      <c r="E863" s="18"/>
      <c r="F863" s="18"/>
      <c r="G863" s="13" t="str">
        <f aca="false">IF(F863="","",IFERROR(INDEX(Metas!$B$5:$B$54,MATCH(F863,Metas!$A$5:$A$54,0)),"⚠ ID de meta no existe"))</f>
        <v/>
      </c>
      <c r="H863" s="16" t="str">
        <f aca="false">IF(OR(C863="",D863=""),"",ROUND(MOD(D863-C863,1)*24,2))</f>
        <v/>
      </c>
      <c r="I863" s="18"/>
      <c r="J863" s="18"/>
      <c r="K863" s="18"/>
    </row>
    <row r="864" customFormat="false" ht="15" hidden="false" customHeight="false" outlineLevel="0" collapsed="false">
      <c r="A864" s="17"/>
      <c r="B864" s="18"/>
      <c r="C864" s="19"/>
      <c r="D864" s="19"/>
      <c r="E864" s="18"/>
      <c r="F864" s="18"/>
      <c r="G864" s="13" t="str">
        <f aca="false">IF(F864="","",IFERROR(INDEX(Metas!$B$5:$B$54,MATCH(F864,Metas!$A$5:$A$54,0)),"⚠ ID de meta no existe"))</f>
        <v/>
      </c>
      <c r="H864" s="16" t="str">
        <f aca="false">IF(OR(C864="",D864=""),"",ROUND(MOD(D864-C864,1)*24,2))</f>
        <v/>
      </c>
      <c r="I864" s="18"/>
      <c r="J864" s="18"/>
      <c r="K864" s="18"/>
    </row>
    <row r="865" customFormat="false" ht="15" hidden="false" customHeight="false" outlineLevel="0" collapsed="false">
      <c r="A865" s="17"/>
      <c r="B865" s="18"/>
      <c r="C865" s="19"/>
      <c r="D865" s="19"/>
      <c r="E865" s="18"/>
      <c r="F865" s="18"/>
      <c r="G865" s="13" t="str">
        <f aca="false">IF(F865="","",IFERROR(INDEX(Metas!$B$5:$B$54,MATCH(F865,Metas!$A$5:$A$54,0)),"⚠ ID de meta no existe"))</f>
        <v/>
      </c>
      <c r="H865" s="16" t="str">
        <f aca="false">IF(OR(C865="",D865=""),"",ROUND(MOD(D865-C865,1)*24,2))</f>
        <v/>
      </c>
      <c r="I865" s="18"/>
      <c r="J865" s="18"/>
      <c r="K865" s="18"/>
    </row>
    <row r="866" customFormat="false" ht="15" hidden="false" customHeight="false" outlineLevel="0" collapsed="false">
      <c r="A866" s="17"/>
      <c r="B866" s="18"/>
      <c r="C866" s="19"/>
      <c r="D866" s="19"/>
      <c r="E866" s="18"/>
      <c r="F866" s="18"/>
      <c r="G866" s="13" t="str">
        <f aca="false">IF(F866="","",IFERROR(INDEX(Metas!$B$5:$B$54,MATCH(F866,Metas!$A$5:$A$54,0)),"⚠ ID de meta no existe"))</f>
        <v/>
      </c>
      <c r="H866" s="16" t="str">
        <f aca="false">IF(OR(C866="",D866=""),"",ROUND(MOD(D866-C866,1)*24,2))</f>
        <v/>
      </c>
      <c r="I866" s="18"/>
      <c r="J866" s="18"/>
      <c r="K866" s="18"/>
    </row>
    <row r="867" customFormat="false" ht="15" hidden="false" customHeight="false" outlineLevel="0" collapsed="false">
      <c r="A867" s="17"/>
      <c r="B867" s="18"/>
      <c r="C867" s="19"/>
      <c r="D867" s="19"/>
      <c r="E867" s="18"/>
      <c r="F867" s="18"/>
      <c r="G867" s="13" t="str">
        <f aca="false">IF(F867="","",IFERROR(INDEX(Metas!$B$5:$B$54,MATCH(F867,Metas!$A$5:$A$54,0)),"⚠ ID de meta no existe"))</f>
        <v/>
      </c>
      <c r="H867" s="16" t="str">
        <f aca="false">IF(OR(C867="",D867=""),"",ROUND(MOD(D867-C867,1)*24,2))</f>
        <v/>
      </c>
      <c r="I867" s="18"/>
      <c r="J867" s="18"/>
      <c r="K867" s="18"/>
    </row>
    <row r="868" customFormat="false" ht="15" hidden="false" customHeight="false" outlineLevel="0" collapsed="false">
      <c r="A868" s="17"/>
      <c r="B868" s="18"/>
      <c r="C868" s="19"/>
      <c r="D868" s="19"/>
      <c r="E868" s="18"/>
      <c r="F868" s="18"/>
      <c r="G868" s="13" t="str">
        <f aca="false">IF(F868="","",IFERROR(INDEX(Metas!$B$5:$B$54,MATCH(F868,Metas!$A$5:$A$54,0)),"⚠ ID de meta no existe"))</f>
        <v/>
      </c>
      <c r="H868" s="16" t="str">
        <f aca="false">IF(OR(C868="",D868=""),"",ROUND(MOD(D868-C868,1)*24,2))</f>
        <v/>
      </c>
      <c r="I868" s="18"/>
      <c r="J868" s="18"/>
      <c r="K868" s="18"/>
    </row>
    <row r="869" customFormat="false" ht="15" hidden="false" customHeight="false" outlineLevel="0" collapsed="false">
      <c r="A869" s="17"/>
      <c r="B869" s="18"/>
      <c r="C869" s="19"/>
      <c r="D869" s="19"/>
      <c r="E869" s="18"/>
      <c r="F869" s="18"/>
      <c r="G869" s="13" t="str">
        <f aca="false">IF(F869="","",IFERROR(INDEX(Metas!$B$5:$B$54,MATCH(F869,Metas!$A$5:$A$54,0)),"⚠ ID de meta no existe"))</f>
        <v/>
      </c>
      <c r="H869" s="16" t="str">
        <f aca="false">IF(OR(C869="",D869=""),"",ROUND(MOD(D869-C869,1)*24,2))</f>
        <v/>
      </c>
      <c r="I869" s="18"/>
      <c r="J869" s="18"/>
      <c r="K869" s="18"/>
    </row>
    <row r="870" customFormat="false" ht="15" hidden="false" customHeight="false" outlineLevel="0" collapsed="false">
      <c r="A870" s="17"/>
      <c r="B870" s="18"/>
      <c r="C870" s="19"/>
      <c r="D870" s="19"/>
      <c r="E870" s="18"/>
      <c r="F870" s="18"/>
      <c r="G870" s="13" t="str">
        <f aca="false">IF(F870="","",IFERROR(INDEX(Metas!$B$5:$B$54,MATCH(F870,Metas!$A$5:$A$54,0)),"⚠ ID de meta no existe"))</f>
        <v/>
      </c>
      <c r="H870" s="16" t="str">
        <f aca="false">IF(OR(C870="",D870=""),"",ROUND(MOD(D870-C870,1)*24,2))</f>
        <v/>
      </c>
      <c r="I870" s="18"/>
      <c r="J870" s="18"/>
      <c r="K870" s="18"/>
    </row>
    <row r="871" customFormat="false" ht="15" hidden="false" customHeight="false" outlineLevel="0" collapsed="false">
      <c r="A871" s="17"/>
      <c r="B871" s="18"/>
      <c r="C871" s="19"/>
      <c r="D871" s="19"/>
      <c r="E871" s="18"/>
      <c r="F871" s="18"/>
      <c r="G871" s="13" t="str">
        <f aca="false">IF(F871="","",IFERROR(INDEX(Metas!$B$5:$B$54,MATCH(F871,Metas!$A$5:$A$54,0)),"⚠ ID de meta no existe"))</f>
        <v/>
      </c>
      <c r="H871" s="16" t="str">
        <f aca="false">IF(OR(C871="",D871=""),"",ROUND(MOD(D871-C871,1)*24,2))</f>
        <v/>
      </c>
      <c r="I871" s="18"/>
      <c r="J871" s="18"/>
      <c r="K871" s="18"/>
    </row>
    <row r="872" customFormat="false" ht="15" hidden="false" customHeight="false" outlineLevel="0" collapsed="false">
      <c r="A872" s="17"/>
      <c r="B872" s="18"/>
      <c r="C872" s="19"/>
      <c r="D872" s="19"/>
      <c r="E872" s="18"/>
      <c r="F872" s="18"/>
      <c r="G872" s="13" t="str">
        <f aca="false">IF(F872="","",IFERROR(INDEX(Metas!$B$5:$B$54,MATCH(F872,Metas!$A$5:$A$54,0)),"⚠ ID de meta no existe"))</f>
        <v/>
      </c>
      <c r="H872" s="16" t="str">
        <f aca="false">IF(OR(C872="",D872=""),"",ROUND(MOD(D872-C872,1)*24,2))</f>
        <v/>
      </c>
      <c r="I872" s="18"/>
      <c r="J872" s="18"/>
      <c r="K872" s="18"/>
    </row>
    <row r="873" customFormat="false" ht="15" hidden="false" customHeight="false" outlineLevel="0" collapsed="false">
      <c r="A873" s="17"/>
      <c r="B873" s="18"/>
      <c r="C873" s="19"/>
      <c r="D873" s="19"/>
      <c r="E873" s="18"/>
      <c r="F873" s="18"/>
      <c r="G873" s="13" t="str">
        <f aca="false">IF(F873="","",IFERROR(INDEX(Metas!$B$5:$B$54,MATCH(F873,Metas!$A$5:$A$54,0)),"⚠ ID de meta no existe"))</f>
        <v/>
      </c>
      <c r="H873" s="16" t="str">
        <f aca="false">IF(OR(C873="",D873=""),"",ROUND(MOD(D873-C873,1)*24,2))</f>
        <v/>
      </c>
      <c r="I873" s="18"/>
      <c r="J873" s="18"/>
      <c r="K873" s="18"/>
    </row>
    <row r="874" customFormat="false" ht="15" hidden="false" customHeight="false" outlineLevel="0" collapsed="false">
      <c r="A874" s="17"/>
      <c r="B874" s="18"/>
      <c r="C874" s="19"/>
      <c r="D874" s="19"/>
      <c r="E874" s="18"/>
      <c r="F874" s="18"/>
      <c r="G874" s="13" t="str">
        <f aca="false">IF(F874="","",IFERROR(INDEX(Metas!$B$5:$B$54,MATCH(F874,Metas!$A$5:$A$54,0)),"⚠ ID de meta no existe"))</f>
        <v/>
      </c>
      <c r="H874" s="16" t="str">
        <f aca="false">IF(OR(C874="",D874=""),"",ROUND(MOD(D874-C874,1)*24,2))</f>
        <v/>
      </c>
      <c r="I874" s="18"/>
      <c r="J874" s="18"/>
      <c r="K874" s="18"/>
    </row>
    <row r="875" customFormat="false" ht="15" hidden="false" customHeight="false" outlineLevel="0" collapsed="false">
      <c r="A875" s="17"/>
      <c r="B875" s="18"/>
      <c r="C875" s="19"/>
      <c r="D875" s="19"/>
      <c r="E875" s="18"/>
      <c r="F875" s="18"/>
      <c r="G875" s="13" t="str">
        <f aca="false">IF(F875="","",IFERROR(INDEX(Metas!$B$5:$B$54,MATCH(F875,Metas!$A$5:$A$54,0)),"⚠ ID de meta no existe"))</f>
        <v/>
      </c>
      <c r="H875" s="16" t="str">
        <f aca="false">IF(OR(C875="",D875=""),"",ROUND(MOD(D875-C875,1)*24,2))</f>
        <v/>
      </c>
      <c r="I875" s="18"/>
      <c r="J875" s="18"/>
      <c r="K875" s="18"/>
    </row>
    <row r="876" customFormat="false" ht="15" hidden="false" customHeight="false" outlineLevel="0" collapsed="false">
      <c r="A876" s="17"/>
      <c r="B876" s="18"/>
      <c r="C876" s="19"/>
      <c r="D876" s="19"/>
      <c r="E876" s="18"/>
      <c r="F876" s="18"/>
      <c r="G876" s="13" t="str">
        <f aca="false">IF(F876="","",IFERROR(INDEX(Metas!$B$5:$B$54,MATCH(F876,Metas!$A$5:$A$54,0)),"⚠ ID de meta no existe"))</f>
        <v/>
      </c>
      <c r="H876" s="16" t="str">
        <f aca="false">IF(OR(C876="",D876=""),"",ROUND(MOD(D876-C876,1)*24,2))</f>
        <v/>
      </c>
      <c r="I876" s="18"/>
      <c r="J876" s="18"/>
      <c r="K876" s="18"/>
    </row>
    <row r="877" customFormat="false" ht="15" hidden="false" customHeight="false" outlineLevel="0" collapsed="false">
      <c r="A877" s="17"/>
      <c r="B877" s="18"/>
      <c r="C877" s="19"/>
      <c r="D877" s="19"/>
      <c r="E877" s="18"/>
      <c r="F877" s="18"/>
      <c r="G877" s="13" t="str">
        <f aca="false">IF(F877="","",IFERROR(INDEX(Metas!$B$5:$B$54,MATCH(F877,Metas!$A$5:$A$54,0)),"⚠ ID de meta no existe"))</f>
        <v/>
      </c>
      <c r="H877" s="16" t="str">
        <f aca="false">IF(OR(C877="",D877=""),"",ROUND(MOD(D877-C877,1)*24,2))</f>
        <v/>
      </c>
      <c r="I877" s="18"/>
      <c r="J877" s="18"/>
      <c r="K877" s="18"/>
    </row>
    <row r="878" customFormat="false" ht="15" hidden="false" customHeight="false" outlineLevel="0" collapsed="false">
      <c r="A878" s="17"/>
      <c r="B878" s="18"/>
      <c r="C878" s="19"/>
      <c r="D878" s="19"/>
      <c r="E878" s="18"/>
      <c r="F878" s="18"/>
      <c r="G878" s="13" t="str">
        <f aca="false">IF(F878="","",IFERROR(INDEX(Metas!$B$5:$B$54,MATCH(F878,Metas!$A$5:$A$54,0)),"⚠ ID de meta no existe"))</f>
        <v/>
      </c>
      <c r="H878" s="16" t="str">
        <f aca="false">IF(OR(C878="",D878=""),"",ROUND(MOD(D878-C878,1)*24,2))</f>
        <v/>
      </c>
      <c r="I878" s="18"/>
      <c r="J878" s="18"/>
      <c r="K878" s="18"/>
    </row>
    <row r="879" customFormat="false" ht="15" hidden="false" customHeight="false" outlineLevel="0" collapsed="false">
      <c r="A879" s="17"/>
      <c r="B879" s="18"/>
      <c r="C879" s="19"/>
      <c r="D879" s="19"/>
      <c r="E879" s="18"/>
      <c r="F879" s="18"/>
      <c r="G879" s="13" t="str">
        <f aca="false">IF(F879="","",IFERROR(INDEX(Metas!$B$5:$B$54,MATCH(F879,Metas!$A$5:$A$54,0)),"⚠ ID de meta no existe"))</f>
        <v/>
      </c>
      <c r="H879" s="16" t="str">
        <f aca="false">IF(OR(C879="",D879=""),"",ROUND(MOD(D879-C879,1)*24,2))</f>
        <v/>
      </c>
      <c r="I879" s="18"/>
      <c r="J879" s="18"/>
      <c r="K879" s="18"/>
    </row>
    <row r="880" customFormat="false" ht="15" hidden="false" customHeight="false" outlineLevel="0" collapsed="false">
      <c r="A880" s="17"/>
      <c r="B880" s="18"/>
      <c r="C880" s="19"/>
      <c r="D880" s="19"/>
      <c r="E880" s="18"/>
      <c r="F880" s="18"/>
      <c r="G880" s="13" t="str">
        <f aca="false">IF(F880="","",IFERROR(INDEX(Metas!$B$5:$B$54,MATCH(F880,Metas!$A$5:$A$54,0)),"⚠ ID de meta no existe"))</f>
        <v/>
      </c>
      <c r="H880" s="16" t="str">
        <f aca="false">IF(OR(C880="",D880=""),"",ROUND(MOD(D880-C880,1)*24,2))</f>
        <v/>
      </c>
      <c r="I880" s="18"/>
      <c r="J880" s="18"/>
      <c r="K880" s="18"/>
    </row>
    <row r="881" customFormat="false" ht="15" hidden="false" customHeight="false" outlineLevel="0" collapsed="false">
      <c r="A881" s="17"/>
      <c r="B881" s="18"/>
      <c r="C881" s="19"/>
      <c r="D881" s="19"/>
      <c r="E881" s="18"/>
      <c r="F881" s="18"/>
      <c r="G881" s="13" t="str">
        <f aca="false">IF(F881="","",IFERROR(INDEX(Metas!$B$5:$B$54,MATCH(F881,Metas!$A$5:$A$54,0)),"⚠ ID de meta no existe"))</f>
        <v/>
      </c>
      <c r="H881" s="16" t="str">
        <f aca="false">IF(OR(C881="",D881=""),"",ROUND(MOD(D881-C881,1)*24,2))</f>
        <v/>
      </c>
      <c r="I881" s="18"/>
      <c r="J881" s="18"/>
      <c r="K881" s="18"/>
    </row>
    <row r="882" customFormat="false" ht="15" hidden="false" customHeight="false" outlineLevel="0" collapsed="false">
      <c r="A882" s="17"/>
      <c r="B882" s="18"/>
      <c r="C882" s="19"/>
      <c r="D882" s="19"/>
      <c r="E882" s="18"/>
      <c r="F882" s="18"/>
      <c r="G882" s="13" t="str">
        <f aca="false">IF(F882="","",IFERROR(INDEX(Metas!$B$5:$B$54,MATCH(F882,Metas!$A$5:$A$54,0)),"⚠ ID de meta no existe"))</f>
        <v/>
      </c>
      <c r="H882" s="16" t="str">
        <f aca="false">IF(OR(C882="",D882=""),"",ROUND(MOD(D882-C882,1)*24,2))</f>
        <v/>
      </c>
      <c r="I882" s="18"/>
      <c r="J882" s="18"/>
      <c r="K882" s="18"/>
    </row>
    <row r="883" customFormat="false" ht="15" hidden="false" customHeight="false" outlineLevel="0" collapsed="false">
      <c r="A883" s="17"/>
      <c r="B883" s="18"/>
      <c r="C883" s="19"/>
      <c r="D883" s="19"/>
      <c r="E883" s="18"/>
      <c r="F883" s="18"/>
      <c r="G883" s="13" t="str">
        <f aca="false">IF(F883="","",IFERROR(INDEX(Metas!$B$5:$B$54,MATCH(F883,Metas!$A$5:$A$54,0)),"⚠ ID de meta no existe"))</f>
        <v/>
      </c>
      <c r="H883" s="16" t="str">
        <f aca="false">IF(OR(C883="",D883=""),"",ROUND(MOD(D883-C883,1)*24,2))</f>
        <v/>
      </c>
      <c r="I883" s="18"/>
      <c r="J883" s="18"/>
      <c r="K883" s="18"/>
    </row>
    <row r="884" customFormat="false" ht="15" hidden="false" customHeight="false" outlineLevel="0" collapsed="false">
      <c r="A884" s="17"/>
      <c r="B884" s="18"/>
      <c r="C884" s="19"/>
      <c r="D884" s="19"/>
      <c r="E884" s="18"/>
      <c r="F884" s="18"/>
      <c r="G884" s="13" t="str">
        <f aca="false">IF(F884="","",IFERROR(INDEX(Metas!$B$5:$B$54,MATCH(F884,Metas!$A$5:$A$54,0)),"⚠ ID de meta no existe"))</f>
        <v/>
      </c>
      <c r="H884" s="16" t="str">
        <f aca="false">IF(OR(C884="",D884=""),"",ROUND(MOD(D884-C884,1)*24,2))</f>
        <v/>
      </c>
      <c r="I884" s="18"/>
      <c r="J884" s="18"/>
      <c r="K884" s="18"/>
    </row>
    <row r="885" customFormat="false" ht="15" hidden="false" customHeight="false" outlineLevel="0" collapsed="false">
      <c r="A885" s="17"/>
      <c r="B885" s="18"/>
      <c r="C885" s="19"/>
      <c r="D885" s="19"/>
      <c r="E885" s="18"/>
      <c r="F885" s="18"/>
      <c r="G885" s="13" t="str">
        <f aca="false">IF(F885="","",IFERROR(INDEX(Metas!$B$5:$B$54,MATCH(F885,Metas!$A$5:$A$54,0)),"⚠ ID de meta no existe"))</f>
        <v/>
      </c>
      <c r="H885" s="16" t="str">
        <f aca="false">IF(OR(C885="",D885=""),"",ROUND(MOD(D885-C885,1)*24,2))</f>
        <v/>
      </c>
      <c r="I885" s="18"/>
      <c r="J885" s="18"/>
      <c r="K885" s="18"/>
    </row>
    <row r="886" customFormat="false" ht="15" hidden="false" customHeight="false" outlineLevel="0" collapsed="false">
      <c r="A886" s="17"/>
      <c r="B886" s="18"/>
      <c r="C886" s="19"/>
      <c r="D886" s="19"/>
      <c r="E886" s="18"/>
      <c r="F886" s="18"/>
      <c r="G886" s="13" t="str">
        <f aca="false">IF(F886="","",IFERROR(INDEX(Metas!$B$5:$B$54,MATCH(F886,Metas!$A$5:$A$54,0)),"⚠ ID de meta no existe"))</f>
        <v/>
      </c>
      <c r="H886" s="16" t="str">
        <f aca="false">IF(OR(C886="",D886=""),"",ROUND(MOD(D886-C886,1)*24,2))</f>
        <v/>
      </c>
      <c r="I886" s="18"/>
      <c r="J886" s="18"/>
      <c r="K886" s="18"/>
    </row>
    <row r="887" customFormat="false" ht="15" hidden="false" customHeight="false" outlineLevel="0" collapsed="false">
      <c r="A887" s="17"/>
      <c r="B887" s="18"/>
      <c r="C887" s="19"/>
      <c r="D887" s="19"/>
      <c r="E887" s="18"/>
      <c r="F887" s="18"/>
      <c r="G887" s="13" t="str">
        <f aca="false">IF(F887="","",IFERROR(INDEX(Metas!$B$5:$B$54,MATCH(F887,Metas!$A$5:$A$54,0)),"⚠ ID de meta no existe"))</f>
        <v/>
      </c>
      <c r="H887" s="16" t="str">
        <f aca="false">IF(OR(C887="",D887=""),"",ROUND(MOD(D887-C887,1)*24,2))</f>
        <v/>
      </c>
      <c r="I887" s="18"/>
      <c r="J887" s="18"/>
      <c r="K887" s="18"/>
    </row>
    <row r="888" customFormat="false" ht="15" hidden="false" customHeight="false" outlineLevel="0" collapsed="false">
      <c r="A888" s="17"/>
      <c r="B888" s="18"/>
      <c r="C888" s="19"/>
      <c r="D888" s="19"/>
      <c r="E888" s="18"/>
      <c r="F888" s="18"/>
      <c r="G888" s="13" t="str">
        <f aca="false">IF(F888="","",IFERROR(INDEX(Metas!$B$5:$B$54,MATCH(F888,Metas!$A$5:$A$54,0)),"⚠ ID de meta no existe"))</f>
        <v/>
      </c>
      <c r="H888" s="16" t="str">
        <f aca="false">IF(OR(C888="",D888=""),"",ROUND(MOD(D888-C888,1)*24,2))</f>
        <v/>
      </c>
      <c r="I888" s="18"/>
      <c r="J888" s="18"/>
      <c r="K888" s="18"/>
    </row>
    <row r="889" customFormat="false" ht="15" hidden="false" customHeight="false" outlineLevel="0" collapsed="false">
      <c r="A889" s="17"/>
      <c r="B889" s="18"/>
      <c r="C889" s="19"/>
      <c r="D889" s="19"/>
      <c r="E889" s="18"/>
      <c r="F889" s="18"/>
      <c r="G889" s="13" t="str">
        <f aca="false">IF(F889="","",IFERROR(INDEX(Metas!$B$5:$B$54,MATCH(F889,Metas!$A$5:$A$54,0)),"⚠ ID de meta no existe"))</f>
        <v/>
      </c>
      <c r="H889" s="16" t="str">
        <f aca="false">IF(OR(C889="",D889=""),"",ROUND(MOD(D889-C889,1)*24,2))</f>
        <v/>
      </c>
      <c r="I889" s="18"/>
      <c r="J889" s="18"/>
      <c r="K889" s="18"/>
    </row>
    <row r="890" customFormat="false" ht="15" hidden="false" customHeight="false" outlineLevel="0" collapsed="false">
      <c r="A890" s="17"/>
      <c r="B890" s="18"/>
      <c r="C890" s="19"/>
      <c r="D890" s="19"/>
      <c r="E890" s="18"/>
      <c r="F890" s="18"/>
      <c r="G890" s="13" t="str">
        <f aca="false">IF(F890="","",IFERROR(INDEX(Metas!$B$5:$B$54,MATCH(F890,Metas!$A$5:$A$54,0)),"⚠ ID de meta no existe"))</f>
        <v/>
      </c>
      <c r="H890" s="16" t="str">
        <f aca="false">IF(OR(C890="",D890=""),"",ROUND(MOD(D890-C890,1)*24,2))</f>
        <v/>
      </c>
      <c r="I890" s="18"/>
      <c r="J890" s="18"/>
      <c r="K890" s="18"/>
    </row>
    <row r="891" customFormat="false" ht="15" hidden="false" customHeight="false" outlineLevel="0" collapsed="false">
      <c r="A891" s="17"/>
      <c r="B891" s="18"/>
      <c r="C891" s="19"/>
      <c r="D891" s="19"/>
      <c r="E891" s="18"/>
      <c r="F891" s="18"/>
      <c r="G891" s="13" t="str">
        <f aca="false">IF(F891="","",IFERROR(INDEX(Metas!$B$5:$B$54,MATCH(F891,Metas!$A$5:$A$54,0)),"⚠ ID de meta no existe"))</f>
        <v/>
      </c>
      <c r="H891" s="16" t="str">
        <f aca="false">IF(OR(C891="",D891=""),"",ROUND(MOD(D891-C891,1)*24,2))</f>
        <v/>
      </c>
      <c r="I891" s="18"/>
      <c r="J891" s="18"/>
      <c r="K891" s="18"/>
    </row>
    <row r="892" customFormat="false" ht="15" hidden="false" customHeight="false" outlineLevel="0" collapsed="false">
      <c r="A892" s="17"/>
      <c r="B892" s="18"/>
      <c r="C892" s="19"/>
      <c r="D892" s="19"/>
      <c r="E892" s="18"/>
      <c r="F892" s="18"/>
      <c r="G892" s="13" t="str">
        <f aca="false">IF(F892="","",IFERROR(INDEX(Metas!$B$5:$B$54,MATCH(F892,Metas!$A$5:$A$54,0)),"⚠ ID de meta no existe"))</f>
        <v/>
      </c>
      <c r="H892" s="16" t="str">
        <f aca="false">IF(OR(C892="",D892=""),"",ROUND(MOD(D892-C892,1)*24,2))</f>
        <v/>
      </c>
      <c r="I892" s="18"/>
      <c r="J892" s="18"/>
      <c r="K892" s="18"/>
    </row>
    <row r="893" customFormat="false" ht="15" hidden="false" customHeight="false" outlineLevel="0" collapsed="false">
      <c r="A893" s="17"/>
      <c r="B893" s="18"/>
      <c r="C893" s="19"/>
      <c r="D893" s="19"/>
      <c r="E893" s="18"/>
      <c r="F893" s="18"/>
      <c r="G893" s="13" t="str">
        <f aca="false">IF(F893="","",IFERROR(INDEX(Metas!$B$5:$B$54,MATCH(F893,Metas!$A$5:$A$54,0)),"⚠ ID de meta no existe"))</f>
        <v/>
      </c>
      <c r="H893" s="16" t="str">
        <f aca="false">IF(OR(C893="",D893=""),"",ROUND(MOD(D893-C893,1)*24,2))</f>
        <v/>
      </c>
      <c r="I893" s="18"/>
      <c r="J893" s="18"/>
      <c r="K893" s="18"/>
    </row>
    <row r="894" customFormat="false" ht="15" hidden="false" customHeight="false" outlineLevel="0" collapsed="false">
      <c r="A894" s="17"/>
      <c r="B894" s="18"/>
      <c r="C894" s="19"/>
      <c r="D894" s="19"/>
      <c r="E894" s="18"/>
      <c r="F894" s="18"/>
      <c r="G894" s="13" t="str">
        <f aca="false">IF(F894="","",IFERROR(INDEX(Metas!$B$5:$B$54,MATCH(F894,Metas!$A$5:$A$54,0)),"⚠ ID de meta no existe"))</f>
        <v/>
      </c>
      <c r="H894" s="16" t="str">
        <f aca="false">IF(OR(C894="",D894=""),"",ROUND(MOD(D894-C894,1)*24,2))</f>
        <v/>
      </c>
      <c r="I894" s="18"/>
      <c r="J894" s="18"/>
      <c r="K894" s="18"/>
    </row>
    <row r="895" customFormat="false" ht="15" hidden="false" customHeight="false" outlineLevel="0" collapsed="false">
      <c r="A895" s="17"/>
      <c r="B895" s="18"/>
      <c r="C895" s="19"/>
      <c r="D895" s="19"/>
      <c r="E895" s="18"/>
      <c r="F895" s="18"/>
      <c r="G895" s="13" t="str">
        <f aca="false">IF(F895="","",IFERROR(INDEX(Metas!$B$5:$B$54,MATCH(F895,Metas!$A$5:$A$54,0)),"⚠ ID de meta no existe"))</f>
        <v/>
      </c>
      <c r="H895" s="16" t="str">
        <f aca="false">IF(OR(C895="",D895=""),"",ROUND(MOD(D895-C895,1)*24,2))</f>
        <v/>
      </c>
      <c r="I895" s="18"/>
      <c r="J895" s="18"/>
      <c r="K895" s="18"/>
    </row>
    <row r="896" customFormat="false" ht="15" hidden="false" customHeight="false" outlineLevel="0" collapsed="false">
      <c r="A896" s="17"/>
      <c r="B896" s="18"/>
      <c r="C896" s="19"/>
      <c r="D896" s="19"/>
      <c r="E896" s="18"/>
      <c r="F896" s="18"/>
      <c r="G896" s="13" t="str">
        <f aca="false">IF(F896="","",IFERROR(INDEX(Metas!$B$5:$B$54,MATCH(F896,Metas!$A$5:$A$54,0)),"⚠ ID de meta no existe"))</f>
        <v/>
      </c>
      <c r="H896" s="16" t="str">
        <f aca="false">IF(OR(C896="",D896=""),"",ROUND(MOD(D896-C896,1)*24,2))</f>
        <v/>
      </c>
      <c r="I896" s="18"/>
      <c r="J896" s="18"/>
      <c r="K896" s="18"/>
    </row>
    <row r="897" customFormat="false" ht="15" hidden="false" customHeight="false" outlineLevel="0" collapsed="false">
      <c r="A897" s="17"/>
      <c r="B897" s="18"/>
      <c r="C897" s="19"/>
      <c r="D897" s="19"/>
      <c r="E897" s="18"/>
      <c r="F897" s="18"/>
      <c r="G897" s="13" t="str">
        <f aca="false">IF(F897="","",IFERROR(INDEX(Metas!$B$5:$B$54,MATCH(F897,Metas!$A$5:$A$54,0)),"⚠ ID de meta no existe"))</f>
        <v/>
      </c>
      <c r="H897" s="16" t="str">
        <f aca="false">IF(OR(C897="",D897=""),"",ROUND(MOD(D897-C897,1)*24,2))</f>
        <v/>
      </c>
      <c r="I897" s="18"/>
      <c r="J897" s="18"/>
      <c r="K897" s="18"/>
    </row>
    <row r="898" customFormat="false" ht="15" hidden="false" customHeight="false" outlineLevel="0" collapsed="false">
      <c r="A898" s="17"/>
      <c r="B898" s="18"/>
      <c r="C898" s="19"/>
      <c r="D898" s="19"/>
      <c r="E898" s="18"/>
      <c r="F898" s="18"/>
      <c r="G898" s="13" t="str">
        <f aca="false">IF(F898="","",IFERROR(INDEX(Metas!$B$5:$B$54,MATCH(F898,Metas!$A$5:$A$54,0)),"⚠ ID de meta no existe"))</f>
        <v/>
      </c>
      <c r="H898" s="16" t="str">
        <f aca="false">IF(OR(C898="",D898=""),"",ROUND(MOD(D898-C898,1)*24,2))</f>
        <v/>
      </c>
      <c r="I898" s="18"/>
      <c r="J898" s="18"/>
      <c r="K898" s="18"/>
    </row>
    <row r="899" customFormat="false" ht="15" hidden="false" customHeight="false" outlineLevel="0" collapsed="false">
      <c r="A899" s="17"/>
      <c r="B899" s="18"/>
      <c r="C899" s="19"/>
      <c r="D899" s="19"/>
      <c r="E899" s="18"/>
      <c r="F899" s="18"/>
      <c r="G899" s="13" t="str">
        <f aca="false">IF(F899="","",IFERROR(INDEX(Metas!$B$5:$B$54,MATCH(F899,Metas!$A$5:$A$54,0)),"⚠ ID de meta no existe"))</f>
        <v/>
      </c>
      <c r="H899" s="16" t="str">
        <f aca="false">IF(OR(C899="",D899=""),"",ROUND(MOD(D899-C899,1)*24,2))</f>
        <v/>
      </c>
      <c r="I899" s="18"/>
      <c r="J899" s="18"/>
      <c r="K899" s="18"/>
    </row>
    <row r="900" customFormat="false" ht="15" hidden="false" customHeight="false" outlineLevel="0" collapsed="false">
      <c r="A900" s="17"/>
      <c r="B900" s="18"/>
      <c r="C900" s="19"/>
      <c r="D900" s="19"/>
      <c r="E900" s="18"/>
      <c r="F900" s="18"/>
      <c r="G900" s="13" t="str">
        <f aca="false">IF(F900="","",IFERROR(INDEX(Metas!$B$5:$B$54,MATCH(F900,Metas!$A$5:$A$54,0)),"⚠ ID de meta no existe"))</f>
        <v/>
      </c>
      <c r="H900" s="16" t="str">
        <f aca="false">IF(OR(C900="",D900=""),"",ROUND(MOD(D900-C900,1)*24,2))</f>
        <v/>
      </c>
      <c r="I900" s="18"/>
      <c r="J900" s="18"/>
      <c r="K900" s="18"/>
    </row>
    <row r="901" customFormat="false" ht="15" hidden="false" customHeight="false" outlineLevel="0" collapsed="false">
      <c r="A901" s="17"/>
      <c r="B901" s="18"/>
      <c r="C901" s="19"/>
      <c r="D901" s="19"/>
      <c r="E901" s="18"/>
      <c r="F901" s="18"/>
      <c r="G901" s="13" t="str">
        <f aca="false">IF(F901="","",IFERROR(INDEX(Metas!$B$5:$B$54,MATCH(F901,Metas!$A$5:$A$54,0)),"⚠ ID de meta no existe"))</f>
        <v/>
      </c>
      <c r="H901" s="16" t="str">
        <f aca="false">IF(OR(C901="",D901=""),"",ROUND(MOD(D901-C901,1)*24,2))</f>
        <v/>
      </c>
      <c r="I901" s="18"/>
      <c r="J901" s="18"/>
      <c r="K901" s="18"/>
    </row>
    <row r="902" customFormat="false" ht="15" hidden="false" customHeight="false" outlineLevel="0" collapsed="false">
      <c r="A902" s="17"/>
      <c r="B902" s="18"/>
      <c r="C902" s="19"/>
      <c r="D902" s="19"/>
      <c r="E902" s="18"/>
      <c r="F902" s="18"/>
      <c r="G902" s="13" t="str">
        <f aca="false">IF(F902="","",IFERROR(INDEX(Metas!$B$5:$B$54,MATCH(F902,Metas!$A$5:$A$54,0)),"⚠ ID de meta no existe"))</f>
        <v/>
      </c>
      <c r="H902" s="16" t="str">
        <f aca="false">IF(OR(C902="",D902=""),"",ROUND(MOD(D902-C902,1)*24,2))</f>
        <v/>
      </c>
      <c r="I902" s="18"/>
      <c r="J902" s="18"/>
      <c r="K902" s="18"/>
    </row>
    <row r="903" customFormat="false" ht="15" hidden="false" customHeight="false" outlineLevel="0" collapsed="false">
      <c r="A903" s="17"/>
      <c r="B903" s="18"/>
      <c r="C903" s="19"/>
      <c r="D903" s="19"/>
      <c r="E903" s="18"/>
      <c r="F903" s="18"/>
      <c r="G903" s="13" t="str">
        <f aca="false">IF(F903="","",IFERROR(INDEX(Metas!$B$5:$B$54,MATCH(F903,Metas!$A$5:$A$54,0)),"⚠ ID de meta no existe"))</f>
        <v/>
      </c>
      <c r="H903" s="16" t="str">
        <f aca="false">IF(OR(C903="",D903=""),"",ROUND(MOD(D903-C903,1)*24,2))</f>
        <v/>
      </c>
      <c r="I903" s="18"/>
      <c r="J903" s="18"/>
      <c r="K903" s="18"/>
    </row>
    <row r="904" customFormat="false" ht="15" hidden="false" customHeight="false" outlineLevel="0" collapsed="false">
      <c r="A904" s="17"/>
      <c r="B904" s="18"/>
      <c r="C904" s="19"/>
      <c r="D904" s="19"/>
      <c r="E904" s="18"/>
      <c r="F904" s="18"/>
      <c r="G904" s="13" t="str">
        <f aca="false">IF(F904="","",IFERROR(INDEX(Metas!$B$5:$B$54,MATCH(F904,Metas!$A$5:$A$54,0)),"⚠ ID de meta no existe"))</f>
        <v/>
      </c>
      <c r="H904" s="16" t="str">
        <f aca="false">IF(OR(C904="",D904=""),"",ROUND(MOD(D904-C904,1)*24,2))</f>
        <v/>
      </c>
      <c r="I904" s="18"/>
      <c r="J904" s="18"/>
      <c r="K904" s="18"/>
    </row>
    <row r="905" customFormat="false" ht="15" hidden="false" customHeight="false" outlineLevel="0" collapsed="false">
      <c r="A905" s="17"/>
      <c r="B905" s="18"/>
      <c r="C905" s="19"/>
      <c r="D905" s="19"/>
      <c r="E905" s="18"/>
      <c r="F905" s="18"/>
      <c r="G905" s="13" t="str">
        <f aca="false">IF(F905="","",IFERROR(INDEX(Metas!$B$5:$B$54,MATCH(F905,Metas!$A$5:$A$54,0)),"⚠ ID de meta no existe"))</f>
        <v/>
      </c>
      <c r="H905" s="16" t="str">
        <f aca="false">IF(OR(C905="",D905=""),"",ROUND(MOD(D905-C905,1)*24,2))</f>
        <v/>
      </c>
      <c r="I905" s="18"/>
      <c r="J905" s="18"/>
      <c r="K905" s="18"/>
    </row>
    <row r="906" customFormat="false" ht="15" hidden="false" customHeight="false" outlineLevel="0" collapsed="false">
      <c r="A906" s="17"/>
      <c r="B906" s="18"/>
      <c r="C906" s="19"/>
      <c r="D906" s="19"/>
      <c r="E906" s="18"/>
      <c r="F906" s="18"/>
      <c r="G906" s="13" t="str">
        <f aca="false">IF(F906="","",IFERROR(INDEX(Metas!$B$5:$B$54,MATCH(F906,Metas!$A$5:$A$54,0)),"⚠ ID de meta no existe"))</f>
        <v/>
      </c>
      <c r="H906" s="16" t="str">
        <f aca="false">IF(OR(C906="",D906=""),"",ROUND(MOD(D906-C906,1)*24,2))</f>
        <v/>
      </c>
      <c r="I906" s="18"/>
      <c r="J906" s="18"/>
      <c r="K906" s="18"/>
    </row>
    <row r="907" customFormat="false" ht="15" hidden="false" customHeight="false" outlineLevel="0" collapsed="false">
      <c r="A907" s="17"/>
      <c r="B907" s="18"/>
      <c r="C907" s="19"/>
      <c r="D907" s="19"/>
      <c r="E907" s="18"/>
      <c r="F907" s="18"/>
      <c r="G907" s="13" t="str">
        <f aca="false">IF(F907="","",IFERROR(INDEX(Metas!$B$5:$B$54,MATCH(F907,Metas!$A$5:$A$54,0)),"⚠ ID de meta no existe"))</f>
        <v/>
      </c>
      <c r="H907" s="16" t="str">
        <f aca="false">IF(OR(C907="",D907=""),"",ROUND(MOD(D907-C907,1)*24,2))</f>
        <v/>
      </c>
      <c r="I907" s="18"/>
      <c r="J907" s="18"/>
      <c r="K907" s="18"/>
    </row>
    <row r="908" customFormat="false" ht="15" hidden="false" customHeight="false" outlineLevel="0" collapsed="false">
      <c r="A908" s="17"/>
      <c r="B908" s="18"/>
      <c r="C908" s="19"/>
      <c r="D908" s="19"/>
      <c r="E908" s="18"/>
      <c r="F908" s="18"/>
      <c r="G908" s="13" t="str">
        <f aca="false">IF(F908="","",IFERROR(INDEX(Metas!$B$5:$B$54,MATCH(F908,Metas!$A$5:$A$54,0)),"⚠ ID de meta no existe"))</f>
        <v/>
      </c>
      <c r="H908" s="16" t="str">
        <f aca="false">IF(OR(C908="",D908=""),"",ROUND(MOD(D908-C908,1)*24,2))</f>
        <v/>
      </c>
      <c r="I908" s="18"/>
      <c r="J908" s="18"/>
      <c r="K908" s="18"/>
    </row>
    <row r="909" customFormat="false" ht="15" hidden="false" customHeight="false" outlineLevel="0" collapsed="false">
      <c r="A909" s="17"/>
      <c r="B909" s="18"/>
      <c r="C909" s="19"/>
      <c r="D909" s="19"/>
      <c r="E909" s="18"/>
      <c r="F909" s="18"/>
      <c r="G909" s="13" t="str">
        <f aca="false">IF(F909="","",IFERROR(INDEX(Metas!$B$5:$B$54,MATCH(F909,Metas!$A$5:$A$54,0)),"⚠ ID de meta no existe"))</f>
        <v/>
      </c>
      <c r="H909" s="16" t="str">
        <f aca="false">IF(OR(C909="",D909=""),"",ROUND(MOD(D909-C909,1)*24,2))</f>
        <v/>
      </c>
      <c r="I909" s="18"/>
      <c r="J909" s="18"/>
      <c r="K909" s="18"/>
    </row>
    <row r="910" customFormat="false" ht="15" hidden="false" customHeight="false" outlineLevel="0" collapsed="false">
      <c r="A910" s="17"/>
      <c r="B910" s="18"/>
      <c r="C910" s="19"/>
      <c r="D910" s="19"/>
      <c r="E910" s="18"/>
      <c r="F910" s="18"/>
      <c r="G910" s="13" t="str">
        <f aca="false">IF(F910="","",IFERROR(INDEX(Metas!$B$5:$B$54,MATCH(F910,Metas!$A$5:$A$54,0)),"⚠ ID de meta no existe"))</f>
        <v/>
      </c>
      <c r="H910" s="16" t="str">
        <f aca="false">IF(OR(C910="",D910=""),"",ROUND(MOD(D910-C910,1)*24,2))</f>
        <v/>
      </c>
      <c r="I910" s="18"/>
      <c r="J910" s="18"/>
      <c r="K910" s="18"/>
    </row>
    <row r="911" customFormat="false" ht="15" hidden="false" customHeight="false" outlineLevel="0" collapsed="false">
      <c r="A911" s="17"/>
      <c r="B911" s="18"/>
      <c r="C911" s="19"/>
      <c r="D911" s="19"/>
      <c r="E911" s="18"/>
      <c r="F911" s="18"/>
      <c r="G911" s="13" t="str">
        <f aca="false">IF(F911="","",IFERROR(INDEX(Metas!$B$5:$B$54,MATCH(F911,Metas!$A$5:$A$54,0)),"⚠ ID de meta no existe"))</f>
        <v/>
      </c>
      <c r="H911" s="16" t="str">
        <f aca="false">IF(OR(C911="",D911=""),"",ROUND(MOD(D911-C911,1)*24,2))</f>
        <v/>
      </c>
      <c r="I911" s="18"/>
      <c r="J911" s="18"/>
      <c r="K911" s="18"/>
    </row>
    <row r="912" customFormat="false" ht="15" hidden="false" customHeight="false" outlineLevel="0" collapsed="false">
      <c r="A912" s="17"/>
      <c r="B912" s="18"/>
      <c r="C912" s="19"/>
      <c r="D912" s="19"/>
      <c r="E912" s="18"/>
      <c r="F912" s="18"/>
      <c r="G912" s="13" t="str">
        <f aca="false">IF(F912="","",IFERROR(INDEX(Metas!$B$5:$B$54,MATCH(F912,Metas!$A$5:$A$54,0)),"⚠ ID de meta no existe"))</f>
        <v/>
      </c>
      <c r="H912" s="16" t="str">
        <f aca="false">IF(OR(C912="",D912=""),"",ROUND(MOD(D912-C912,1)*24,2))</f>
        <v/>
      </c>
      <c r="I912" s="18"/>
      <c r="J912" s="18"/>
      <c r="K912" s="18"/>
    </row>
    <row r="913" customFormat="false" ht="15" hidden="false" customHeight="false" outlineLevel="0" collapsed="false">
      <c r="A913" s="17"/>
      <c r="B913" s="18"/>
      <c r="C913" s="19"/>
      <c r="D913" s="19"/>
      <c r="E913" s="18"/>
      <c r="F913" s="18"/>
      <c r="G913" s="13" t="str">
        <f aca="false">IF(F913="","",IFERROR(INDEX(Metas!$B$5:$B$54,MATCH(F913,Metas!$A$5:$A$54,0)),"⚠ ID de meta no existe"))</f>
        <v/>
      </c>
      <c r="H913" s="16" t="str">
        <f aca="false">IF(OR(C913="",D913=""),"",ROUND(MOD(D913-C913,1)*24,2))</f>
        <v/>
      </c>
      <c r="I913" s="18"/>
      <c r="J913" s="18"/>
      <c r="K913" s="18"/>
    </row>
    <row r="914" customFormat="false" ht="15" hidden="false" customHeight="false" outlineLevel="0" collapsed="false">
      <c r="A914" s="17"/>
      <c r="B914" s="18"/>
      <c r="C914" s="19"/>
      <c r="D914" s="19"/>
      <c r="E914" s="18"/>
      <c r="F914" s="18"/>
      <c r="G914" s="13" t="str">
        <f aca="false">IF(F914="","",IFERROR(INDEX(Metas!$B$5:$B$54,MATCH(F914,Metas!$A$5:$A$54,0)),"⚠ ID de meta no existe"))</f>
        <v/>
      </c>
      <c r="H914" s="16" t="str">
        <f aca="false">IF(OR(C914="",D914=""),"",ROUND(MOD(D914-C914,1)*24,2))</f>
        <v/>
      </c>
      <c r="I914" s="18"/>
      <c r="J914" s="18"/>
      <c r="K914" s="18"/>
    </row>
    <row r="915" customFormat="false" ht="15" hidden="false" customHeight="false" outlineLevel="0" collapsed="false">
      <c r="A915" s="17"/>
      <c r="B915" s="18"/>
      <c r="C915" s="19"/>
      <c r="D915" s="19"/>
      <c r="E915" s="18"/>
      <c r="F915" s="18"/>
      <c r="G915" s="13" t="str">
        <f aca="false">IF(F915="","",IFERROR(INDEX(Metas!$B$5:$B$54,MATCH(F915,Metas!$A$5:$A$54,0)),"⚠ ID de meta no existe"))</f>
        <v/>
      </c>
      <c r="H915" s="16" t="str">
        <f aca="false">IF(OR(C915="",D915=""),"",ROUND(MOD(D915-C915,1)*24,2))</f>
        <v/>
      </c>
      <c r="I915" s="18"/>
      <c r="J915" s="18"/>
      <c r="K915" s="18"/>
    </row>
    <row r="916" customFormat="false" ht="15" hidden="false" customHeight="false" outlineLevel="0" collapsed="false">
      <c r="A916" s="17"/>
      <c r="B916" s="18"/>
      <c r="C916" s="19"/>
      <c r="D916" s="19"/>
      <c r="E916" s="18"/>
      <c r="F916" s="18"/>
      <c r="G916" s="13" t="str">
        <f aca="false">IF(F916="","",IFERROR(INDEX(Metas!$B$5:$B$54,MATCH(F916,Metas!$A$5:$A$54,0)),"⚠ ID de meta no existe"))</f>
        <v/>
      </c>
      <c r="H916" s="16" t="str">
        <f aca="false">IF(OR(C916="",D916=""),"",ROUND(MOD(D916-C916,1)*24,2))</f>
        <v/>
      </c>
      <c r="I916" s="18"/>
      <c r="J916" s="18"/>
      <c r="K916" s="18"/>
    </row>
    <row r="917" customFormat="false" ht="15" hidden="false" customHeight="false" outlineLevel="0" collapsed="false">
      <c r="A917" s="17"/>
      <c r="B917" s="18"/>
      <c r="C917" s="19"/>
      <c r="D917" s="19"/>
      <c r="E917" s="18"/>
      <c r="F917" s="18"/>
      <c r="G917" s="13" t="str">
        <f aca="false">IF(F917="","",IFERROR(INDEX(Metas!$B$5:$B$54,MATCH(F917,Metas!$A$5:$A$54,0)),"⚠ ID de meta no existe"))</f>
        <v/>
      </c>
      <c r="H917" s="16" t="str">
        <f aca="false">IF(OR(C917="",D917=""),"",ROUND(MOD(D917-C917,1)*24,2))</f>
        <v/>
      </c>
      <c r="I917" s="18"/>
      <c r="J917" s="18"/>
      <c r="K917" s="18"/>
    </row>
    <row r="918" customFormat="false" ht="15" hidden="false" customHeight="false" outlineLevel="0" collapsed="false">
      <c r="A918" s="17"/>
      <c r="B918" s="18"/>
      <c r="C918" s="19"/>
      <c r="D918" s="19"/>
      <c r="E918" s="18"/>
      <c r="F918" s="18"/>
      <c r="G918" s="13" t="str">
        <f aca="false">IF(F918="","",IFERROR(INDEX(Metas!$B$5:$B$54,MATCH(F918,Metas!$A$5:$A$54,0)),"⚠ ID de meta no existe"))</f>
        <v/>
      </c>
      <c r="H918" s="16" t="str">
        <f aca="false">IF(OR(C918="",D918=""),"",ROUND(MOD(D918-C918,1)*24,2))</f>
        <v/>
      </c>
      <c r="I918" s="18"/>
      <c r="J918" s="18"/>
      <c r="K918" s="18"/>
    </row>
    <row r="919" customFormat="false" ht="15" hidden="false" customHeight="false" outlineLevel="0" collapsed="false">
      <c r="A919" s="17"/>
      <c r="B919" s="18"/>
      <c r="C919" s="19"/>
      <c r="D919" s="19"/>
      <c r="E919" s="18"/>
      <c r="F919" s="18"/>
      <c r="G919" s="13" t="str">
        <f aca="false">IF(F919="","",IFERROR(INDEX(Metas!$B$5:$B$54,MATCH(F919,Metas!$A$5:$A$54,0)),"⚠ ID de meta no existe"))</f>
        <v/>
      </c>
      <c r="H919" s="16" t="str">
        <f aca="false">IF(OR(C919="",D919=""),"",ROUND(MOD(D919-C919,1)*24,2))</f>
        <v/>
      </c>
      <c r="I919" s="18"/>
      <c r="J919" s="18"/>
      <c r="K919" s="18"/>
    </row>
    <row r="920" customFormat="false" ht="15" hidden="false" customHeight="false" outlineLevel="0" collapsed="false">
      <c r="A920" s="17"/>
      <c r="B920" s="18"/>
      <c r="C920" s="19"/>
      <c r="D920" s="19"/>
      <c r="E920" s="18"/>
      <c r="F920" s="18"/>
      <c r="G920" s="13" t="str">
        <f aca="false">IF(F920="","",IFERROR(INDEX(Metas!$B$5:$B$54,MATCH(F920,Metas!$A$5:$A$54,0)),"⚠ ID de meta no existe"))</f>
        <v/>
      </c>
      <c r="H920" s="16" t="str">
        <f aca="false">IF(OR(C920="",D920=""),"",ROUND(MOD(D920-C920,1)*24,2))</f>
        <v/>
      </c>
      <c r="I920" s="18"/>
      <c r="J920" s="18"/>
      <c r="K920" s="18"/>
    </row>
    <row r="921" customFormat="false" ht="15" hidden="false" customHeight="false" outlineLevel="0" collapsed="false">
      <c r="A921" s="17"/>
      <c r="B921" s="18"/>
      <c r="C921" s="19"/>
      <c r="D921" s="19"/>
      <c r="E921" s="18"/>
      <c r="F921" s="18"/>
      <c r="G921" s="13" t="str">
        <f aca="false">IF(F921="","",IFERROR(INDEX(Metas!$B$5:$B$54,MATCH(F921,Metas!$A$5:$A$54,0)),"⚠ ID de meta no existe"))</f>
        <v/>
      </c>
      <c r="H921" s="16" t="str">
        <f aca="false">IF(OR(C921="",D921=""),"",ROUND(MOD(D921-C921,1)*24,2))</f>
        <v/>
      </c>
      <c r="I921" s="18"/>
      <c r="J921" s="18"/>
      <c r="K921" s="18"/>
    </row>
    <row r="922" customFormat="false" ht="15" hidden="false" customHeight="false" outlineLevel="0" collapsed="false">
      <c r="A922" s="17"/>
      <c r="B922" s="18"/>
      <c r="C922" s="19"/>
      <c r="D922" s="19"/>
      <c r="E922" s="18"/>
      <c r="F922" s="18"/>
      <c r="G922" s="13" t="str">
        <f aca="false">IF(F922="","",IFERROR(INDEX(Metas!$B$5:$B$54,MATCH(F922,Metas!$A$5:$A$54,0)),"⚠ ID de meta no existe"))</f>
        <v/>
      </c>
      <c r="H922" s="16" t="str">
        <f aca="false">IF(OR(C922="",D922=""),"",ROUND(MOD(D922-C922,1)*24,2))</f>
        <v/>
      </c>
      <c r="I922" s="18"/>
      <c r="J922" s="18"/>
      <c r="K922" s="18"/>
    </row>
    <row r="923" customFormat="false" ht="15" hidden="false" customHeight="false" outlineLevel="0" collapsed="false">
      <c r="A923" s="17"/>
      <c r="B923" s="18"/>
      <c r="C923" s="19"/>
      <c r="D923" s="19"/>
      <c r="E923" s="18"/>
      <c r="F923" s="18"/>
      <c r="G923" s="13" t="str">
        <f aca="false">IF(F923="","",IFERROR(INDEX(Metas!$B$5:$B$54,MATCH(F923,Metas!$A$5:$A$54,0)),"⚠ ID de meta no existe"))</f>
        <v/>
      </c>
      <c r="H923" s="16" t="str">
        <f aca="false">IF(OR(C923="",D923=""),"",ROUND(MOD(D923-C923,1)*24,2))</f>
        <v/>
      </c>
      <c r="I923" s="18"/>
      <c r="J923" s="18"/>
      <c r="K923" s="18"/>
    </row>
    <row r="924" customFormat="false" ht="15" hidden="false" customHeight="false" outlineLevel="0" collapsed="false">
      <c r="A924" s="17"/>
      <c r="B924" s="18"/>
      <c r="C924" s="19"/>
      <c r="D924" s="19"/>
      <c r="E924" s="18"/>
      <c r="F924" s="18"/>
      <c r="G924" s="13" t="str">
        <f aca="false">IF(F924="","",IFERROR(INDEX(Metas!$B$5:$B$54,MATCH(F924,Metas!$A$5:$A$54,0)),"⚠ ID de meta no existe"))</f>
        <v/>
      </c>
      <c r="H924" s="16" t="str">
        <f aca="false">IF(OR(C924="",D924=""),"",ROUND(MOD(D924-C924,1)*24,2))</f>
        <v/>
      </c>
      <c r="I924" s="18"/>
      <c r="J924" s="18"/>
      <c r="K924" s="18"/>
    </row>
    <row r="925" customFormat="false" ht="15" hidden="false" customHeight="false" outlineLevel="0" collapsed="false">
      <c r="A925" s="17"/>
      <c r="B925" s="18"/>
      <c r="C925" s="19"/>
      <c r="D925" s="19"/>
      <c r="E925" s="18"/>
      <c r="F925" s="18"/>
      <c r="G925" s="13" t="str">
        <f aca="false">IF(F925="","",IFERROR(INDEX(Metas!$B$5:$B$54,MATCH(F925,Metas!$A$5:$A$54,0)),"⚠ ID de meta no existe"))</f>
        <v/>
      </c>
      <c r="H925" s="16" t="str">
        <f aca="false">IF(OR(C925="",D925=""),"",ROUND(MOD(D925-C925,1)*24,2))</f>
        <v/>
      </c>
      <c r="I925" s="18"/>
      <c r="J925" s="18"/>
      <c r="K925" s="18"/>
    </row>
    <row r="926" customFormat="false" ht="15" hidden="false" customHeight="false" outlineLevel="0" collapsed="false">
      <c r="A926" s="17"/>
      <c r="B926" s="18"/>
      <c r="C926" s="19"/>
      <c r="D926" s="19"/>
      <c r="E926" s="18"/>
      <c r="F926" s="18"/>
      <c r="G926" s="13" t="str">
        <f aca="false">IF(F926="","",IFERROR(INDEX(Metas!$B$5:$B$54,MATCH(F926,Metas!$A$5:$A$54,0)),"⚠ ID de meta no existe"))</f>
        <v/>
      </c>
      <c r="H926" s="16" t="str">
        <f aca="false">IF(OR(C926="",D926=""),"",ROUND(MOD(D926-C926,1)*24,2))</f>
        <v/>
      </c>
      <c r="I926" s="18"/>
      <c r="J926" s="18"/>
      <c r="K926" s="18"/>
    </row>
    <row r="927" customFormat="false" ht="15" hidden="false" customHeight="false" outlineLevel="0" collapsed="false">
      <c r="A927" s="17"/>
      <c r="B927" s="18"/>
      <c r="C927" s="19"/>
      <c r="D927" s="19"/>
      <c r="E927" s="18"/>
      <c r="F927" s="18"/>
      <c r="G927" s="13" t="str">
        <f aca="false">IF(F927="","",IFERROR(INDEX(Metas!$B$5:$B$54,MATCH(F927,Metas!$A$5:$A$54,0)),"⚠ ID de meta no existe"))</f>
        <v/>
      </c>
      <c r="H927" s="16" t="str">
        <f aca="false">IF(OR(C927="",D927=""),"",ROUND(MOD(D927-C927,1)*24,2))</f>
        <v/>
      </c>
      <c r="I927" s="18"/>
      <c r="J927" s="18"/>
      <c r="K927" s="18"/>
    </row>
    <row r="928" customFormat="false" ht="15" hidden="false" customHeight="false" outlineLevel="0" collapsed="false">
      <c r="A928" s="17"/>
      <c r="B928" s="18"/>
      <c r="C928" s="19"/>
      <c r="D928" s="19"/>
      <c r="E928" s="18"/>
      <c r="F928" s="18"/>
      <c r="G928" s="13" t="str">
        <f aca="false">IF(F928="","",IFERROR(INDEX(Metas!$B$5:$B$54,MATCH(F928,Metas!$A$5:$A$54,0)),"⚠ ID de meta no existe"))</f>
        <v/>
      </c>
      <c r="H928" s="16" t="str">
        <f aca="false">IF(OR(C928="",D928=""),"",ROUND(MOD(D928-C928,1)*24,2))</f>
        <v/>
      </c>
      <c r="I928" s="18"/>
      <c r="J928" s="18"/>
      <c r="K928" s="18"/>
    </row>
    <row r="929" customFormat="false" ht="15" hidden="false" customHeight="false" outlineLevel="0" collapsed="false">
      <c r="A929" s="17"/>
      <c r="B929" s="18"/>
      <c r="C929" s="19"/>
      <c r="D929" s="19"/>
      <c r="E929" s="18"/>
      <c r="F929" s="18"/>
      <c r="G929" s="13" t="str">
        <f aca="false">IF(F929="","",IFERROR(INDEX(Metas!$B$5:$B$54,MATCH(F929,Metas!$A$5:$A$54,0)),"⚠ ID de meta no existe"))</f>
        <v/>
      </c>
      <c r="H929" s="16" t="str">
        <f aca="false">IF(OR(C929="",D929=""),"",ROUND(MOD(D929-C929,1)*24,2))</f>
        <v/>
      </c>
      <c r="I929" s="18"/>
      <c r="J929" s="18"/>
      <c r="K929" s="18"/>
    </row>
    <row r="930" customFormat="false" ht="15" hidden="false" customHeight="false" outlineLevel="0" collapsed="false">
      <c r="A930" s="17"/>
      <c r="B930" s="18"/>
      <c r="C930" s="19"/>
      <c r="D930" s="19"/>
      <c r="E930" s="18"/>
      <c r="F930" s="18"/>
      <c r="G930" s="13" t="str">
        <f aca="false">IF(F930="","",IFERROR(INDEX(Metas!$B$5:$B$54,MATCH(F930,Metas!$A$5:$A$54,0)),"⚠ ID de meta no existe"))</f>
        <v/>
      </c>
      <c r="H930" s="16" t="str">
        <f aca="false">IF(OR(C930="",D930=""),"",ROUND(MOD(D930-C930,1)*24,2))</f>
        <v/>
      </c>
      <c r="I930" s="18"/>
      <c r="J930" s="18"/>
      <c r="K930" s="18"/>
    </row>
    <row r="931" customFormat="false" ht="15" hidden="false" customHeight="false" outlineLevel="0" collapsed="false">
      <c r="A931" s="17"/>
      <c r="B931" s="18"/>
      <c r="C931" s="19"/>
      <c r="D931" s="19"/>
      <c r="E931" s="18"/>
      <c r="F931" s="18"/>
      <c r="G931" s="13" t="str">
        <f aca="false">IF(F931="","",IFERROR(INDEX(Metas!$B$5:$B$54,MATCH(F931,Metas!$A$5:$A$54,0)),"⚠ ID de meta no existe"))</f>
        <v/>
      </c>
      <c r="H931" s="16" t="str">
        <f aca="false">IF(OR(C931="",D931=""),"",ROUND(MOD(D931-C931,1)*24,2))</f>
        <v/>
      </c>
      <c r="I931" s="18"/>
      <c r="J931" s="18"/>
      <c r="K931" s="18"/>
    </row>
    <row r="932" customFormat="false" ht="15" hidden="false" customHeight="false" outlineLevel="0" collapsed="false">
      <c r="A932" s="17"/>
      <c r="B932" s="18"/>
      <c r="C932" s="19"/>
      <c r="D932" s="19"/>
      <c r="E932" s="18"/>
      <c r="F932" s="18"/>
      <c r="G932" s="13" t="str">
        <f aca="false">IF(F932="","",IFERROR(INDEX(Metas!$B$5:$B$54,MATCH(F932,Metas!$A$5:$A$54,0)),"⚠ ID de meta no existe"))</f>
        <v/>
      </c>
      <c r="H932" s="16" t="str">
        <f aca="false">IF(OR(C932="",D932=""),"",ROUND(MOD(D932-C932,1)*24,2))</f>
        <v/>
      </c>
      <c r="I932" s="18"/>
      <c r="J932" s="18"/>
      <c r="K932" s="18"/>
    </row>
    <row r="933" customFormat="false" ht="15" hidden="false" customHeight="false" outlineLevel="0" collapsed="false">
      <c r="A933" s="17"/>
      <c r="B933" s="18"/>
      <c r="C933" s="19"/>
      <c r="D933" s="19"/>
      <c r="E933" s="18"/>
      <c r="F933" s="18"/>
      <c r="G933" s="13" t="str">
        <f aca="false">IF(F933="","",IFERROR(INDEX(Metas!$B$5:$B$54,MATCH(F933,Metas!$A$5:$A$54,0)),"⚠ ID de meta no existe"))</f>
        <v/>
      </c>
      <c r="H933" s="16" t="str">
        <f aca="false">IF(OR(C933="",D933=""),"",ROUND(MOD(D933-C933,1)*24,2))</f>
        <v/>
      </c>
      <c r="I933" s="18"/>
      <c r="J933" s="18"/>
      <c r="K933" s="18"/>
    </row>
    <row r="934" customFormat="false" ht="15" hidden="false" customHeight="false" outlineLevel="0" collapsed="false">
      <c r="A934" s="17"/>
      <c r="B934" s="18"/>
      <c r="C934" s="19"/>
      <c r="D934" s="19"/>
      <c r="E934" s="18"/>
      <c r="F934" s="18"/>
      <c r="G934" s="13" t="str">
        <f aca="false">IF(F934="","",IFERROR(INDEX(Metas!$B$5:$B$54,MATCH(F934,Metas!$A$5:$A$54,0)),"⚠ ID de meta no existe"))</f>
        <v/>
      </c>
      <c r="H934" s="16" t="str">
        <f aca="false">IF(OR(C934="",D934=""),"",ROUND(MOD(D934-C934,1)*24,2))</f>
        <v/>
      </c>
      <c r="I934" s="18"/>
      <c r="J934" s="18"/>
      <c r="K934" s="18"/>
    </row>
    <row r="935" customFormat="false" ht="15" hidden="false" customHeight="false" outlineLevel="0" collapsed="false">
      <c r="A935" s="17"/>
      <c r="B935" s="18"/>
      <c r="C935" s="19"/>
      <c r="D935" s="19"/>
      <c r="E935" s="18"/>
      <c r="F935" s="18"/>
      <c r="G935" s="13" t="str">
        <f aca="false">IF(F935="","",IFERROR(INDEX(Metas!$B$5:$B$54,MATCH(F935,Metas!$A$5:$A$54,0)),"⚠ ID de meta no existe"))</f>
        <v/>
      </c>
      <c r="H935" s="16" t="str">
        <f aca="false">IF(OR(C935="",D935=""),"",ROUND(MOD(D935-C935,1)*24,2))</f>
        <v/>
      </c>
      <c r="I935" s="18"/>
      <c r="J935" s="18"/>
      <c r="K935" s="18"/>
    </row>
    <row r="936" customFormat="false" ht="15" hidden="false" customHeight="false" outlineLevel="0" collapsed="false">
      <c r="A936" s="17"/>
      <c r="B936" s="18"/>
      <c r="C936" s="19"/>
      <c r="D936" s="19"/>
      <c r="E936" s="18"/>
      <c r="F936" s="18"/>
      <c r="G936" s="13" t="str">
        <f aca="false">IF(F936="","",IFERROR(INDEX(Metas!$B$5:$B$54,MATCH(F936,Metas!$A$5:$A$54,0)),"⚠ ID de meta no existe"))</f>
        <v/>
      </c>
      <c r="H936" s="16" t="str">
        <f aca="false">IF(OR(C936="",D936=""),"",ROUND(MOD(D936-C936,1)*24,2))</f>
        <v/>
      </c>
      <c r="I936" s="18"/>
      <c r="J936" s="18"/>
      <c r="K936" s="18"/>
    </row>
    <row r="937" customFormat="false" ht="15" hidden="false" customHeight="false" outlineLevel="0" collapsed="false">
      <c r="A937" s="17"/>
      <c r="B937" s="18"/>
      <c r="C937" s="19"/>
      <c r="D937" s="19"/>
      <c r="E937" s="18"/>
      <c r="F937" s="18"/>
      <c r="G937" s="13" t="str">
        <f aca="false">IF(F937="","",IFERROR(INDEX(Metas!$B$5:$B$54,MATCH(F937,Metas!$A$5:$A$54,0)),"⚠ ID de meta no existe"))</f>
        <v/>
      </c>
      <c r="H937" s="16" t="str">
        <f aca="false">IF(OR(C937="",D937=""),"",ROUND(MOD(D937-C937,1)*24,2))</f>
        <v/>
      </c>
      <c r="I937" s="18"/>
      <c r="J937" s="18"/>
      <c r="K937" s="18"/>
    </row>
    <row r="938" customFormat="false" ht="15" hidden="false" customHeight="false" outlineLevel="0" collapsed="false">
      <c r="A938" s="17"/>
      <c r="B938" s="18"/>
      <c r="C938" s="19"/>
      <c r="D938" s="19"/>
      <c r="E938" s="18"/>
      <c r="F938" s="18"/>
      <c r="G938" s="13" t="str">
        <f aca="false">IF(F938="","",IFERROR(INDEX(Metas!$B$5:$B$54,MATCH(F938,Metas!$A$5:$A$54,0)),"⚠ ID de meta no existe"))</f>
        <v/>
      </c>
      <c r="H938" s="16" t="str">
        <f aca="false">IF(OR(C938="",D938=""),"",ROUND(MOD(D938-C938,1)*24,2))</f>
        <v/>
      </c>
      <c r="I938" s="18"/>
      <c r="J938" s="18"/>
      <c r="K938" s="18"/>
    </row>
    <row r="939" customFormat="false" ht="15" hidden="false" customHeight="false" outlineLevel="0" collapsed="false">
      <c r="A939" s="17"/>
      <c r="B939" s="18"/>
      <c r="C939" s="19"/>
      <c r="D939" s="19"/>
      <c r="E939" s="18"/>
      <c r="F939" s="18"/>
      <c r="G939" s="13" t="str">
        <f aca="false">IF(F939="","",IFERROR(INDEX(Metas!$B$5:$B$54,MATCH(F939,Metas!$A$5:$A$54,0)),"⚠ ID de meta no existe"))</f>
        <v/>
      </c>
      <c r="H939" s="16" t="str">
        <f aca="false">IF(OR(C939="",D939=""),"",ROUND(MOD(D939-C939,1)*24,2))</f>
        <v/>
      </c>
      <c r="I939" s="18"/>
      <c r="J939" s="18"/>
      <c r="K939" s="18"/>
    </row>
    <row r="940" customFormat="false" ht="15" hidden="false" customHeight="false" outlineLevel="0" collapsed="false">
      <c r="A940" s="17"/>
      <c r="B940" s="18"/>
      <c r="C940" s="19"/>
      <c r="D940" s="19"/>
      <c r="E940" s="18"/>
      <c r="F940" s="18"/>
      <c r="G940" s="13" t="str">
        <f aca="false">IF(F940="","",IFERROR(INDEX(Metas!$B$5:$B$54,MATCH(F940,Metas!$A$5:$A$54,0)),"⚠ ID de meta no existe"))</f>
        <v/>
      </c>
      <c r="H940" s="16" t="str">
        <f aca="false">IF(OR(C940="",D940=""),"",ROUND(MOD(D940-C940,1)*24,2))</f>
        <v/>
      </c>
      <c r="I940" s="18"/>
      <c r="J940" s="18"/>
      <c r="K940" s="18"/>
    </row>
    <row r="941" customFormat="false" ht="15" hidden="false" customHeight="false" outlineLevel="0" collapsed="false">
      <c r="A941" s="17"/>
      <c r="B941" s="18"/>
      <c r="C941" s="19"/>
      <c r="D941" s="19"/>
      <c r="E941" s="18"/>
      <c r="F941" s="18"/>
      <c r="G941" s="13" t="str">
        <f aca="false">IF(F941="","",IFERROR(INDEX(Metas!$B$5:$B$54,MATCH(F941,Metas!$A$5:$A$54,0)),"⚠ ID de meta no existe"))</f>
        <v/>
      </c>
      <c r="H941" s="16" t="str">
        <f aca="false">IF(OR(C941="",D941=""),"",ROUND(MOD(D941-C941,1)*24,2))</f>
        <v/>
      </c>
      <c r="I941" s="18"/>
      <c r="J941" s="18"/>
      <c r="K941" s="18"/>
    </row>
    <row r="942" customFormat="false" ht="15" hidden="false" customHeight="false" outlineLevel="0" collapsed="false">
      <c r="A942" s="17"/>
      <c r="B942" s="18"/>
      <c r="C942" s="19"/>
      <c r="D942" s="19"/>
      <c r="E942" s="18"/>
      <c r="F942" s="18"/>
      <c r="G942" s="13" t="str">
        <f aca="false">IF(F942="","",IFERROR(INDEX(Metas!$B$5:$B$54,MATCH(F942,Metas!$A$5:$A$54,0)),"⚠ ID de meta no existe"))</f>
        <v/>
      </c>
      <c r="H942" s="16" t="str">
        <f aca="false">IF(OR(C942="",D942=""),"",ROUND(MOD(D942-C942,1)*24,2))</f>
        <v/>
      </c>
      <c r="I942" s="18"/>
      <c r="J942" s="18"/>
      <c r="K942" s="18"/>
    </row>
    <row r="943" customFormat="false" ht="15" hidden="false" customHeight="false" outlineLevel="0" collapsed="false">
      <c r="A943" s="17"/>
      <c r="B943" s="18"/>
      <c r="C943" s="19"/>
      <c r="D943" s="19"/>
      <c r="E943" s="18"/>
      <c r="F943" s="18"/>
      <c r="G943" s="13" t="str">
        <f aca="false">IF(F943="","",IFERROR(INDEX(Metas!$B$5:$B$54,MATCH(F943,Metas!$A$5:$A$54,0)),"⚠ ID de meta no existe"))</f>
        <v/>
      </c>
      <c r="H943" s="16" t="str">
        <f aca="false">IF(OR(C943="",D943=""),"",ROUND(MOD(D943-C943,1)*24,2))</f>
        <v/>
      </c>
      <c r="I943" s="18"/>
      <c r="J943" s="18"/>
      <c r="K943" s="18"/>
    </row>
    <row r="944" customFormat="false" ht="15" hidden="false" customHeight="false" outlineLevel="0" collapsed="false">
      <c r="A944" s="17"/>
      <c r="B944" s="18"/>
      <c r="C944" s="19"/>
      <c r="D944" s="19"/>
      <c r="E944" s="18"/>
      <c r="F944" s="18"/>
      <c r="G944" s="13" t="str">
        <f aca="false">IF(F944="","",IFERROR(INDEX(Metas!$B$5:$B$54,MATCH(F944,Metas!$A$5:$A$54,0)),"⚠ ID de meta no existe"))</f>
        <v/>
      </c>
      <c r="H944" s="16" t="str">
        <f aca="false">IF(OR(C944="",D944=""),"",ROUND(MOD(D944-C944,1)*24,2))</f>
        <v/>
      </c>
      <c r="I944" s="18"/>
      <c r="J944" s="18"/>
      <c r="K944" s="18"/>
    </row>
    <row r="945" customFormat="false" ht="15" hidden="false" customHeight="false" outlineLevel="0" collapsed="false">
      <c r="A945" s="17"/>
      <c r="B945" s="18"/>
      <c r="C945" s="19"/>
      <c r="D945" s="19"/>
      <c r="E945" s="18"/>
      <c r="F945" s="18"/>
      <c r="G945" s="13" t="str">
        <f aca="false">IF(F945="","",IFERROR(INDEX(Metas!$B$5:$B$54,MATCH(F945,Metas!$A$5:$A$54,0)),"⚠ ID de meta no existe"))</f>
        <v/>
      </c>
      <c r="H945" s="16" t="str">
        <f aca="false">IF(OR(C945="",D945=""),"",ROUND(MOD(D945-C945,1)*24,2))</f>
        <v/>
      </c>
      <c r="I945" s="18"/>
      <c r="J945" s="18"/>
      <c r="K945" s="18"/>
    </row>
    <row r="946" customFormat="false" ht="15" hidden="false" customHeight="false" outlineLevel="0" collapsed="false">
      <c r="A946" s="17"/>
      <c r="B946" s="18"/>
      <c r="C946" s="19"/>
      <c r="D946" s="19"/>
      <c r="E946" s="18"/>
      <c r="F946" s="18"/>
      <c r="G946" s="13" t="str">
        <f aca="false">IF(F946="","",IFERROR(INDEX(Metas!$B$5:$B$54,MATCH(F946,Metas!$A$5:$A$54,0)),"⚠ ID de meta no existe"))</f>
        <v/>
      </c>
      <c r="H946" s="16" t="str">
        <f aca="false">IF(OR(C946="",D946=""),"",ROUND(MOD(D946-C946,1)*24,2))</f>
        <v/>
      </c>
      <c r="I946" s="18"/>
      <c r="J946" s="18"/>
      <c r="K946" s="18"/>
    </row>
    <row r="947" customFormat="false" ht="15" hidden="false" customHeight="false" outlineLevel="0" collapsed="false">
      <c r="A947" s="17"/>
      <c r="B947" s="18"/>
      <c r="C947" s="19"/>
      <c r="D947" s="19"/>
      <c r="E947" s="18"/>
      <c r="F947" s="18"/>
      <c r="G947" s="13" t="str">
        <f aca="false">IF(F947="","",IFERROR(INDEX(Metas!$B$5:$B$54,MATCH(F947,Metas!$A$5:$A$54,0)),"⚠ ID de meta no existe"))</f>
        <v/>
      </c>
      <c r="H947" s="16" t="str">
        <f aca="false">IF(OR(C947="",D947=""),"",ROUND(MOD(D947-C947,1)*24,2))</f>
        <v/>
      </c>
      <c r="I947" s="18"/>
      <c r="J947" s="18"/>
      <c r="K947" s="18"/>
    </row>
    <row r="948" customFormat="false" ht="15" hidden="false" customHeight="false" outlineLevel="0" collapsed="false">
      <c r="A948" s="17"/>
      <c r="B948" s="18"/>
      <c r="C948" s="19"/>
      <c r="D948" s="19"/>
      <c r="E948" s="18"/>
      <c r="F948" s="18"/>
      <c r="G948" s="13" t="str">
        <f aca="false">IF(F948="","",IFERROR(INDEX(Metas!$B$5:$B$54,MATCH(F948,Metas!$A$5:$A$54,0)),"⚠ ID de meta no existe"))</f>
        <v/>
      </c>
      <c r="H948" s="16" t="str">
        <f aca="false">IF(OR(C948="",D948=""),"",ROUND(MOD(D948-C948,1)*24,2))</f>
        <v/>
      </c>
      <c r="I948" s="18"/>
      <c r="J948" s="18"/>
      <c r="K948" s="18"/>
    </row>
    <row r="949" customFormat="false" ht="15" hidden="false" customHeight="false" outlineLevel="0" collapsed="false">
      <c r="A949" s="17"/>
      <c r="B949" s="18"/>
      <c r="C949" s="19"/>
      <c r="D949" s="19"/>
      <c r="E949" s="18"/>
      <c r="F949" s="18"/>
      <c r="G949" s="13" t="str">
        <f aca="false">IF(F949="","",IFERROR(INDEX(Metas!$B$5:$B$54,MATCH(F949,Metas!$A$5:$A$54,0)),"⚠ ID de meta no existe"))</f>
        <v/>
      </c>
      <c r="H949" s="16" t="str">
        <f aca="false">IF(OR(C949="",D949=""),"",ROUND(MOD(D949-C949,1)*24,2))</f>
        <v/>
      </c>
      <c r="I949" s="18"/>
      <c r="J949" s="18"/>
      <c r="K949" s="18"/>
    </row>
    <row r="950" customFormat="false" ht="15" hidden="false" customHeight="false" outlineLevel="0" collapsed="false">
      <c r="A950" s="17"/>
      <c r="B950" s="18"/>
      <c r="C950" s="19"/>
      <c r="D950" s="19"/>
      <c r="E950" s="18"/>
      <c r="F950" s="18"/>
      <c r="G950" s="13" t="str">
        <f aca="false">IF(F950="","",IFERROR(INDEX(Metas!$B$5:$B$54,MATCH(F950,Metas!$A$5:$A$54,0)),"⚠ ID de meta no existe"))</f>
        <v/>
      </c>
      <c r="H950" s="16" t="str">
        <f aca="false">IF(OR(C950="",D950=""),"",ROUND(MOD(D950-C950,1)*24,2))</f>
        <v/>
      </c>
      <c r="I950" s="18"/>
      <c r="J950" s="18"/>
      <c r="K950" s="18"/>
    </row>
    <row r="951" customFormat="false" ht="15" hidden="false" customHeight="false" outlineLevel="0" collapsed="false">
      <c r="A951" s="17"/>
      <c r="B951" s="18"/>
      <c r="C951" s="19"/>
      <c r="D951" s="19"/>
      <c r="E951" s="18"/>
      <c r="F951" s="18"/>
      <c r="G951" s="13" t="str">
        <f aca="false">IF(F951="","",IFERROR(INDEX(Metas!$B$5:$B$54,MATCH(F951,Metas!$A$5:$A$54,0)),"⚠ ID de meta no existe"))</f>
        <v/>
      </c>
      <c r="H951" s="16" t="str">
        <f aca="false">IF(OR(C951="",D951=""),"",ROUND(MOD(D951-C951,1)*24,2))</f>
        <v/>
      </c>
      <c r="I951" s="18"/>
      <c r="J951" s="18"/>
      <c r="K951" s="18"/>
    </row>
    <row r="952" customFormat="false" ht="15" hidden="false" customHeight="false" outlineLevel="0" collapsed="false">
      <c r="A952" s="17"/>
      <c r="B952" s="18"/>
      <c r="C952" s="19"/>
      <c r="D952" s="19"/>
      <c r="E952" s="18"/>
      <c r="F952" s="18"/>
      <c r="G952" s="13" t="str">
        <f aca="false">IF(F952="","",IFERROR(INDEX(Metas!$B$5:$B$54,MATCH(F952,Metas!$A$5:$A$54,0)),"⚠ ID de meta no existe"))</f>
        <v/>
      </c>
      <c r="H952" s="16" t="str">
        <f aca="false">IF(OR(C952="",D952=""),"",ROUND(MOD(D952-C952,1)*24,2))</f>
        <v/>
      </c>
      <c r="I952" s="18"/>
      <c r="J952" s="18"/>
      <c r="K952" s="18"/>
    </row>
    <row r="953" customFormat="false" ht="15" hidden="false" customHeight="false" outlineLevel="0" collapsed="false">
      <c r="A953" s="17"/>
      <c r="B953" s="18"/>
      <c r="C953" s="19"/>
      <c r="D953" s="19"/>
      <c r="E953" s="18"/>
      <c r="F953" s="18"/>
      <c r="G953" s="13" t="str">
        <f aca="false">IF(F953="","",IFERROR(INDEX(Metas!$B$5:$B$54,MATCH(F953,Metas!$A$5:$A$54,0)),"⚠ ID de meta no existe"))</f>
        <v/>
      </c>
      <c r="H953" s="16" t="str">
        <f aca="false">IF(OR(C953="",D953=""),"",ROUND(MOD(D953-C953,1)*24,2))</f>
        <v/>
      </c>
      <c r="I953" s="18"/>
      <c r="J953" s="18"/>
      <c r="K953" s="18"/>
    </row>
    <row r="954" customFormat="false" ht="15" hidden="false" customHeight="false" outlineLevel="0" collapsed="false">
      <c r="A954" s="17"/>
      <c r="B954" s="18"/>
      <c r="C954" s="19"/>
      <c r="D954" s="19"/>
      <c r="E954" s="18"/>
      <c r="F954" s="18"/>
      <c r="G954" s="13" t="str">
        <f aca="false">IF(F954="","",IFERROR(INDEX(Metas!$B$5:$B$54,MATCH(F954,Metas!$A$5:$A$54,0)),"⚠ ID de meta no existe"))</f>
        <v/>
      </c>
      <c r="H954" s="16" t="str">
        <f aca="false">IF(OR(C954="",D954=""),"",ROUND(MOD(D954-C954,1)*24,2))</f>
        <v/>
      </c>
      <c r="I954" s="18"/>
      <c r="J954" s="18"/>
      <c r="K954" s="18"/>
    </row>
    <row r="955" customFormat="false" ht="15" hidden="false" customHeight="false" outlineLevel="0" collapsed="false">
      <c r="A955" s="17"/>
      <c r="B955" s="18"/>
      <c r="C955" s="19"/>
      <c r="D955" s="19"/>
      <c r="E955" s="18"/>
      <c r="F955" s="18"/>
      <c r="G955" s="13" t="str">
        <f aca="false">IF(F955="","",IFERROR(INDEX(Metas!$B$5:$B$54,MATCH(F955,Metas!$A$5:$A$54,0)),"⚠ ID de meta no existe"))</f>
        <v/>
      </c>
      <c r="H955" s="16" t="str">
        <f aca="false">IF(OR(C955="",D955=""),"",ROUND(MOD(D955-C955,1)*24,2))</f>
        <v/>
      </c>
      <c r="I955" s="18"/>
      <c r="J955" s="18"/>
      <c r="K955" s="18"/>
    </row>
    <row r="956" customFormat="false" ht="15" hidden="false" customHeight="false" outlineLevel="0" collapsed="false">
      <c r="A956" s="17"/>
      <c r="B956" s="18"/>
      <c r="C956" s="19"/>
      <c r="D956" s="19"/>
      <c r="E956" s="18"/>
      <c r="F956" s="18"/>
      <c r="G956" s="13" t="str">
        <f aca="false">IF(F956="","",IFERROR(INDEX(Metas!$B$5:$B$54,MATCH(F956,Metas!$A$5:$A$54,0)),"⚠ ID de meta no existe"))</f>
        <v/>
      </c>
      <c r="H956" s="16" t="str">
        <f aca="false">IF(OR(C956="",D956=""),"",ROUND(MOD(D956-C956,1)*24,2))</f>
        <v/>
      </c>
      <c r="I956" s="18"/>
      <c r="J956" s="18"/>
      <c r="K956" s="18"/>
    </row>
    <row r="957" customFormat="false" ht="15" hidden="false" customHeight="false" outlineLevel="0" collapsed="false">
      <c r="A957" s="17"/>
      <c r="B957" s="18"/>
      <c r="C957" s="19"/>
      <c r="D957" s="19"/>
      <c r="E957" s="18"/>
      <c r="F957" s="18"/>
      <c r="G957" s="13" t="str">
        <f aca="false">IF(F957="","",IFERROR(INDEX(Metas!$B$5:$B$54,MATCH(F957,Metas!$A$5:$A$54,0)),"⚠ ID de meta no existe"))</f>
        <v/>
      </c>
      <c r="H957" s="16" t="str">
        <f aca="false">IF(OR(C957="",D957=""),"",ROUND(MOD(D957-C957,1)*24,2))</f>
        <v/>
      </c>
      <c r="I957" s="18"/>
      <c r="J957" s="18"/>
      <c r="K957" s="18"/>
    </row>
    <row r="958" customFormat="false" ht="15" hidden="false" customHeight="false" outlineLevel="0" collapsed="false">
      <c r="A958" s="17"/>
      <c r="B958" s="18"/>
      <c r="C958" s="19"/>
      <c r="D958" s="19"/>
      <c r="E958" s="18"/>
      <c r="F958" s="18"/>
      <c r="G958" s="13" t="str">
        <f aca="false">IF(F958="","",IFERROR(INDEX(Metas!$B$5:$B$54,MATCH(F958,Metas!$A$5:$A$54,0)),"⚠ ID de meta no existe"))</f>
        <v/>
      </c>
      <c r="H958" s="16" t="str">
        <f aca="false">IF(OR(C958="",D958=""),"",ROUND(MOD(D958-C958,1)*24,2))</f>
        <v/>
      </c>
      <c r="I958" s="18"/>
      <c r="J958" s="18"/>
      <c r="K958" s="18"/>
    </row>
    <row r="959" customFormat="false" ht="15" hidden="false" customHeight="false" outlineLevel="0" collapsed="false">
      <c r="A959" s="17"/>
      <c r="B959" s="18"/>
      <c r="C959" s="19"/>
      <c r="D959" s="19"/>
      <c r="E959" s="18"/>
      <c r="F959" s="18"/>
      <c r="G959" s="13" t="str">
        <f aca="false">IF(F959="","",IFERROR(INDEX(Metas!$B$5:$B$54,MATCH(F959,Metas!$A$5:$A$54,0)),"⚠ ID de meta no existe"))</f>
        <v/>
      </c>
      <c r="H959" s="16" t="str">
        <f aca="false">IF(OR(C959="",D959=""),"",ROUND(MOD(D959-C959,1)*24,2))</f>
        <v/>
      </c>
      <c r="I959" s="18"/>
      <c r="J959" s="18"/>
      <c r="K959" s="18"/>
    </row>
    <row r="960" customFormat="false" ht="15" hidden="false" customHeight="false" outlineLevel="0" collapsed="false">
      <c r="A960" s="17"/>
      <c r="B960" s="18"/>
      <c r="C960" s="19"/>
      <c r="D960" s="19"/>
      <c r="E960" s="18"/>
      <c r="F960" s="18"/>
      <c r="G960" s="13" t="str">
        <f aca="false">IF(F960="","",IFERROR(INDEX(Metas!$B$5:$B$54,MATCH(F960,Metas!$A$5:$A$54,0)),"⚠ ID de meta no existe"))</f>
        <v/>
      </c>
      <c r="H960" s="16" t="str">
        <f aca="false">IF(OR(C960="",D960=""),"",ROUND(MOD(D960-C960,1)*24,2))</f>
        <v/>
      </c>
      <c r="I960" s="18"/>
      <c r="J960" s="18"/>
      <c r="K960" s="18"/>
    </row>
    <row r="961" customFormat="false" ht="15" hidden="false" customHeight="false" outlineLevel="0" collapsed="false">
      <c r="A961" s="17"/>
      <c r="B961" s="18"/>
      <c r="C961" s="19"/>
      <c r="D961" s="19"/>
      <c r="E961" s="18"/>
      <c r="F961" s="18"/>
      <c r="G961" s="13" t="str">
        <f aca="false">IF(F961="","",IFERROR(INDEX(Metas!$B$5:$B$54,MATCH(F961,Metas!$A$5:$A$54,0)),"⚠ ID de meta no existe"))</f>
        <v/>
      </c>
      <c r="H961" s="16" t="str">
        <f aca="false">IF(OR(C961="",D961=""),"",ROUND(MOD(D961-C961,1)*24,2))</f>
        <v/>
      </c>
      <c r="I961" s="18"/>
      <c r="J961" s="18"/>
      <c r="K961" s="18"/>
    </row>
    <row r="962" customFormat="false" ht="15" hidden="false" customHeight="false" outlineLevel="0" collapsed="false">
      <c r="A962" s="17"/>
      <c r="B962" s="18"/>
      <c r="C962" s="19"/>
      <c r="D962" s="19"/>
      <c r="E962" s="18"/>
      <c r="F962" s="18"/>
      <c r="G962" s="13" t="str">
        <f aca="false">IF(F962="","",IFERROR(INDEX(Metas!$B$5:$B$54,MATCH(F962,Metas!$A$5:$A$54,0)),"⚠ ID de meta no existe"))</f>
        <v/>
      </c>
      <c r="H962" s="16" t="str">
        <f aca="false">IF(OR(C962="",D962=""),"",ROUND(MOD(D962-C962,1)*24,2))</f>
        <v/>
      </c>
      <c r="I962" s="18"/>
      <c r="J962" s="18"/>
      <c r="K962" s="18"/>
    </row>
    <row r="963" customFormat="false" ht="15" hidden="false" customHeight="false" outlineLevel="0" collapsed="false">
      <c r="A963" s="17"/>
      <c r="B963" s="18"/>
      <c r="C963" s="19"/>
      <c r="D963" s="19"/>
      <c r="E963" s="18"/>
      <c r="F963" s="18"/>
      <c r="G963" s="13" t="str">
        <f aca="false">IF(F963="","",IFERROR(INDEX(Metas!$B$5:$B$54,MATCH(F963,Metas!$A$5:$A$54,0)),"⚠ ID de meta no existe"))</f>
        <v/>
      </c>
      <c r="H963" s="16" t="str">
        <f aca="false">IF(OR(C963="",D963=""),"",ROUND(MOD(D963-C963,1)*24,2))</f>
        <v/>
      </c>
      <c r="I963" s="18"/>
      <c r="J963" s="18"/>
      <c r="K963" s="18"/>
    </row>
    <row r="964" customFormat="false" ht="15" hidden="false" customHeight="false" outlineLevel="0" collapsed="false">
      <c r="A964" s="17"/>
      <c r="B964" s="18"/>
      <c r="C964" s="19"/>
      <c r="D964" s="19"/>
      <c r="E964" s="18"/>
      <c r="F964" s="18"/>
      <c r="G964" s="13" t="str">
        <f aca="false">IF(F964="","",IFERROR(INDEX(Metas!$B$5:$B$54,MATCH(F964,Metas!$A$5:$A$54,0)),"⚠ ID de meta no existe"))</f>
        <v/>
      </c>
      <c r="H964" s="16" t="str">
        <f aca="false">IF(OR(C964="",D964=""),"",ROUND(MOD(D964-C964,1)*24,2))</f>
        <v/>
      </c>
      <c r="I964" s="18"/>
      <c r="J964" s="18"/>
      <c r="K964" s="18"/>
    </row>
    <row r="965" customFormat="false" ht="15" hidden="false" customHeight="false" outlineLevel="0" collapsed="false">
      <c r="A965" s="17"/>
      <c r="B965" s="18"/>
      <c r="C965" s="19"/>
      <c r="D965" s="19"/>
      <c r="E965" s="18"/>
      <c r="F965" s="18"/>
      <c r="G965" s="13" t="str">
        <f aca="false">IF(F965="","",IFERROR(INDEX(Metas!$B$5:$B$54,MATCH(F965,Metas!$A$5:$A$54,0)),"⚠ ID de meta no existe"))</f>
        <v/>
      </c>
      <c r="H965" s="16" t="str">
        <f aca="false">IF(OR(C965="",D965=""),"",ROUND(MOD(D965-C965,1)*24,2))</f>
        <v/>
      </c>
      <c r="I965" s="18"/>
      <c r="J965" s="18"/>
      <c r="K965" s="18"/>
    </row>
    <row r="966" customFormat="false" ht="15" hidden="false" customHeight="false" outlineLevel="0" collapsed="false">
      <c r="A966" s="17"/>
      <c r="B966" s="18"/>
      <c r="C966" s="19"/>
      <c r="D966" s="19"/>
      <c r="E966" s="18"/>
      <c r="F966" s="18"/>
      <c r="G966" s="13" t="str">
        <f aca="false">IF(F966="","",IFERROR(INDEX(Metas!$B$5:$B$54,MATCH(F966,Metas!$A$5:$A$54,0)),"⚠ ID de meta no existe"))</f>
        <v/>
      </c>
      <c r="H966" s="16" t="str">
        <f aca="false">IF(OR(C966="",D966=""),"",ROUND(MOD(D966-C966,1)*24,2))</f>
        <v/>
      </c>
      <c r="I966" s="18"/>
      <c r="J966" s="18"/>
      <c r="K966" s="18"/>
    </row>
    <row r="967" customFormat="false" ht="15" hidden="false" customHeight="false" outlineLevel="0" collapsed="false">
      <c r="A967" s="17"/>
      <c r="B967" s="18"/>
      <c r="C967" s="19"/>
      <c r="D967" s="19"/>
      <c r="E967" s="18"/>
      <c r="F967" s="18"/>
      <c r="G967" s="13" t="str">
        <f aca="false">IF(F967="","",IFERROR(INDEX(Metas!$B$5:$B$54,MATCH(F967,Metas!$A$5:$A$54,0)),"⚠ ID de meta no existe"))</f>
        <v/>
      </c>
      <c r="H967" s="16" t="str">
        <f aca="false">IF(OR(C967="",D967=""),"",ROUND(MOD(D967-C967,1)*24,2))</f>
        <v/>
      </c>
      <c r="I967" s="18"/>
      <c r="J967" s="18"/>
      <c r="K967" s="18"/>
    </row>
    <row r="968" customFormat="false" ht="15" hidden="false" customHeight="false" outlineLevel="0" collapsed="false">
      <c r="A968" s="17"/>
      <c r="B968" s="18"/>
      <c r="C968" s="19"/>
      <c r="D968" s="19"/>
      <c r="E968" s="18"/>
      <c r="F968" s="18"/>
      <c r="G968" s="13" t="str">
        <f aca="false">IF(F968="","",IFERROR(INDEX(Metas!$B$5:$B$54,MATCH(F968,Metas!$A$5:$A$54,0)),"⚠ ID de meta no existe"))</f>
        <v/>
      </c>
      <c r="H968" s="16" t="str">
        <f aca="false">IF(OR(C968="",D968=""),"",ROUND(MOD(D968-C968,1)*24,2))</f>
        <v/>
      </c>
      <c r="I968" s="18"/>
      <c r="J968" s="18"/>
      <c r="K968" s="18"/>
    </row>
    <row r="969" customFormat="false" ht="15" hidden="false" customHeight="false" outlineLevel="0" collapsed="false">
      <c r="A969" s="17"/>
      <c r="B969" s="18"/>
      <c r="C969" s="19"/>
      <c r="D969" s="19"/>
      <c r="E969" s="18"/>
      <c r="F969" s="18"/>
      <c r="G969" s="13" t="str">
        <f aca="false">IF(F969="","",IFERROR(INDEX(Metas!$B$5:$B$54,MATCH(F969,Metas!$A$5:$A$54,0)),"⚠ ID de meta no existe"))</f>
        <v/>
      </c>
      <c r="H969" s="16" t="str">
        <f aca="false">IF(OR(C969="",D969=""),"",ROUND(MOD(D969-C969,1)*24,2))</f>
        <v/>
      </c>
      <c r="I969" s="18"/>
      <c r="J969" s="18"/>
      <c r="K969" s="18"/>
    </row>
    <row r="970" customFormat="false" ht="15" hidden="false" customHeight="false" outlineLevel="0" collapsed="false">
      <c r="A970" s="17"/>
      <c r="B970" s="18"/>
      <c r="C970" s="19"/>
      <c r="D970" s="19"/>
      <c r="E970" s="18"/>
      <c r="F970" s="18"/>
      <c r="G970" s="13" t="str">
        <f aca="false">IF(F970="","",IFERROR(INDEX(Metas!$B$5:$B$54,MATCH(F970,Metas!$A$5:$A$54,0)),"⚠ ID de meta no existe"))</f>
        <v/>
      </c>
      <c r="H970" s="16" t="str">
        <f aca="false">IF(OR(C970="",D970=""),"",ROUND(MOD(D970-C970,1)*24,2))</f>
        <v/>
      </c>
      <c r="I970" s="18"/>
      <c r="J970" s="18"/>
      <c r="K970" s="18"/>
    </row>
    <row r="971" customFormat="false" ht="15" hidden="false" customHeight="false" outlineLevel="0" collapsed="false">
      <c r="A971" s="17"/>
      <c r="B971" s="18"/>
      <c r="C971" s="19"/>
      <c r="D971" s="19"/>
      <c r="E971" s="18"/>
      <c r="F971" s="18"/>
      <c r="G971" s="13" t="str">
        <f aca="false">IF(F971="","",IFERROR(INDEX(Metas!$B$5:$B$54,MATCH(F971,Metas!$A$5:$A$54,0)),"⚠ ID de meta no existe"))</f>
        <v/>
      </c>
      <c r="H971" s="16" t="str">
        <f aca="false">IF(OR(C971="",D971=""),"",ROUND(MOD(D971-C971,1)*24,2))</f>
        <v/>
      </c>
      <c r="I971" s="18"/>
      <c r="J971" s="18"/>
      <c r="K971" s="18"/>
    </row>
    <row r="972" customFormat="false" ht="15" hidden="false" customHeight="false" outlineLevel="0" collapsed="false">
      <c r="A972" s="17"/>
      <c r="B972" s="18"/>
      <c r="C972" s="19"/>
      <c r="D972" s="19"/>
      <c r="E972" s="18"/>
      <c r="F972" s="18"/>
      <c r="G972" s="13" t="str">
        <f aca="false">IF(F972="","",IFERROR(INDEX(Metas!$B$5:$B$54,MATCH(F972,Metas!$A$5:$A$54,0)),"⚠ ID de meta no existe"))</f>
        <v/>
      </c>
      <c r="H972" s="16" t="str">
        <f aca="false">IF(OR(C972="",D972=""),"",ROUND(MOD(D972-C972,1)*24,2))</f>
        <v/>
      </c>
      <c r="I972" s="18"/>
      <c r="J972" s="18"/>
      <c r="K972" s="18"/>
    </row>
    <row r="973" customFormat="false" ht="15" hidden="false" customHeight="false" outlineLevel="0" collapsed="false">
      <c r="A973" s="17"/>
      <c r="B973" s="18"/>
      <c r="C973" s="19"/>
      <c r="D973" s="19"/>
      <c r="E973" s="18"/>
      <c r="F973" s="18"/>
      <c r="G973" s="13" t="str">
        <f aca="false">IF(F973="","",IFERROR(INDEX(Metas!$B$5:$B$54,MATCH(F973,Metas!$A$5:$A$54,0)),"⚠ ID de meta no existe"))</f>
        <v/>
      </c>
      <c r="H973" s="16" t="str">
        <f aca="false">IF(OR(C973="",D973=""),"",ROUND(MOD(D973-C973,1)*24,2))</f>
        <v/>
      </c>
      <c r="I973" s="18"/>
      <c r="J973" s="18"/>
      <c r="K973" s="18"/>
    </row>
    <row r="974" customFormat="false" ht="15" hidden="false" customHeight="false" outlineLevel="0" collapsed="false">
      <c r="A974" s="17"/>
      <c r="B974" s="18"/>
      <c r="C974" s="19"/>
      <c r="D974" s="19"/>
      <c r="E974" s="18"/>
      <c r="F974" s="18"/>
      <c r="G974" s="13" t="str">
        <f aca="false">IF(F974="","",IFERROR(INDEX(Metas!$B$5:$B$54,MATCH(F974,Metas!$A$5:$A$54,0)),"⚠ ID de meta no existe"))</f>
        <v/>
      </c>
      <c r="H974" s="16" t="str">
        <f aca="false">IF(OR(C974="",D974=""),"",ROUND(MOD(D974-C974,1)*24,2))</f>
        <v/>
      </c>
      <c r="I974" s="18"/>
      <c r="J974" s="18"/>
      <c r="K974" s="18"/>
    </row>
    <row r="975" customFormat="false" ht="15" hidden="false" customHeight="false" outlineLevel="0" collapsed="false">
      <c r="A975" s="17"/>
      <c r="B975" s="18"/>
      <c r="C975" s="19"/>
      <c r="D975" s="19"/>
      <c r="E975" s="18"/>
      <c r="F975" s="18"/>
      <c r="G975" s="13" t="str">
        <f aca="false">IF(F975="","",IFERROR(INDEX(Metas!$B$5:$B$54,MATCH(F975,Metas!$A$5:$A$54,0)),"⚠ ID de meta no existe"))</f>
        <v/>
      </c>
      <c r="H975" s="16" t="str">
        <f aca="false">IF(OR(C975="",D975=""),"",ROUND(MOD(D975-C975,1)*24,2))</f>
        <v/>
      </c>
      <c r="I975" s="18"/>
      <c r="J975" s="18"/>
      <c r="K975" s="18"/>
    </row>
    <row r="976" customFormat="false" ht="15" hidden="false" customHeight="false" outlineLevel="0" collapsed="false">
      <c r="A976" s="17"/>
      <c r="B976" s="18"/>
      <c r="C976" s="19"/>
      <c r="D976" s="19"/>
      <c r="E976" s="18"/>
      <c r="F976" s="18"/>
      <c r="G976" s="13" t="str">
        <f aca="false">IF(F976="","",IFERROR(INDEX(Metas!$B$5:$B$54,MATCH(F976,Metas!$A$5:$A$54,0)),"⚠ ID de meta no existe"))</f>
        <v/>
      </c>
      <c r="H976" s="16" t="str">
        <f aca="false">IF(OR(C976="",D976=""),"",ROUND(MOD(D976-C976,1)*24,2))</f>
        <v/>
      </c>
      <c r="I976" s="18"/>
      <c r="J976" s="18"/>
      <c r="K976" s="18"/>
    </row>
    <row r="977" customFormat="false" ht="15" hidden="false" customHeight="false" outlineLevel="0" collapsed="false">
      <c r="A977" s="17"/>
      <c r="B977" s="18"/>
      <c r="C977" s="19"/>
      <c r="D977" s="19"/>
      <c r="E977" s="18"/>
      <c r="F977" s="18"/>
      <c r="G977" s="13" t="str">
        <f aca="false">IF(F977="","",IFERROR(INDEX(Metas!$B$5:$B$54,MATCH(F977,Metas!$A$5:$A$54,0)),"⚠ ID de meta no existe"))</f>
        <v/>
      </c>
      <c r="H977" s="16" t="str">
        <f aca="false">IF(OR(C977="",D977=""),"",ROUND(MOD(D977-C977,1)*24,2))</f>
        <v/>
      </c>
      <c r="I977" s="18"/>
      <c r="J977" s="18"/>
      <c r="K977" s="18"/>
    </row>
    <row r="978" customFormat="false" ht="15" hidden="false" customHeight="false" outlineLevel="0" collapsed="false">
      <c r="A978" s="17"/>
      <c r="B978" s="18"/>
      <c r="C978" s="19"/>
      <c r="D978" s="19"/>
      <c r="E978" s="18"/>
      <c r="F978" s="18"/>
      <c r="G978" s="13" t="str">
        <f aca="false">IF(F978="","",IFERROR(INDEX(Metas!$B$5:$B$54,MATCH(F978,Metas!$A$5:$A$54,0)),"⚠ ID de meta no existe"))</f>
        <v/>
      </c>
      <c r="H978" s="16" t="str">
        <f aca="false">IF(OR(C978="",D978=""),"",ROUND(MOD(D978-C978,1)*24,2))</f>
        <v/>
      </c>
      <c r="I978" s="18"/>
      <c r="J978" s="18"/>
      <c r="K978" s="18"/>
    </row>
    <row r="979" customFormat="false" ht="15" hidden="false" customHeight="false" outlineLevel="0" collapsed="false">
      <c r="A979" s="17"/>
      <c r="B979" s="18"/>
      <c r="C979" s="19"/>
      <c r="D979" s="19"/>
      <c r="E979" s="18"/>
      <c r="F979" s="18"/>
      <c r="G979" s="13" t="str">
        <f aca="false">IF(F979="","",IFERROR(INDEX(Metas!$B$5:$B$54,MATCH(F979,Metas!$A$5:$A$54,0)),"⚠ ID de meta no existe"))</f>
        <v/>
      </c>
      <c r="H979" s="16" t="str">
        <f aca="false">IF(OR(C979="",D979=""),"",ROUND(MOD(D979-C979,1)*24,2))</f>
        <v/>
      </c>
      <c r="I979" s="18"/>
      <c r="J979" s="18"/>
      <c r="K979" s="18"/>
    </row>
    <row r="980" customFormat="false" ht="15" hidden="false" customHeight="false" outlineLevel="0" collapsed="false">
      <c r="A980" s="17"/>
      <c r="B980" s="18"/>
      <c r="C980" s="19"/>
      <c r="D980" s="19"/>
      <c r="E980" s="18"/>
      <c r="F980" s="18"/>
      <c r="G980" s="13" t="str">
        <f aca="false">IF(F980="","",IFERROR(INDEX(Metas!$B$5:$B$54,MATCH(F980,Metas!$A$5:$A$54,0)),"⚠ ID de meta no existe"))</f>
        <v/>
      </c>
      <c r="H980" s="16" t="str">
        <f aca="false">IF(OR(C980="",D980=""),"",ROUND(MOD(D980-C980,1)*24,2))</f>
        <v/>
      </c>
      <c r="I980" s="18"/>
      <c r="J980" s="18"/>
      <c r="K980" s="18"/>
    </row>
    <row r="981" customFormat="false" ht="15" hidden="false" customHeight="false" outlineLevel="0" collapsed="false">
      <c r="A981" s="17"/>
      <c r="B981" s="18"/>
      <c r="C981" s="19"/>
      <c r="D981" s="19"/>
      <c r="E981" s="18"/>
      <c r="F981" s="18"/>
      <c r="G981" s="13" t="str">
        <f aca="false">IF(F981="","",IFERROR(INDEX(Metas!$B$5:$B$54,MATCH(F981,Metas!$A$5:$A$54,0)),"⚠ ID de meta no existe"))</f>
        <v/>
      </c>
      <c r="H981" s="16" t="str">
        <f aca="false">IF(OR(C981="",D981=""),"",ROUND(MOD(D981-C981,1)*24,2))</f>
        <v/>
      </c>
      <c r="I981" s="18"/>
      <c r="J981" s="18"/>
      <c r="K981" s="18"/>
    </row>
    <row r="982" customFormat="false" ht="15" hidden="false" customHeight="false" outlineLevel="0" collapsed="false">
      <c r="A982" s="17"/>
      <c r="B982" s="18"/>
      <c r="C982" s="19"/>
      <c r="D982" s="19"/>
      <c r="E982" s="18"/>
      <c r="F982" s="18"/>
      <c r="G982" s="13" t="str">
        <f aca="false">IF(F982="","",IFERROR(INDEX(Metas!$B$5:$B$54,MATCH(F982,Metas!$A$5:$A$54,0)),"⚠ ID de meta no existe"))</f>
        <v/>
      </c>
      <c r="H982" s="16" t="str">
        <f aca="false">IF(OR(C982="",D982=""),"",ROUND(MOD(D982-C982,1)*24,2))</f>
        <v/>
      </c>
      <c r="I982" s="18"/>
      <c r="J982" s="18"/>
      <c r="K982" s="18"/>
    </row>
    <row r="983" customFormat="false" ht="15" hidden="false" customHeight="false" outlineLevel="0" collapsed="false">
      <c r="A983" s="17"/>
      <c r="B983" s="18"/>
      <c r="C983" s="19"/>
      <c r="D983" s="19"/>
      <c r="E983" s="18"/>
      <c r="F983" s="18"/>
      <c r="G983" s="13" t="str">
        <f aca="false">IF(F983="","",IFERROR(INDEX(Metas!$B$5:$B$54,MATCH(F983,Metas!$A$5:$A$54,0)),"⚠ ID de meta no existe"))</f>
        <v/>
      </c>
      <c r="H983" s="16" t="str">
        <f aca="false">IF(OR(C983="",D983=""),"",ROUND(MOD(D983-C983,1)*24,2))</f>
        <v/>
      </c>
      <c r="I983" s="18"/>
      <c r="J983" s="18"/>
      <c r="K983" s="18"/>
    </row>
    <row r="984" customFormat="false" ht="15" hidden="false" customHeight="false" outlineLevel="0" collapsed="false">
      <c r="A984" s="17"/>
      <c r="B984" s="18"/>
      <c r="C984" s="19"/>
      <c r="D984" s="19"/>
      <c r="E984" s="18"/>
      <c r="F984" s="18"/>
      <c r="G984" s="13" t="str">
        <f aca="false">IF(F984="","",IFERROR(INDEX(Metas!$B$5:$B$54,MATCH(F984,Metas!$A$5:$A$54,0)),"⚠ ID de meta no existe"))</f>
        <v/>
      </c>
      <c r="H984" s="16" t="str">
        <f aca="false">IF(OR(C984="",D984=""),"",ROUND(MOD(D984-C984,1)*24,2))</f>
        <v/>
      </c>
      <c r="I984" s="18"/>
      <c r="J984" s="18"/>
      <c r="K984" s="18"/>
    </row>
    <row r="985" customFormat="false" ht="15" hidden="false" customHeight="false" outlineLevel="0" collapsed="false">
      <c r="A985" s="17"/>
      <c r="B985" s="18"/>
      <c r="C985" s="19"/>
      <c r="D985" s="19"/>
      <c r="E985" s="18"/>
      <c r="F985" s="18"/>
      <c r="G985" s="13" t="str">
        <f aca="false">IF(F985="","",IFERROR(INDEX(Metas!$B$5:$B$54,MATCH(F985,Metas!$A$5:$A$54,0)),"⚠ ID de meta no existe"))</f>
        <v/>
      </c>
      <c r="H985" s="16" t="str">
        <f aca="false">IF(OR(C985="",D985=""),"",ROUND(MOD(D985-C985,1)*24,2))</f>
        <v/>
      </c>
      <c r="I985" s="18"/>
      <c r="J985" s="18"/>
      <c r="K985" s="18"/>
    </row>
    <row r="986" customFormat="false" ht="15" hidden="false" customHeight="false" outlineLevel="0" collapsed="false">
      <c r="A986" s="17"/>
      <c r="B986" s="18"/>
      <c r="C986" s="19"/>
      <c r="D986" s="19"/>
      <c r="E986" s="18"/>
      <c r="F986" s="18"/>
      <c r="G986" s="13" t="str">
        <f aca="false">IF(F986="","",IFERROR(INDEX(Metas!$B$5:$B$54,MATCH(F986,Metas!$A$5:$A$54,0)),"⚠ ID de meta no existe"))</f>
        <v/>
      </c>
      <c r="H986" s="16" t="str">
        <f aca="false">IF(OR(C986="",D986=""),"",ROUND(MOD(D986-C986,1)*24,2))</f>
        <v/>
      </c>
      <c r="I986" s="18"/>
      <c r="J986" s="18"/>
      <c r="K986" s="18"/>
    </row>
    <row r="987" customFormat="false" ht="15" hidden="false" customHeight="false" outlineLevel="0" collapsed="false">
      <c r="A987" s="17"/>
      <c r="B987" s="18"/>
      <c r="C987" s="19"/>
      <c r="D987" s="19"/>
      <c r="E987" s="18"/>
      <c r="F987" s="18"/>
      <c r="G987" s="13" t="str">
        <f aca="false">IF(F987="","",IFERROR(INDEX(Metas!$B$5:$B$54,MATCH(F987,Metas!$A$5:$A$54,0)),"⚠ ID de meta no existe"))</f>
        <v/>
      </c>
      <c r="H987" s="16" t="str">
        <f aca="false">IF(OR(C987="",D987=""),"",ROUND(MOD(D987-C987,1)*24,2))</f>
        <v/>
      </c>
      <c r="I987" s="18"/>
      <c r="J987" s="18"/>
      <c r="K987" s="18"/>
    </row>
    <row r="988" customFormat="false" ht="15" hidden="false" customHeight="false" outlineLevel="0" collapsed="false">
      <c r="A988" s="17"/>
      <c r="B988" s="18"/>
      <c r="C988" s="19"/>
      <c r="D988" s="19"/>
      <c r="E988" s="18"/>
      <c r="F988" s="18"/>
      <c r="G988" s="13" t="str">
        <f aca="false">IF(F988="","",IFERROR(INDEX(Metas!$B$5:$B$54,MATCH(F988,Metas!$A$5:$A$54,0)),"⚠ ID de meta no existe"))</f>
        <v/>
      </c>
      <c r="H988" s="16" t="str">
        <f aca="false">IF(OR(C988="",D988=""),"",ROUND(MOD(D988-C988,1)*24,2))</f>
        <v/>
      </c>
      <c r="I988" s="18"/>
      <c r="J988" s="18"/>
      <c r="K988" s="18"/>
    </row>
    <row r="989" customFormat="false" ht="15" hidden="false" customHeight="false" outlineLevel="0" collapsed="false">
      <c r="A989" s="17"/>
      <c r="B989" s="18"/>
      <c r="C989" s="19"/>
      <c r="D989" s="19"/>
      <c r="E989" s="18"/>
      <c r="F989" s="18"/>
      <c r="G989" s="13" t="str">
        <f aca="false">IF(F989="","",IFERROR(INDEX(Metas!$B$5:$B$54,MATCH(F989,Metas!$A$5:$A$54,0)),"⚠ ID de meta no existe"))</f>
        <v/>
      </c>
      <c r="H989" s="16" t="str">
        <f aca="false">IF(OR(C989="",D989=""),"",ROUND(MOD(D989-C989,1)*24,2))</f>
        <v/>
      </c>
      <c r="I989" s="18"/>
      <c r="J989" s="18"/>
      <c r="K989" s="18"/>
    </row>
    <row r="990" customFormat="false" ht="15" hidden="false" customHeight="false" outlineLevel="0" collapsed="false">
      <c r="A990" s="17"/>
      <c r="B990" s="18"/>
      <c r="C990" s="19"/>
      <c r="D990" s="19"/>
      <c r="E990" s="18"/>
      <c r="F990" s="18"/>
      <c r="G990" s="13" t="str">
        <f aca="false">IF(F990="","",IFERROR(INDEX(Metas!$B$5:$B$54,MATCH(F990,Metas!$A$5:$A$54,0)),"⚠ ID de meta no existe"))</f>
        <v/>
      </c>
      <c r="H990" s="16" t="str">
        <f aca="false">IF(OR(C990="",D990=""),"",ROUND(MOD(D990-C990,1)*24,2))</f>
        <v/>
      </c>
      <c r="I990" s="18"/>
      <c r="J990" s="18"/>
      <c r="K990" s="18"/>
    </row>
    <row r="991" customFormat="false" ht="15" hidden="false" customHeight="false" outlineLevel="0" collapsed="false">
      <c r="A991" s="17"/>
      <c r="B991" s="18"/>
      <c r="C991" s="19"/>
      <c r="D991" s="19"/>
      <c r="E991" s="18"/>
      <c r="F991" s="18"/>
      <c r="G991" s="13" t="str">
        <f aca="false">IF(F991="","",IFERROR(INDEX(Metas!$B$5:$B$54,MATCH(F991,Metas!$A$5:$A$54,0)),"⚠ ID de meta no existe"))</f>
        <v/>
      </c>
      <c r="H991" s="16" t="str">
        <f aca="false">IF(OR(C991="",D991=""),"",ROUND(MOD(D991-C991,1)*24,2))</f>
        <v/>
      </c>
      <c r="I991" s="18"/>
      <c r="J991" s="18"/>
      <c r="K991" s="18"/>
    </row>
    <row r="992" customFormat="false" ht="15" hidden="false" customHeight="false" outlineLevel="0" collapsed="false">
      <c r="A992" s="17"/>
      <c r="B992" s="18"/>
      <c r="C992" s="19"/>
      <c r="D992" s="19"/>
      <c r="E992" s="18"/>
      <c r="F992" s="18"/>
      <c r="G992" s="13" t="str">
        <f aca="false">IF(F992="","",IFERROR(INDEX(Metas!$B$5:$B$54,MATCH(F992,Metas!$A$5:$A$54,0)),"⚠ ID de meta no existe"))</f>
        <v/>
      </c>
      <c r="H992" s="16" t="str">
        <f aca="false">IF(OR(C992="",D992=""),"",ROUND(MOD(D992-C992,1)*24,2))</f>
        <v/>
      </c>
      <c r="I992" s="18"/>
      <c r="J992" s="18"/>
      <c r="K992" s="18"/>
    </row>
    <row r="993" customFormat="false" ht="15" hidden="false" customHeight="false" outlineLevel="0" collapsed="false">
      <c r="A993" s="17"/>
      <c r="B993" s="18"/>
      <c r="C993" s="19"/>
      <c r="D993" s="19"/>
      <c r="E993" s="18"/>
      <c r="F993" s="18"/>
      <c r="G993" s="13" t="str">
        <f aca="false">IF(F993="","",IFERROR(INDEX(Metas!$B$5:$B$54,MATCH(F993,Metas!$A$5:$A$54,0)),"⚠ ID de meta no existe"))</f>
        <v/>
      </c>
      <c r="H993" s="16" t="str">
        <f aca="false">IF(OR(C993="",D993=""),"",ROUND(MOD(D993-C993,1)*24,2))</f>
        <v/>
      </c>
      <c r="I993" s="18"/>
      <c r="J993" s="18"/>
      <c r="K993" s="18"/>
    </row>
    <row r="994" customFormat="false" ht="15" hidden="false" customHeight="false" outlineLevel="0" collapsed="false">
      <c r="A994" s="17"/>
      <c r="B994" s="18"/>
      <c r="C994" s="19"/>
      <c r="D994" s="19"/>
      <c r="E994" s="18"/>
      <c r="F994" s="18"/>
      <c r="G994" s="13" t="str">
        <f aca="false">IF(F994="","",IFERROR(INDEX(Metas!$B$5:$B$54,MATCH(F994,Metas!$A$5:$A$54,0)),"⚠ ID de meta no existe"))</f>
        <v/>
      </c>
      <c r="H994" s="16" t="str">
        <f aca="false">IF(OR(C994="",D994=""),"",ROUND(MOD(D994-C994,1)*24,2))</f>
        <v/>
      </c>
      <c r="I994" s="18"/>
      <c r="J994" s="18"/>
      <c r="K994" s="18"/>
    </row>
    <row r="995" customFormat="false" ht="15" hidden="false" customHeight="false" outlineLevel="0" collapsed="false">
      <c r="A995" s="17"/>
      <c r="B995" s="18"/>
      <c r="C995" s="19"/>
      <c r="D995" s="19"/>
      <c r="E995" s="18"/>
      <c r="F995" s="18"/>
      <c r="G995" s="13" t="str">
        <f aca="false">IF(F995="","",IFERROR(INDEX(Metas!$B$5:$B$54,MATCH(F995,Metas!$A$5:$A$54,0)),"⚠ ID de meta no existe"))</f>
        <v/>
      </c>
      <c r="H995" s="16" t="str">
        <f aca="false">IF(OR(C995="",D995=""),"",ROUND(MOD(D995-C995,1)*24,2))</f>
        <v/>
      </c>
      <c r="I995" s="18"/>
      <c r="J995" s="18"/>
      <c r="K995" s="18"/>
    </row>
    <row r="996" customFormat="false" ht="15" hidden="false" customHeight="false" outlineLevel="0" collapsed="false">
      <c r="A996" s="17"/>
      <c r="B996" s="18"/>
      <c r="C996" s="19"/>
      <c r="D996" s="19"/>
      <c r="E996" s="18"/>
      <c r="F996" s="18"/>
      <c r="G996" s="13" t="str">
        <f aca="false">IF(F996="","",IFERROR(INDEX(Metas!$B$5:$B$54,MATCH(F996,Metas!$A$5:$A$54,0)),"⚠ ID de meta no existe"))</f>
        <v/>
      </c>
      <c r="H996" s="16" t="str">
        <f aca="false">IF(OR(C996="",D996=""),"",ROUND(MOD(D996-C996,1)*24,2))</f>
        <v/>
      </c>
      <c r="I996" s="18"/>
      <c r="J996" s="18"/>
      <c r="K996" s="18"/>
    </row>
    <row r="997" customFormat="false" ht="15" hidden="false" customHeight="false" outlineLevel="0" collapsed="false">
      <c r="A997" s="17"/>
      <c r="B997" s="18"/>
      <c r="C997" s="19"/>
      <c r="D997" s="19"/>
      <c r="E997" s="18"/>
      <c r="F997" s="18"/>
      <c r="G997" s="13" t="str">
        <f aca="false">IF(F997="","",IFERROR(INDEX(Metas!$B$5:$B$54,MATCH(F997,Metas!$A$5:$A$54,0)),"⚠ ID de meta no existe"))</f>
        <v/>
      </c>
      <c r="H997" s="16" t="str">
        <f aca="false">IF(OR(C997="",D997=""),"",ROUND(MOD(D997-C997,1)*24,2))</f>
        <v/>
      </c>
      <c r="I997" s="18"/>
      <c r="J997" s="18"/>
      <c r="K997" s="18"/>
    </row>
    <row r="998" customFormat="false" ht="15" hidden="false" customHeight="false" outlineLevel="0" collapsed="false">
      <c r="A998" s="17"/>
      <c r="B998" s="18"/>
      <c r="C998" s="19"/>
      <c r="D998" s="19"/>
      <c r="E998" s="18"/>
      <c r="F998" s="18"/>
      <c r="G998" s="13" t="str">
        <f aca="false">IF(F998="","",IFERROR(INDEX(Metas!$B$5:$B$54,MATCH(F998,Metas!$A$5:$A$54,0)),"⚠ ID de meta no existe"))</f>
        <v/>
      </c>
      <c r="H998" s="16" t="str">
        <f aca="false">IF(OR(C998="",D998=""),"",ROUND(MOD(D998-C998,1)*24,2))</f>
        <v/>
      </c>
      <c r="I998" s="18"/>
      <c r="J998" s="18"/>
      <c r="K998" s="18"/>
    </row>
    <row r="999" customFormat="false" ht="15" hidden="false" customHeight="false" outlineLevel="0" collapsed="false">
      <c r="A999" s="17"/>
      <c r="B999" s="18"/>
      <c r="C999" s="19"/>
      <c r="D999" s="19"/>
      <c r="E999" s="18"/>
      <c r="F999" s="18"/>
      <c r="G999" s="13" t="str">
        <f aca="false">IF(F999="","",IFERROR(INDEX(Metas!$B$5:$B$54,MATCH(F999,Metas!$A$5:$A$54,0)),"⚠ ID de meta no existe"))</f>
        <v/>
      </c>
      <c r="H999" s="16" t="str">
        <f aca="false">IF(OR(C999="",D999=""),"",ROUND(MOD(D999-C999,1)*24,2))</f>
        <v/>
      </c>
      <c r="I999" s="18"/>
      <c r="J999" s="18"/>
      <c r="K999" s="18"/>
    </row>
    <row r="1000" customFormat="false" ht="15" hidden="false" customHeight="false" outlineLevel="0" collapsed="false">
      <c r="A1000" s="17"/>
      <c r="B1000" s="18"/>
      <c r="C1000" s="19"/>
      <c r="D1000" s="19"/>
      <c r="E1000" s="18"/>
      <c r="F1000" s="18"/>
      <c r="G1000" s="13" t="str">
        <f aca="false">IF(F1000="","",IFERROR(INDEX(Metas!$B$5:$B$54,MATCH(F1000,Metas!$A$5:$A$54,0)),"⚠ ID de meta no existe"))</f>
        <v/>
      </c>
      <c r="H1000" s="16" t="str">
        <f aca="false">IF(OR(C1000="",D1000=""),"",ROUND(MOD(D1000-C1000,1)*24,2))</f>
        <v/>
      </c>
      <c r="I1000" s="18"/>
      <c r="J1000" s="18"/>
      <c r="K1000" s="18"/>
    </row>
    <row r="1001" customFormat="false" ht="15" hidden="false" customHeight="false" outlineLevel="0" collapsed="false">
      <c r="A1001" s="17"/>
      <c r="B1001" s="18"/>
      <c r="C1001" s="19"/>
      <c r="D1001" s="19"/>
      <c r="E1001" s="18"/>
      <c r="F1001" s="18"/>
      <c r="G1001" s="13" t="str">
        <f aca="false">IF(F1001="","",IFERROR(INDEX(Metas!$B$5:$B$54,MATCH(F1001,Metas!$A$5:$A$54,0)),"⚠ ID de meta no existe"))</f>
        <v/>
      </c>
      <c r="H1001" s="16" t="str">
        <f aca="false">IF(OR(C1001="",D1001=""),"",ROUND(MOD(D1001-C1001,1)*24,2))</f>
        <v/>
      </c>
      <c r="I1001" s="18"/>
      <c r="J1001" s="18"/>
      <c r="K1001" s="18"/>
    </row>
    <row r="1002" customFormat="false" ht="15" hidden="false" customHeight="false" outlineLevel="0" collapsed="false">
      <c r="A1002" s="17"/>
      <c r="B1002" s="18"/>
      <c r="C1002" s="19"/>
      <c r="D1002" s="19"/>
      <c r="E1002" s="18"/>
      <c r="F1002" s="18"/>
      <c r="G1002" s="13" t="str">
        <f aca="false">IF(F1002="","",IFERROR(INDEX(Metas!$B$5:$B$54,MATCH(F1002,Metas!$A$5:$A$54,0)),"⚠ ID de meta no existe"))</f>
        <v/>
      </c>
      <c r="H1002" s="16" t="str">
        <f aca="false">IF(OR(C1002="",D1002=""),"",ROUND(MOD(D1002-C1002,1)*24,2))</f>
        <v/>
      </c>
      <c r="I1002" s="18"/>
      <c r="J1002" s="18"/>
      <c r="K1002" s="18"/>
    </row>
    <row r="1003" customFormat="false" ht="15" hidden="false" customHeight="false" outlineLevel="0" collapsed="false">
      <c r="A1003" s="17"/>
      <c r="B1003" s="18"/>
      <c r="C1003" s="19"/>
      <c r="D1003" s="19"/>
      <c r="E1003" s="18"/>
      <c r="F1003" s="18"/>
      <c r="G1003" s="13" t="str">
        <f aca="false">IF(F1003="","",IFERROR(INDEX(Metas!$B$5:$B$54,MATCH(F1003,Metas!$A$5:$A$54,0)),"⚠ ID de meta no existe"))</f>
        <v/>
      </c>
      <c r="H1003" s="16" t="str">
        <f aca="false">IF(OR(C1003="",D1003=""),"",ROUND(MOD(D1003-C1003,1)*24,2))</f>
        <v/>
      </c>
      <c r="I1003" s="18"/>
      <c r="J1003" s="18"/>
      <c r="K1003" s="18"/>
    </row>
    <row r="1004" customFormat="false" ht="15" hidden="false" customHeight="false" outlineLevel="0" collapsed="false">
      <c r="A1004" s="17"/>
      <c r="B1004" s="18"/>
      <c r="C1004" s="19"/>
      <c r="D1004" s="19"/>
      <c r="E1004" s="18"/>
      <c r="F1004" s="18"/>
      <c r="G1004" s="13" t="str">
        <f aca="false">IF(F1004="","",IFERROR(INDEX(Metas!$B$5:$B$54,MATCH(F1004,Metas!$A$5:$A$54,0)),"⚠ ID de meta no existe"))</f>
        <v/>
      </c>
      <c r="H1004" s="16" t="str">
        <f aca="false">IF(OR(C1004="",D1004=""),"",ROUND(MOD(D1004-C1004,1)*24,2))</f>
        <v/>
      </c>
      <c r="I1004" s="18"/>
      <c r="J1004" s="18"/>
      <c r="K1004" s="18"/>
    </row>
    <row r="1005" customFormat="false" ht="15" hidden="false" customHeight="false" outlineLevel="0" collapsed="false">
      <c r="A1005" s="17"/>
      <c r="B1005" s="18"/>
      <c r="C1005" s="19"/>
      <c r="D1005" s="19"/>
      <c r="E1005" s="18"/>
      <c r="F1005" s="18"/>
      <c r="G1005" s="13" t="str">
        <f aca="false">IF(F1005="","",IFERROR(INDEX(Metas!$B$5:$B$54,MATCH(F1005,Metas!$A$5:$A$54,0)),"⚠ ID de meta no existe"))</f>
        <v/>
      </c>
      <c r="H1005" s="16" t="str">
        <f aca="false">IF(OR(C1005="",D1005=""),"",ROUND(MOD(D1005-C1005,1)*24,2))</f>
        <v/>
      </c>
      <c r="I1005" s="18"/>
      <c r="J1005" s="18"/>
      <c r="K1005" s="18"/>
    </row>
    <row r="1006" customFormat="false" ht="15" hidden="false" customHeight="false" outlineLevel="0" collapsed="false">
      <c r="A1006" s="17"/>
      <c r="B1006" s="18"/>
      <c r="C1006" s="19"/>
      <c r="D1006" s="19"/>
      <c r="E1006" s="18"/>
      <c r="F1006" s="18"/>
      <c r="G1006" s="13" t="str">
        <f aca="false">IF(F1006="","",IFERROR(INDEX(Metas!$B$5:$B$54,MATCH(F1006,Metas!$A$5:$A$54,0)),"⚠ ID de meta no existe"))</f>
        <v/>
      </c>
      <c r="H1006" s="16" t="str">
        <f aca="false">IF(OR(C1006="",D1006=""),"",ROUND(MOD(D1006-C1006,1)*24,2))</f>
        <v/>
      </c>
      <c r="I1006" s="18"/>
      <c r="J1006" s="18"/>
      <c r="K1006" s="18"/>
    </row>
    <row r="1007" customFormat="false" ht="15" hidden="false" customHeight="false" outlineLevel="0" collapsed="false">
      <c r="A1007" s="17"/>
      <c r="B1007" s="18"/>
      <c r="C1007" s="19"/>
      <c r="D1007" s="19"/>
      <c r="E1007" s="18"/>
      <c r="F1007" s="18"/>
      <c r="G1007" s="13" t="str">
        <f aca="false">IF(F1007="","",IFERROR(INDEX(Metas!$B$5:$B$54,MATCH(F1007,Metas!$A$5:$A$54,0)),"⚠ ID de meta no existe"))</f>
        <v/>
      </c>
      <c r="H1007" s="16" t="str">
        <f aca="false">IF(OR(C1007="",D1007=""),"",ROUND(MOD(D1007-C1007,1)*24,2))</f>
        <v/>
      </c>
      <c r="I1007" s="18"/>
      <c r="J1007" s="18"/>
      <c r="K1007" s="18"/>
    </row>
    <row r="1008" customFormat="false" ht="15" hidden="false" customHeight="false" outlineLevel="0" collapsed="false">
      <c r="A1008" s="17"/>
      <c r="B1008" s="18"/>
      <c r="C1008" s="19"/>
      <c r="D1008" s="19"/>
      <c r="E1008" s="18"/>
      <c r="F1008" s="18"/>
      <c r="G1008" s="13" t="str">
        <f aca="false">IF(F1008="","",IFERROR(INDEX(Metas!$B$5:$B$54,MATCH(F1008,Metas!$A$5:$A$54,0)),"⚠ ID de meta no existe"))</f>
        <v/>
      </c>
      <c r="H1008" s="16" t="str">
        <f aca="false">IF(OR(C1008="",D1008=""),"",ROUND(MOD(D1008-C1008,1)*24,2))</f>
        <v/>
      </c>
      <c r="I1008" s="18"/>
      <c r="J1008" s="18"/>
      <c r="K1008" s="18"/>
    </row>
    <row r="1009" customFormat="false" ht="15" hidden="false" customHeight="false" outlineLevel="0" collapsed="false">
      <c r="A1009" s="17"/>
      <c r="B1009" s="18"/>
      <c r="C1009" s="19"/>
      <c r="D1009" s="19"/>
      <c r="E1009" s="18"/>
      <c r="F1009" s="18"/>
      <c r="G1009" s="13" t="str">
        <f aca="false">IF(F1009="","",IFERROR(INDEX(Metas!$B$5:$B$54,MATCH(F1009,Metas!$A$5:$A$54,0)),"⚠ ID de meta no existe"))</f>
        <v/>
      </c>
      <c r="H1009" s="16" t="str">
        <f aca="false">IF(OR(C1009="",D1009=""),"",ROUND(MOD(D1009-C1009,1)*24,2))</f>
        <v/>
      </c>
      <c r="I1009" s="18"/>
      <c r="J1009" s="18"/>
      <c r="K1009" s="18"/>
    </row>
    <row r="1010" customFormat="false" ht="15" hidden="false" customHeight="false" outlineLevel="0" collapsed="false">
      <c r="A1010" s="17"/>
      <c r="B1010" s="18"/>
      <c r="C1010" s="19"/>
      <c r="D1010" s="19"/>
      <c r="E1010" s="18"/>
      <c r="F1010" s="18"/>
      <c r="G1010" s="13" t="str">
        <f aca="false">IF(F1010="","",IFERROR(INDEX(Metas!$B$5:$B$54,MATCH(F1010,Metas!$A$5:$A$54,0)),"⚠ ID de meta no existe"))</f>
        <v/>
      </c>
      <c r="H1010" s="16" t="str">
        <f aca="false">IF(OR(C1010="",D1010=""),"",ROUND(MOD(D1010-C1010,1)*24,2))</f>
        <v/>
      </c>
      <c r="I1010" s="18"/>
      <c r="J1010" s="18"/>
      <c r="K1010" s="18"/>
    </row>
    <row r="1011" customFormat="false" ht="15" hidden="false" customHeight="false" outlineLevel="0" collapsed="false">
      <c r="A1011" s="17"/>
      <c r="B1011" s="18"/>
      <c r="C1011" s="19"/>
      <c r="D1011" s="19"/>
      <c r="E1011" s="18"/>
      <c r="F1011" s="18"/>
      <c r="G1011" s="13" t="str">
        <f aca="false">IF(F1011="","",IFERROR(INDEX(Metas!$B$5:$B$54,MATCH(F1011,Metas!$A$5:$A$54,0)),"⚠ ID de meta no existe"))</f>
        <v/>
      </c>
      <c r="H1011" s="16" t="str">
        <f aca="false">IF(OR(C1011="",D1011=""),"",ROUND(MOD(D1011-C1011,1)*24,2))</f>
        <v/>
      </c>
      <c r="I1011" s="18"/>
      <c r="J1011" s="18"/>
      <c r="K1011" s="18"/>
    </row>
    <row r="1012" customFormat="false" ht="15" hidden="false" customHeight="false" outlineLevel="0" collapsed="false">
      <c r="A1012" s="17"/>
      <c r="B1012" s="18"/>
      <c r="C1012" s="19"/>
      <c r="D1012" s="19"/>
      <c r="E1012" s="18"/>
      <c r="F1012" s="18"/>
      <c r="G1012" s="13" t="str">
        <f aca="false">IF(F1012="","",IFERROR(INDEX(Metas!$B$5:$B$54,MATCH(F1012,Metas!$A$5:$A$54,0)),"⚠ ID de meta no existe"))</f>
        <v/>
      </c>
      <c r="H1012" s="16" t="str">
        <f aca="false">IF(OR(C1012="",D1012=""),"",ROUND(MOD(D1012-C1012,1)*24,2))</f>
        <v/>
      </c>
      <c r="I1012" s="18"/>
      <c r="J1012" s="18"/>
      <c r="K1012" s="18"/>
    </row>
    <row r="1013" customFormat="false" ht="15" hidden="false" customHeight="false" outlineLevel="0" collapsed="false">
      <c r="A1013" s="17"/>
      <c r="B1013" s="18"/>
      <c r="C1013" s="19"/>
      <c r="D1013" s="19"/>
      <c r="E1013" s="18"/>
      <c r="F1013" s="18"/>
      <c r="G1013" s="13" t="str">
        <f aca="false">IF(F1013="","",IFERROR(INDEX(Metas!$B$5:$B$54,MATCH(F1013,Metas!$A$5:$A$54,0)),"⚠ ID de meta no existe"))</f>
        <v/>
      </c>
      <c r="H1013" s="16" t="str">
        <f aca="false">IF(OR(C1013="",D1013=""),"",ROUND(MOD(D1013-C1013,1)*24,2))</f>
        <v/>
      </c>
      <c r="I1013" s="18"/>
      <c r="J1013" s="18"/>
      <c r="K1013" s="18"/>
    </row>
    <row r="1014" customFormat="false" ht="15" hidden="false" customHeight="false" outlineLevel="0" collapsed="false">
      <c r="A1014" s="17"/>
      <c r="B1014" s="18"/>
      <c r="C1014" s="19"/>
      <c r="D1014" s="19"/>
      <c r="E1014" s="18"/>
      <c r="F1014" s="18"/>
      <c r="G1014" s="13" t="str">
        <f aca="false">IF(F1014="","",IFERROR(INDEX(Metas!$B$5:$B$54,MATCH(F1014,Metas!$A$5:$A$54,0)),"⚠ ID de meta no existe"))</f>
        <v/>
      </c>
      <c r="H1014" s="16" t="str">
        <f aca="false">IF(OR(C1014="",D1014=""),"",ROUND(MOD(D1014-C1014,1)*24,2))</f>
        <v/>
      </c>
      <c r="I1014" s="18"/>
      <c r="J1014" s="18"/>
      <c r="K1014" s="18"/>
    </row>
    <row r="1015" customFormat="false" ht="15" hidden="false" customHeight="false" outlineLevel="0" collapsed="false">
      <c r="A1015" s="17"/>
      <c r="B1015" s="18"/>
      <c r="C1015" s="19"/>
      <c r="D1015" s="19"/>
      <c r="E1015" s="18"/>
      <c r="F1015" s="18"/>
      <c r="G1015" s="13" t="str">
        <f aca="false">IF(F1015="","",IFERROR(INDEX(Metas!$B$5:$B$54,MATCH(F1015,Metas!$A$5:$A$54,0)),"⚠ ID de meta no existe"))</f>
        <v/>
      </c>
      <c r="H1015" s="16" t="str">
        <f aca="false">IF(OR(C1015="",D1015=""),"",ROUND(MOD(D1015-C1015,1)*24,2))</f>
        <v/>
      </c>
      <c r="I1015" s="18"/>
      <c r="J1015" s="18"/>
      <c r="K1015" s="18"/>
    </row>
    <row r="1016" customFormat="false" ht="15" hidden="false" customHeight="false" outlineLevel="0" collapsed="false">
      <c r="A1016" s="17"/>
      <c r="B1016" s="18"/>
      <c r="C1016" s="19"/>
      <c r="D1016" s="19"/>
      <c r="E1016" s="18"/>
      <c r="F1016" s="18"/>
      <c r="G1016" s="13" t="str">
        <f aca="false">IF(F1016="","",IFERROR(INDEX(Metas!$B$5:$B$54,MATCH(F1016,Metas!$A$5:$A$54,0)),"⚠ ID de meta no existe"))</f>
        <v/>
      </c>
      <c r="H1016" s="16" t="str">
        <f aca="false">IF(OR(C1016="",D1016=""),"",ROUND(MOD(D1016-C1016,1)*24,2))</f>
        <v/>
      </c>
      <c r="I1016" s="18"/>
      <c r="J1016" s="18"/>
      <c r="K1016" s="18"/>
    </row>
    <row r="1017" customFormat="false" ht="15" hidden="false" customHeight="false" outlineLevel="0" collapsed="false">
      <c r="A1017" s="17"/>
      <c r="B1017" s="18"/>
      <c r="C1017" s="19"/>
      <c r="D1017" s="19"/>
      <c r="E1017" s="18"/>
      <c r="F1017" s="18"/>
      <c r="G1017" s="13" t="str">
        <f aca="false">IF(F1017="","",IFERROR(INDEX(Metas!$B$5:$B$54,MATCH(F1017,Metas!$A$5:$A$54,0)),"⚠ ID de meta no existe"))</f>
        <v/>
      </c>
      <c r="H1017" s="16" t="str">
        <f aca="false">IF(OR(C1017="",D1017=""),"",ROUND(MOD(D1017-C1017,1)*24,2))</f>
        <v/>
      </c>
      <c r="I1017" s="18"/>
      <c r="J1017" s="18"/>
      <c r="K1017" s="18"/>
    </row>
    <row r="1018" customFormat="false" ht="15" hidden="false" customHeight="false" outlineLevel="0" collapsed="false">
      <c r="A1018" s="17"/>
      <c r="B1018" s="18"/>
      <c r="C1018" s="19"/>
      <c r="D1018" s="19"/>
      <c r="E1018" s="18"/>
      <c r="F1018" s="18"/>
      <c r="G1018" s="13" t="str">
        <f aca="false">IF(F1018="","",IFERROR(INDEX(Metas!$B$5:$B$54,MATCH(F1018,Metas!$A$5:$A$54,0)),"⚠ ID de meta no existe"))</f>
        <v/>
      </c>
      <c r="H1018" s="16" t="str">
        <f aca="false">IF(OR(C1018="",D1018=""),"",ROUND(MOD(D1018-C1018,1)*24,2))</f>
        <v/>
      </c>
      <c r="I1018" s="18"/>
      <c r="J1018" s="18"/>
      <c r="K1018" s="18"/>
    </row>
    <row r="1019" customFormat="false" ht="15" hidden="false" customHeight="false" outlineLevel="0" collapsed="false">
      <c r="A1019" s="17"/>
      <c r="B1019" s="18"/>
      <c r="C1019" s="19"/>
      <c r="D1019" s="19"/>
      <c r="E1019" s="18"/>
      <c r="F1019" s="18"/>
      <c r="G1019" s="13" t="str">
        <f aca="false">IF(F1019="","",IFERROR(INDEX(Metas!$B$5:$B$54,MATCH(F1019,Metas!$A$5:$A$54,0)),"⚠ ID de meta no existe"))</f>
        <v/>
      </c>
      <c r="H1019" s="16" t="str">
        <f aca="false">IF(OR(C1019="",D1019=""),"",ROUND(MOD(D1019-C1019,1)*24,2))</f>
        <v/>
      </c>
      <c r="I1019" s="18"/>
      <c r="J1019" s="18"/>
      <c r="K1019" s="18"/>
    </row>
    <row r="1020" customFormat="false" ht="15" hidden="false" customHeight="false" outlineLevel="0" collapsed="false">
      <c r="A1020" s="17"/>
      <c r="B1020" s="18"/>
      <c r="C1020" s="19"/>
      <c r="D1020" s="19"/>
      <c r="E1020" s="18"/>
      <c r="F1020" s="18"/>
      <c r="G1020" s="13" t="str">
        <f aca="false">IF(F1020="","",IFERROR(INDEX(Metas!$B$5:$B$54,MATCH(F1020,Metas!$A$5:$A$54,0)),"⚠ ID de meta no existe"))</f>
        <v/>
      </c>
      <c r="H1020" s="16" t="str">
        <f aca="false">IF(OR(C1020="",D1020=""),"",ROUND(MOD(D1020-C1020,1)*24,2))</f>
        <v/>
      </c>
      <c r="I1020" s="18"/>
      <c r="J1020" s="18"/>
      <c r="K1020" s="18"/>
    </row>
    <row r="1021" customFormat="false" ht="15" hidden="false" customHeight="false" outlineLevel="0" collapsed="false">
      <c r="A1021" s="17"/>
      <c r="B1021" s="18"/>
      <c r="C1021" s="19"/>
      <c r="D1021" s="19"/>
      <c r="E1021" s="18"/>
      <c r="F1021" s="18"/>
      <c r="G1021" s="13" t="str">
        <f aca="false">IF(F1021="","",IFERROR(INDEX(Metas!$B$5:$B$54,MATCH(F1021,Metas!$A$5:$A$54,0)),"⚠ ID de meta no existe"))</f>
        <v/>
      </c>
      <c r="H1021" s="16" t="str">
        <f aca="false">IF(OR(C1021="",D1021=""),"",ROUND(MOD(D1021-C1021,1)*24,2))</f>
        <v/>
      </c>
      <c r="I1021" s="18"/>
      <c r="J1021" s="18"/>
      <c r="K1021" s="18"/>
    </row>
    <row r="1022" customFormat="false" ht="15" hidden="false" customHeight="false" outlineLevel="0" collapsed="false">
      <c r="A1022" s="17"/>
      <c r="B1022" s="18"/>
      <c r="C1022" s="19"/>
      <c r="D1022" s="19"/>
      <c r="E1022" s="18"/>
      <c r="F1022" s="18"/>
      <c r="G1022" s="13" t="str">
        <f aca="false">IF(F1022="","",IFERROR(INDEX(Metas!$B$5:$B$54,MATCH(F1022,Metas!$A$5:$A$54,0)),"⚠ ID de meta no existe"))</f>
        <v/>
      </c>
      <c r="H1022" s="16" t="str">
        <f aca="false">IF(OR(C1022="",D1022=""),"",ROUND(MOD(D1022-C1022,1)*24,2))</f>
        <v/>
      </c>
      <c r="I1022" s="18"/>
      <c r="J1022" s="18"/>
      <c r="K1022" s="18"/>
    </row>
    <row r="1023" customFormat="false" ht="15" hidden="false" customHeight="false" outlineLevel="0" collapsed="false">
      <c r="A1023" s="17"/>
      <c r="B1023" s="18"/>
      <c r="C1023" s="19"/>
      <c r="D1023" s="19"/>
      <c r="E1023" s="18"/>
      <c r="F1023" s="18"/>
      <c r="G1023" s="13" t="str">
        <f aca="false">IF(F1023="","",IFERROR(INDEX(Metas!$B$5:$B$54,MATCH(F1023,Metas!$A$5:$A$54,0)),"⚠ ID de meta no existe"))</f>
        <v/>
      </c>
      <c r="H1023" s="16" t="str">
        <f aca="false">IF(OR(C1023="",D1023=""),"",ROUND(MOD(D1023-C1023,1)*24,2))</f>
        <v/>
      </c>
      <c r="I1023" s="18"/>
      <c r="J1023" s="18"/>
      <c r="K1023" s="18"/>
    </row>
    <row r="1024" customFormat="false" ht="15" hidden="false" customHeight="false" outlineLevel="0" collapsed="false">
      <c r="A1024" s="17"/>
      <c r="B1024" s="18"/>
      <c r="C1024" s="19"/>
      <c r="D1024" s="19"/>
      <c r="E1024" s="18"/>
      <c r="F1024" s="18"/>
      <c r="G1024" s="13" t="str">
        <f aca="false">IF(F1024="","",IFERROR(INDEX(Metas!$B$5:$B$54,MATCH(F1024,Metas!$A$5:$A$54,0)),"⚠ ID de meta no existe"))</f>
        <v/>
      </c>
      <c r="H1024" s="16" t="str">
        <f aca="false">IF(OR(C1024="",D1024=""),"",ROUND(MOD(D1024-C1024,1)*24,2))</f>
        <v/>
      </c>
      <c r="I1024" s="18"/>
      <c r="J1024" s="18"/>
      <c r="K1024" s="18"/>
    </row>
    <row r="1025" customFormat="false" ht="15" hidden="false" customHeight="false" outlineLevel="0" collapsed="false">
      <c r="A1025" s="17"/>
      <c r="B1025" s="18"/>
      <c r="C1025" s="19"/>
      <c r="D1025" s="19"/>
      <c r="E1025" s="18"/>
      <c r="F1025" s="18"/>
      <c r="G1025" s="13" t="str">
        <f aca="false">IF(F1025="","",IFERROR(INDEX(Metas!$B$5:$B$54,MATCH(F1025,Metas!$A$5:$A$54,0)),"⚠ ID de meta no existe"))</f>
        <v/>
      </c>
      <c r="H1025" s="16" t="str">
        <f aca="false">IF(OR(C1025="",D1025=""),"",ROUND(MOD(D1025-C1025,1)*24,2))</f>
        <v/>
      </c>
      <c r="I1025" s="18"/>
      <c r="J1025" s="18"/>
      <c r="K1025" s="18"/>
    </row>
    <row r="1026" customFormat="false" ht="15" hidden="false" customHeight="false" outlineLevel="0" collapsed="false">
      <c r="A1026" s="17"/>
      <c r="B1026" s="18"/>
      <c r="C1026" s="19"/>
      <c r="D1026" s="19"/>
      <c r="E1026" s="18"/>
      <c r="F1026" s="18"/>
      <c r="G1026" s="13" t="str">
        <f aca="false">IF(F1026="","",IFERROR(INDEX(Metas!$B$5:$B$54,MATCH(F1026,Metas!$A$5:$A$54,0)),"⚠ ID de meta no existe"))</f>
        <v/>
      </c>
      <c r="H1026" s="16" t="str">
        <f aca="false">IF(OR(C1026="",D1026=""),"",ROUND(MOD(D1026-C1026,1)*24,2))</f>
        <v/>
      </c>
      <c r="I1026" s="18"/>
      <c r="J1026" s="18"/>
      <c r="K1026" s="18"/>
    </row>
    <row r="1027" customFormat="false" ht="15" hidden="false" customHeight="false" outlineLevel="0" collapsed="false">
      <c r="A1027" s="17"/>
      <c r="B1027" s="18"/>
      <c r="C1027" s="19"/>
      <c r="D1027" s="19"/>
      <c r="E1027" s="18"/>
      <c r="F1027" s="18"/>
      <c r="G1027" s="13" t="str">
        <f aca="false">IF(F1027="","",IFERROR(INDEX(Metas!$B$5:$B$54,MATCH(F1027,Metas!$A$5:$A$54,0)),"⚠ ID de meta no existe"))</f>
        <v/>
      </c>
      <c r="H1027" s="16" t="str">
        <f aca="false">IF(OR(C1027="",D1027=""),"",ROUND(MOD(D1027-C1027,1)*24,2))</f>
        <v/>
      </c>
      <c r="I1027" s="18"/>
      <c r="J1027" s="18"/>
      <c r="K1027" s="18"/>
    </row>
    <row r="1028" customFormat="false" ht="15" hidden="false" customHeight="false" outlineLevel="0" collapsed="false">
      <c r="A1028" s="17"/>
      <c r="B1028" s="18"/>
      <c r="C1028" s="19"/>
      <c r="D1028" s="19"/>
      <c r="E1028" s="18"/>
      <c r="F1028" s="18"/>
      <c r="G1028" s="13" t="str">
        <f aca="false">IF(F1028="","",IFERROR(INDEX(Metas!$B$5:$B$54,MATCH(F1028,Metas!$A$5:$A$54,0)),"⚠ ID de meta no existe"))</f>
        <v/>
      </c>
      <c r="H1028" s="16" t="str">
        <f aca="false">IF(OR(C1028="",D1028=""),"",ROUND(MOD(D1028-C1028,1)*24,2))</f>
        <v/>
      </c>
      <c r="I1028" s="18"/>
      <c r="J1028" s="18"/>
      <c r="K1028" s="18"/>
    </row>
    <row r="1029" customFormat="false" ht="15" hidden="false" customHeight="false" outlineLevel="0" collapsed="false">
      <c r="A1029" s="17"/>
      <c r="B1029" s="18"/>
      <c r="C1029" s="19"/>
      <c r="D1029" s="19"/>
      <c r="E1029" s="18"/>
      <c r="F1029" s="18"/>
      <c r="G1029" s="13" t="str">
        <f aca="false">IF(F1029="","",IFERROR(INDEX(Metas!$B$5:$B$54,MATCH(F1029,Metas!$A$5:$A$54,0)),"⚠ ID de meta no existe"))</f>
        <v/>
      </c>
      <c r="H1029" s="16" t="str">
        <f aca="false">IF(OR(C1029="",D1029=""),"",ROUND(MOD(D1029-C1029,1)*24,2))</f>
        <v/>
      </c>
      <c r="I1029" s="18"/>
      <c r="J1029" s="18"/>
      <c r="K1029" s="18"/>
    </row>
    <row r="1030" customFormat="false" ht="15" hidden="false" customHeight="false" outlineLevel="0" collapsed="false">
      <c r="A1030" s="17"/>
      <c r="B1030" s="18"/>
      <c r="C1030" s="19"/>
      <c r="D1030" s="19"/>
      <c r="E1030" s="18"/>
      <c r="F1030" s="18"/>
      <c r="G1030" s="13" t="str">
        <f aca="false">IF(F1030="","",IFERROR(INDEX(Metas!$B$5:$B$54,MATCH(F1030,Metas!$A$5:$A$54,0)),"⚠ ID de meta no existe"))</f>
        <v/>
      </c>
      <c r="H1030" s="16" t="str">
        <f aca="false">IF(OR(C1030="",D1030=""),"",ROUND(MOD(D1030-C1030,1)*24,2))</f>
        <v/>
      </c>
      <c r="I1030" s="18"/>
      <c r="J1030" s="18"/>
      <c r="K1030" s="18"/>
    </row>
    <row r="1031" customFormat="false" ht="15" hidden="false" customHeight="false" outlineLevel="0" collapsed="false">
      <c r="A1031" s="17"/>
      <c r="B1031" s="18"/>
      <c r="C1031" s="19"/>
      <c r="D1031" s="19"/>
      <c r="E1031" s="18"/>
      <c r="F1031" s="18"/>
      <c r="G1031" s="13" t="str">
        <f aca="false">IF(F1031="","",IFERROR(INDEX(Metas!$B$5:$B$54,MATCH(F1031,Metas!$A$5:$A$54,0)),"⚠ ID de meta no existe"))</f>
        <v/>
      </c>
      <c r="H1031" s="16" t="str">
        <f aca="false">IF(OR(C1031="",D1031=""),"",ROUND(MOD(D1031-C1031,1)*24,2))</f>
        <v/>
      </c>
      <c r="I1031" s="18"/>
      <c r="J1031" s="18"/>
      <c r="K1031" s="18"/>
    </row>
    <row r="1032" customFormat="false" ht="15" hidden="false" customHeight="false" outlineLevel="0" collapsed="false">
      <c r="A1032" s="17"/>
      <c r="B1032" s="18"/>
      <c r="C1032" s="19"/>
      <c r="D1032" s="19"/>
      <c r="E1032" s="18"/>
      <c r="F1032" s="18"/>
      <c r="G1032" s="13" t="str">
        <f aca="false">IF(F1032="","",IFERROR(INDEX(Metas!$B$5:$B$54,MATCH(F1032,Metas!$A$5:$A$54,0)),"⚠ ID de meta no existe"))</f>
        <v/>
      </c>
      <c r="H1032" s="16" t="str">
        <f aca="false">IF(OR(C1032="",D1032=""),"",ROUND(MOD(D1032-C1032,1)*24,2))</f>
        <v/>
      </c>
      <c r="I1032" s="18"/>
      <c r="J1032" s="18"/>
      <c r="K1032" s="18"/>
    </row>
    <row r="1033" customFormat="false" ht="15" hidden="false" customHeight="false" outlineLevel="0" collapsed="false">
      <c r="A1033" s="17"/>
      <c r="B1033" s="18"/>
      <c r="C1033" s="19"/>
      <c r="D1033" s="19"/>
      <c r="E1033" s="18"/>
      <c r="F1033" s="18"/>
      <c r="G1033" s="13" t="str">
        <f aca="false">IF(F1033="","",IFERROR(INDEX(Metas!$B$5:$B$54,MATCH(F1033,Metas!$A$5:$A$54,0)),"⚠ ID de meta no existe"))</f>
        <v/>
      </c>
      <c r="H1033" s="16" t="str">
        <f aca="false">IF(OR(C1033="",D1033=""),"",ROUND(MOD(D1033-C1033,1)*24,2))</f>
        <v/>
      </c>
      <c r="I1033" s="18"/>
      <c r="J1033" s="18"/>
      <c r="K1033" s="18"/>
    </row>
    <row r="1034" customFormat="false" ht="15" hidden="false" customHeight="false" outlineLevel="0" collapsed="false">
      <c r="A1034" s="17"/>
      <c r="B1034" s="18"/>
      <c r="C1034" s="19"/>
      <c r="D1034" s="19"/>
      <c r="E1034" s="18"/>
      <c r="F1034" s="18"/>
      <c r="G1034" s="13" t="str">
        <f aca="false">IF(F1034="","",IFERROR(INDEX(Metas!$B$5:$B$54,MATCH(F1034,Metas!$A$5:$A$54,0)),"⚠ ID de meta no existe"))</f>
        <v/>
      </c>
      <c r="H1034" s="16" t="str">
        <f aca="false">IF(OR(C1034="",D1034=""),"",ROUND(MOD(D1034-C1034,1)*24,2))</f>
        <v/>
      </c>
      <c r="I1034" s="18"/>
      <c r="J1034" s="18"/>
      <c r="K1034" s="18"/>
    </row>
    <row r="1035" customFormat="false" ht="15" hidden="false" customHeight="false" outlineLevel="0" collapsed="false">
      <c r="A1035" s="17"/>
      <c r="B1035" s="18"/>
      <c r="C1035" s="19"/>
      <c r="D1035" s="19"/>
      <c r="E1035" s="18"/>
      <c r="F1035" s="18"/>
      <c r="G1035" s="13" t="str">
        <f aca="false">IF(F1035="","",IFERROR(INDEX(Metas!$B$5:$B$54,MATCH(F1035,Metas!$A$5:$A$54,0)),"⚠ ID de meta no existe"))</f>
        <v/>
      </c>
      <c r="H1035" s="16" t="str">
        <f aca="false">IF(OR(C1035="",D1035=""),"",ROUND(MOD(D1035-C1035,1)*24,2))</f>
        <v/>
      </c>
      <c r="I1035" s="18"/>
      <c r="J1035" s="18"/>
      <c r="K1035" s="18"/>
    </row>
    <row r="1036" customFormat="false" ht="15" hidden="false" customHeight="false" outlineLevel="0" collapsed="false">
      <c r="A1036" s="17"/>
      <c r="B1036" s="18"/>
      <c r="C1036" s="19"/>
      <c r="D1036" s="19"/>
      <c r="E1036" s="18"/>
      <c r="F1036" s="18"/>
      <c r="G1036" s="13" t="str">
        <f aca="false">IF(F1036="","",IFERROR(INDEX(Metas!$B$5:$B$54,MATCH(F1036,Metas!$A$5:$A$54,0)),"⚠ ID de meta no existe"))</f>
        <v/>
      </c>
      <c r="H1036" s="16" t="str">
        <f aca="false">IF(OR(C1036="",D1036=""),"",ROUND(MOD(D1036-C1036,1)*24,2))</f>
        <v/>
      </c>
      <c r="I1036" s="18"/>
      <c r="J1036" s="18"/>
      <c r="K1036" s="18"/>
    </row>
    <row r="1037" customFormat="false" ht="15" hidden="false" customHeight="false" outlineLevel="0" collapsed="false">
      <c r="A1037" s="17"/>
      <c r="B1037" s="18"/>
      <c r="C1037" s="19"/>
      <c r="D1037" s="19"/>
      <c r="E1037" s="18"/>
      <c r="F1037" s="18"/>
      <c r="G1037" s="13" t="str">
        <f aca="false">IF(F1037="","",IFERROR(INDEX(Metas!$B$5:$B$54,MATCH(F1037,Metas!$A$5:$A$54,0)),"⚠ ID de meta no existe"))</f>
        <v/>
      </c>
      <c r="H1037" s="16" t="str">
        <f aca="false">IF(OR(C1037="",D1037=""),"",ROUND(MOD(D1037-C1037,1)*24,2))</f>
        <v/>
      </c>
      <c r="I1037" s="18"/>
      <c r="J1037" s="18"/>
      <c r="K1037" s="18"/>
    </row>
    <row r="1038" customFormat="false" ht="15" hidden="false" customHeight="false" outlineLevel="0" collapsed="false">
      <c r="A1038" s="17"/>
      <c r="B1038" s="18"/>
      <c r="C1038" s="19"/>
      <c r="D1038" s="19"/>
      <c r="E1038" s="18"/>
      <c r="F1038" s="18"/>
      <c r="G1038" s="13" t="str">
        <f aca="false">IF(F1038="","",IFERROR(INDEX(Metas!$B$5:$B$54,MATCH(F1038,Metas!$A$5:$A$54,0)),"⚠ ID de meta no existe"))</f>
        <v/>
      </c>
      <c r="H1038" s="16" t="str">
        <f aca="false">IF(OR(C1038="",D1038=""),"",ROUND(MOD(D1038-C1038,1)*24,2))</f>
        <v/>
      </c>
      <c r="I1038" s="18"/>
      <c r="J1038" s="18"/>
      <c r="K1038" s="18"/>
    </row>
    <row r="1039" customFormat="false" ht="15" hidden="false" customHeight="false" outlineLevel="0" collapsed="false">
      <c r="A1039" s="17"/>
      <c r="B1039" s="18"/>
      <c r="C1039" s="19"/>
      <c r="D1039" s="19"/>
      <c r="E1039" s="18"/>
      <c r="F1039" s="18"/>
      <c r="G1039" s="13" t="str">
        <f aca="false">IF(F1039="","",IFERROR(INDEX(Metas!$B$5:$B$54,MATCH(F1039,Metas!$A$5:$A$54,0)),"⚠ ID de meta no existe"))</f>
        <v/>
      </c>
      <c r="H1039" s="16" t="str">
        <f aca="false">IF(OR(C1039="",D1039=""),"",ROUND(MOD(D1039-C1039,1)*24,2))</f>
        <v/>
      </c>
      <c r="I1039" s="18"/>
      <c r="J1039" s="18"/>
      <c r="K1039" s="18"/>
    </row>
    <row r="1040" customFormat="false" ht="15" hidden="false" customHeight="false" outlineLevel="0" collapsed="false">
      <c r="A1040" s="17"/>
      <c r="B1040" s="18"/>
      <c r="C1040" s="19"/>
      <c r="D1040" s="19"/>
      <c r="E1040" s="18"/>
      <c r="F1040" s="18"/>
      <c r="G1040" s="13" t="str">
        <f aca="false">IF(F1040="","",IFERROR(INDEX(Metas!$B$5:$B$54,MATCH(F1040,Metas!$A$5:$A$54,0)),"⚠ ID de meta no existe"))</f>
        <v/>
      </c>
      <c r="H1040" s="16" t="str">
        <f aca="false">IF(OR(C1040="",D1040=""),"",ROUND(MOD(D1040-C1040,1)*24,2))</f>
        <v/>
      </c>
      <c r="I1040" s="18"/>
      <c r="J1040" s="18"/>
      <c r="K1040" s="18"/>
    </row>
    <row r="1041" customFormat="false" ht="15" hidden="false" customHeight="false" outlineLevel="0" collapsed="false">
      <c r="A1041" s="17"/>
      <c r="B1041" s="18"/>
      <c r="C1041" s="19"/>
      <c r="D1041" s="19"/>
      <c r="E1041" s="18"/>
      <c r="F1041" s="18"/>
      <c r="G1041" s="13" t="str">
        <f aca="false">IF(F1041="","",IFERROR(INDEX(Metas!$B$5:$B$54,MATCH(F1041,Metas!$A$5:$A$54,0)),"⚠ ID de meta no existe"))</f>
        <v/>
      </c>
      <c r="H1041" s="16" t="str">
        <f aca="false">IF(OR(C1041="",D1041=""),"",ROUND(MOD(D1041-C1041,1)*24,2))</f>
        <v/>
      </c>
      <c r="I1041" s="18"/>
      <c r="J1041" s="18"/>
      <c r="K1041" s="18"/>
    </row>
    <row r="1042" customFormat="false" ht="15" hidden="false" customHeight="false" outlineLevel="0" collapsed="false">
      <c r="A1042" s="17"/>
      <c r="B1042" s="18"/>
      <c r="C1042" s="19"/>
      <c r="D1042" s="19"/>
      <c r="E1042" s="18"/>
      <c r="F1042" s="18"/>
      <c r="G1042" s="13" t="str">
        <f aca="false">IF(F1042="","",IFERROR(INDEX(Metas!$B$5:$B$54,MATCH(F1042,Metas!$A$5:$A$54,0)),"⚠ ID de meta no existe"))</f>
        <v/>
      </c>
      <c r="H1042" s="16" t="str">
        <f aca="false">IF(OR(C1042="",D1042=""),"",ROUND(MOD(D1042-C1042,1)*24,2))</f>
        <v/>
      </c>
      <c r="I1042" s="18"/>
      <c r="J1042" s="18"/>
      <c r="K1042" s="18"/>
    </row>
    <row r="1043" customFormat="false" ht="15" hidden="false" customHeight="false" outlineLevel="0" collapsed="false">
      <c r="A1043" s="17"/>
      <c r="B1043" s="18"/>
      <c r="C1043" s="19"/>
      <c r="D1043" s="19"/>
      <c r="E1043" s="18"/>
      <c r="F1043" s="18"/>
      <c r="G1043" s="13" t="str">
        <f aca="false">IF(F1043="","",IFERROR(INDEX(Metas!$B$5:$B$54,MATCH(F1043,Metas!$A$5:$A$54,0)),"⚠ ID de meta no existe"))</f>
        <v/>
      </c>
      <c r="H1043" s="16" t="str">
        <f aca="false">IF(OR(C1043="",D1043=""),"",ROUND(MOD(D1043-C1043,1)*24,2))</f>
        <v/>
      </c>
      <c r="I1043" s="18"/>
      <c r="J1043" s="18"/>
      <c r="K1043" s="18"/>
    </row>
    <row r="1044" customFormat="false" ht="15" hidden="false" customHeight="false" outlineLevel="0" collapsed="false">
      <c r="A1044" s="17"/>
      <c r="B1044" s="18"/>
      <c r="C1044" s="19"/>
      <c r="D1044" s="19"/>
      <c r="E1044" s="18"/>
      <c r="F1044" s="18"/>
      <c r="G1044" s="13" t="str">
        <f aca="false">IF(F1044="","",IFERROR(INDEX(Metas!$B$5:$B$54,MATCH(F1044,Metas!$A$5:$A$54,0)),"⚠ ID de meta no existe"))</f>
        <v/>
      </c>
      <c r="H1044" s="16" t="str">
        <f aca="false">IF(OR(C1044="",D1044=""),"",ROUND(MOD(D1044-C1044,1)*24,2))</f>
        <v/>
      </c>
      <c r="I1044" s="18"/>
      <c r="J1044" s="18"/>
      <c r="K1044" s="18"/>
    </row>
    <row r="1045" customFormat="false" ht="15" hidden="false" customHeight="false" outlineLevel="0" collapsed="false">
      <c r="A1045" s="17"/>
      <c r="B1045" s="18"/>
      <c r="C1045" s="19"/>
      <c r="D1045" s="19"/>
      <c r="E1045" s="18"/>
      <c r="F1045" s="18"/>
      <c r="G1045" s="13" t="str">
        <f aca="false">IF(F1045="","",IFERROR(INDEX(Metas!$B$5:$B$54,MATCH(F1045,Metas!$A$5:$A$54,0)),"⚠ ID de meta no existe"))</f>
        <v/>
      </c>
      <c r="H1045" s="16" t="str">
        <f aca="false">IF(OR(C1045="",D1045=""),"",ROUND(MOD(D1045-C1045,1)*24,2))</f>
        <v/>
      </c>
      <c r="I1045" s="18"/>
      <c r="J1045" s="18"/>
      <c r="K1045" s="18"/>
    </row>
    <row r="1046" customFormat="false" ht="15" hidden="false" customHeight="false" outlineLevel="0" collapsed="false">
      <c r="A1046" s="17"/>
      <c r="B1046" s="18"/>
      <c r="C1046" s="19"/>
      <c r="D1046" s="19"/>
      <c r="E1046" s="18"/>
      <c r="F1046" s="18"/>
      <c r="G1046" s="13" t="str">
        <f aca="false">IF(F1046="","",IFERROR(INDEX(Metas!$B$5:$B$54,MATCH(F1046,Metas!$A$5:$A$54,0)),"⚠ ID de meta no existe"))</f>
        <v/>
      </c>
      <c r="H1046" s="16" t="str">
        <f aca="false">IF(OR(C1046="",D1046=""),"",ROUND(MOD(D1046-C1046,1)*24,2))</f>
        <v/>
      </c>
      <c r="I1046" s="18"/>
      <c r="J1046" s="18"/>
      <c r="K1046" s="18"/>
    </row>
    <row r="1047" customFormat="false" ht="15" hidden="false" customHeight="false" outlineLevel="0" collapsed="false">
      <c r="A1047" s="17"/>
      <c r="B1047" s="18"/>
      <c r="C1047" s="19"/>
      <c r="D1047" s="19"/>
      <c r="E1047" s="18"/>
      <c r="F1047" s="18"/>
      <c r="G1047" s="13" t="str">
        <f aca="false">IF(F1047="","",IFERROR(INDEX(Metas!$B$5:$B$54,MATCH(F1047,Metas!$A$5:$A$54,0)),"⚠ ID de meta no existe"))</f>
        <v/>
      </c>
      <c r="H1047" s="16" t="str">
        <f aca="false">IF(OR(C1047="",D1047=""),"",ROUND(MOD(D1047-C1047,1)*24,2))</f>
        <v/>
      </c>
      <c r="I1047" s="18"/>
      <c r="J1047" s="18"/>
      <c r="K1047" s="18"/>
    </row>
    <row r="1048" customFormat="false" ht="15" hidden="false" customHeight="false" outlineLevel="0" collapsed="false">
      <c r="A1048" s="17"/>
      <c r="B1048" s="18"/>
      <c r="C1048" s="19"/>
      <c r="D1048" s="19"/>
      <c r="E1048" s="18"/>
      <c r="F1048" s="18"/>
      <c r="G1048" s="13" t="str">
        <f aca="false">IF(F1048="","",IFERROR(INDEX(Metas!$B$5:$B$54,MATCH(F1048,Metas!$A$5:$A$54,0)),"⚠ ID de meta no existe"))</f>
        <v/>
      </c>
      <c r="H1048" s="16" t="str">
        <f aca="false">IF(OR(C1048="",D1048=""),"",ROUND(MOD(D1048-C1048,1)*24,2))</f>
        <v/>
      </c>
      <c r="I1048" s="18"/>
      <c r="J1048" s="18"/>
      <c r="K1048" s="18"/>
    </row>
    <row r="1049" customFormat="false" ht="15" hidden="false" customHeight="false" outlineLevel="0" collapsed="false">
      <c r="A1049" s="17"/>
      <c r="B1049" s="18"/>
      <c r="C1049" s="19"/>
      <c r="D1049" s="19"/>
      <c r="E1049" s="18"/>
      <c r="F1049" s="18"/>
      <c r="G1049" s="13" t="str">
        <f aca="false">IF(F1049="","",IFERROR(INDEX(Metas!$B$5:$B$54,MATCH(F1049,Metas!$A$5:$A$54,0)),"⚠ ID de meta no existe"))</f>
        <v/>
      </c>
      <c r="H1049" s="16" t="str">
        <f aca="false">IF(OR(C1049="",D1049=""),"",ROUND(MOD(D1049-C1049,1)*24,2))</f>
        <v/>
      </c>
      <c r="I1049" s="18"/>
      <c r="J1049" s="18"/>
      <c r="K1049" s="18"/>
    </row>
    <row r="1050" customFormat="false" ht="15" hidden="false" customHeight="false" outlineLevel="0" collapsed="false">
      <c r="A1050" s="17"/>
      <c r="B1050" s="18"/>
      <c r="C1050" s="19"/>
      <c r="D1050" s="19"/>
      <c r="E1050" s="18"/>
      <c r="F1050" s="18"/>
      <c r="G1050" s="13" t="str">
        <f aca="false">IF(F1050="","",IFERROR(INDEX(Metas!$B$5:$B$54,MATCH(F1050,Metas!$A$5:$A$54,0)),"⚠ ID de meta no existe"))</f>
        <v/>
      </c>
      <c r="H1050" s="16" t="str">
        <f aca="false">IF(OR(C1050="",D1050=""),"",ROUND(MOD(D1050-C1050,1)*24,2))</f>
        <v/>
      </c>
      <c r="I1050" s="18"/>
      <c r="J1050" s="18"/>
      <c r="K1050" s="18"/>
    </row>
    <row r="1051" customFormat="false" ht="15" hidden="false" customHeight="false" outlineLevel="0" collapsed="false">
      <c r="A1051" s="17"/>
      <c r="B1051" s="18"/>
      <c r="C1051" s="19"/>
      <c r="D1051" s="19"/>
      <c r="E1051" s="18"/>
      <c r="F1051" s="18"/>
      <c r="G1051" s="13" t="str">
        <f aca="false">IF(F1051="","",IFERROR(INDEX(Metas!$B$5:$B$54,MATCH(F1051,Metas!$A$5:$A$54,0)),"⚠ ID de meta no existe"))</f>
        <v/>
      </c>
      <c r="H1051" s="16" t="str">
        <f aca="false">IF(OR(C1051="",D1051=""),"",ROUND(MOD(D1051-C1051,1)*24,2))</f>
        <v/>
      </c>
      <c r="I1051" s="18"/>
      <c r="J1051" s="18"/>
      <c r="K1051" s="18"/>
    </row>
    <row r="1052" customFormat="false" ht="15" hidden="false" customHeight="false" outlineLevel="0" collapsed="false">
      <c r="A1052" s="17"/>
      <c r="B1052" s="18"/>
      <c r="C1052" s="19"/>
      <c r="D1052" s="19"/>
      <c r="E1052" s="18"/>
      <c r="F1052" s="18"/>
      <c r="G1052" s="13" t="str">
        <f aca="false">IF(F1052="","",IFERROR(INDEX(Metas!$B$5:$B$54,MATCH(F1052,Metas!$A$5:$A$54,0)),"⚠ ID de meta no existe"))</f>
        <v/>
      </c>
      <c r="H1052" s="16" t="str">
        <f aca="false">IF(OR(C1052="",D1052=""),"",ROUND(MOD(D1052-C1052,1)*24,2))</f>
        <v/>
      </c>
      <c r="I1052" s="18"/>
      <c r="J1052" s="18"/>
      <c r="K1052" s="18"/>
    </row>
    <row r="1053" customFormat="false" ht="15" hidden="false" customHeight="false" outlineLevel="0" collapsed="false">
      <c r="A1053" s="17"/>
      <c r="B1053" s="18"/>
      <c r="C1053" s="19"/>
      <c r="D1053" s="19"/>
      <c r="E1053" s="18"/>
      <c r="F1053" s="18"/>
      <c r="G1053" s="13" t="str">
        <f aca="false">IF(F1053="","",IFERROR(INDEX(Metas!$B$5:$B$54,MATCH(F1053,Metas!$A$5:$A$54,0)),"⚠ ID de meta no existe"))</f>
        <v/>
      </c>
      <c r="H1053" s="16" t="str">
        <f aca="false">IF(OR(C1053="",D1053=""),"",ROUND(MOD(D1053-C1053,1)*24,2))</f>
        <v/>
      </c>
      <c r="I1053" s="18"/>
      <c r="J1053" s="18"/>
      <c r="K1053" s="18"/>
    </row>
    <row r="1054" customFormat="false" ht="15" hidden="false" customHeight="false" outlineLevel="0" collapsed="false">
      <c r="A1054" s="17"/>
      <c r="B1054" s="18"/>
      <c r="C1054" s="19"/>
      <c r="D1054" s="19"/>
      <c r="E1054" s="18"/>
      <c r="F1054" s="18"/>
      <c r="G1054" s="13" t="str">
        <f aca="false">IF(F1054="","",IFERROR(INDEX(Metas!$B$5:$B$54,MATCH(F1054,Metas!$A$5:$A$54,0)),"⚠ ID de meta no existe"))</f>
        <v/>
      </c>
      <c r="H1054" s="16" t="str">
        <f aca="false">IF(OR(C1054="",D1054=""),"",ROUND(MOD(D1054-C1054,1)*24,2))</f>
        <v/>
      </c>
      <c r="I1054" s="18"/>
      <c r="J1054" s="18"/>
      <c r="K1054" s="18"/>
    </row>
    <row r="1055" customFormat="false" ht="15" hidden="false" customHeight="false" outlineLevel="0" collapsed="false">
      <c r="A1055" s="17"/>
      <c r="B1055" s="18"/>
      <c r="C1055" s="19"/>
      <c r="D1055" s="19"/>
      <c r="E1055" s="18"/>
      <c r="F1055" s="18"/>
      <c r="G1055" s="13" t="str">
        <f aca="false">IF(F1055="","",IFERROR(INDEX(Metas!$B$5:$B$54,MATCH(F1055,Metas!$A$5:$A$54,0)),"⚠ ID de meta no existe"))</f>
        <v/>
      </c>
      <c r="H1055" s="16" t="str">
        <f aca="false">IF(OR(C1055="",D1055=""),"",ROUND(MOD(D1055-C1055,1)*24,2))</f>
        <v/>
      </c>
      <c r="I1055" s="18"/>
      <c r="J1055" s="18"/>
      <c r="K1055" s="18"/>
    </row>
    <row r="1056" customFormat="false" ht="15" hidden="false" customHeight="false" outlineLevel="0" collapsed="false">
      <c r="A1056" s="17"/>
      <c r="B1056" s="18"/>
      <c r="C1056" s="19"/>
      <c r="D1056" s="19"/>
      <c r="E1056" s="18"/>
      <c r="F1056" s="18"/>
      <c r="G1056" s="13" t="str">
        <f aca="false">IF(F1056="","",IFERROR(INDEX(Metas!$B$5:$B$54,MATCH(F1056,Metas!$A$5:$A$54,0)),"⚠ ID de meta no existe"))</f>
        <v/>
      </c>
      <c r="H1056" s="16" t="str">
        <f aca="false">IF(OR(C1056="",D1056=""),"",ROUND(MOD(D1056-C1056,1)*24,2))</f>
        <v/>
      </c>
      <c r="I1056" s="18"/>
      <c r="J1056" s="18"/>
      <c r="K1056" s="18"/>
    </row>
    <row r="1057" customFormat="false" ht="15" hidden="false" customHeight="false" outlineLevel="0" collapsed="false">
      <c r="A1057" s="17"/>
      <c r="B1057" s="18"/>
      <c r="C1057" s="19"/>
      <c r="D1057" s="19"/>
      <c r="E1057" s="18"/>
      <c r="F1057" s="18"/>
      <c r="G1057" s="13" t="str">
        <f aca="false">IF(F1057="","",IFERROR(INDEX(Metas!$B$5:$B$54,MATCH(F1057,Metas!$A$5:$A$54,0)),"⚠ ID de meta no existe"))</f>
        <v/>
      </c>
      <c r="H1057" s="16" t="str">
        <f aca="false">IF(OR(C1057="",D1057=""),"",ROUND(MOD(D1057-C1057,1)*24,2))</f>
        <v/>
      </c>
      <c r="I1057" s="18"/>
      <c r="J1057" s="18"/>
      <c r="K1057" s="18"/>
    </row>
    <row r="1058" customFormat="false" ht="15" hidden="false" customHeight="false" outlineLevel="0" collapsed="false">
      <c r="A1058" s="17"/>
      <c r="B1058" s="18"/>
      <c r="C1058" s="19"/>
      <c r="D1058" s="19"/>
      <c r="E1058" s="18"/>
      <c r="F1058" s="18"/>
      <c r="G1058" s="13" t="str">
        <f aca="false">IF(F1058="","",IFERROR(INDEX(Metas!$B$5:$B$54,MATCH(F1058,Metas!$A$5:$A$54,0)),"⚠ ID de meta no existe"))</f>
        <v/>
      </c>
      <c r="H1058" s="16" t="str">
        <f aca="false">IF(OR(C1058="",D1058=""),"",ROUND(MOD(D1058-C1058,1)*24,2))</f>
        <v/>
      </c>
      <c r="I1058" s="18"/>
      <c r="J1058" s="18"/>
      <c r="K1058" s="18"/>
    </row>
    <row r="1059" customFormat="false" ht="15" hidden="false" customHeight="false" outlineLevel="0" collapsed="false">
      <c r="A1059" s="17"/>
      <c r="B1059" s="18"/>
      <c r="C1059" s="19"/>
      <c r="D1059" s="19"/>
      <c r="E1059" s="18"/>
      <c r="F1059" s="18"/>
      <c r="G1059" s="13" t="str">
        <f aca="false">IF(F1059="","",IFERROR(INDEX(Metas!$B$5:$B$54,MATCH(F1059,Metas!$A$5:$A$54,0)),"⚠ ID de meta no existe"))</f>
        <v/>
      </c>
      <c r="H1059" s="16" t="str">
        <f aca="false">IF(OR(C1059="",D1059=""),"",ROUND(MOD(D1059-C1059,1)*24,2))</f>
        <v/>
      </c>
      <c r="I1059" s="18"/>
      <c r="J1059" s="18"/>
      <c r="K1059" s="18"/>
    </row>
    <row r="1060" customFormat="false" ht="15" hidden="false" customHeight="false" outlineLevel="0" collapsed="false">
      <c r="A1060" s="17"/>
      <c r="B1060" s="18"/>
      <c r="C1060" s="19"/>
      <c r="D1060" s="19"/>
      <c r="E1060" s="18"/>
      <c r="F1060" s="18"/>
      <c r="G1060" s="13" t="str">
        <f aca="false">IF(F1060="","",IFERROR(INDEX(Metas!$B$5:$B$54,MATCH(F1060,Metas!$A$5:$A$54,0)),"⚠ ID de meta no existe"))</f>
        <v/>
      </c>
      <c r="H1060" s="16" t="str">
        <f aca="false">IF(OR(C1060="",D1060=""),"",ROUND(MOD(D1060-C1060,1)*24,2))</f>
        <v/>
      </c>
      <c r="I1060" s="18"/>
      <c r="J1060" s="18"/>
      <c r="K1060" s="18"/>
    </row>
    <row r="1061" customFormat="false" ht="15" hidden="false" customHeight="false" outlineLevel="0" collapsed="false">
      <c r="A1061" s="17"/>
      <c r="B1061" s="18"/>
      <c r="C1061" s="19"/>
      <c r="D1061" s="19"/>
      <c r="E1061" s="18"/>
      <c r="F1061" s="18"/>
      <c r="G1061" s="13" t="str">
        <f aca="false">IF(F1061="","",IFERROR(INDEX(Metas!$B$5:$B$54,MATCH(F1061,Metas!$A$5:$A$54,0)),"⚠ ID de meta no existe"))</f>
        <v/>
      </c>
      <c r="H1061" s="16" t="str">
        <f aca="false">IF(OR(C1061="",D1061=""),"",ROUND(MOD(D1061-C1061,1)*24,2))</f>
        <v/>
      </c>
      <c r="I1061" s="18"/>
      <c r="J1061" s="18"/>
      <c r="K1061" s="18"/>
    </row>
    <row r="1062" customFormat="false" ht="15" hidden="false" customHeight="false" outlineLevel="0" collapsed="false">
      <c r="A1062" s="17"/>
      <c r="B1062" s="18"/>
      <c r="C1062" s="19"/>
      <c r="D1062" s="19"/>
      <c r="E1062" s="18"/>
      <c r="F1062" s="18"/>
      <c r="G1062" s="13" t="str">
        <f aca="false">IF(F1062="","",IFERROR(INDEX(Metas!$B$5:$B$54,MATCH(F1062,Metas!$A$5:$A$54,0)),"⚠ ID de meta no existe"))</f>
        <v/>
      </c>
      <c r="H1062" s="16" t="str">
        <f aca="false">IF(OR(C1062="",D1062=""),"",ROUND(MOD(D1062-C1062,1)*24,2))</f>
        <v/>
      </c>
      <c r="I1062" s="18"/>
      <c r="J1062" s="18"/>
      <c r="K1062" s="18"/>
    </row>
    <row r="1063" customFormat="false" ht="15" hidden="false" customHeight="false" outlineLevel="0" collapsed="false">
      <c r="A1063" s="17"/>
      <c r="B1063" s="18"/>
      <c r="C1063" s="19"/>
      <c r="D1063" s="19"/>
      <c r="E1063" s="18"/>
      <c r="F1063" s="18"/>
      <c r="G1063" s="13" t="str">
        <f aca="false">IF(F1063="","",IFERROR(INDEX(Metas!$B$5:$B$54,MATCH(F1063,Metas!$A$5:$A$54,0)),"⚠ ID de meta no existe"))</f>
        <v/>
      </c>
      <c r="H1063" s="16" t="str">
        <f aca="false">IF(OR(C1063="",D1063=""),"",ROUND(MOD(D1063-C1063,1)*24,2))</f>
        <v/>
      </c>
      <c r="I1063" s="18"/>
      <c r="J1063" s="18"/>
      <c r="K1063" s="18"/>
    </row>
    <row r="1064" customFormat="false" ht="15" hidden="false" customHeight="false" outlineLevel="0" collapsed="false">
      <c r="A1064" s="17"/>
      <c r="B1064" s="18"/>
      <c r="C1064" s="19"/>
      <c r="D1064" s="19"/>
      <c r="E1064" s="18"/>
      <c r="F1064" s="18"/>
      <c r="G1064" s="13" t="str">
        <f aca="false">IF(F1064="","",IFERROR(INDEX(Metas!$B$5:$B$54,MATCH(F1064,Metas!$A$5:$A$54,0)),"⚠ ID de meta no existe"))</f>
        <v/>
      </c>
      <c r="H1064" s="16" t="str">
        <f aca="false">IF(OR(C1064="",D1064=""),"",ROUND(MOD(D1064-C1064,1)*24,2))</f>
        <v/>
      </c>
      <c r="I1064" s="18"/>
      <c r="J1064" s="18"/>
      <c r="K1064" s="18"/>
    </row>
    <row r="1065" customFormat="false" ht="15" hidden="false" customHeight="false" outlineLevel="0" collapsed="false">
      <c r="A1065" s="17"/>
      <c r="B1065" s="18"/>
      <c r="C1065" s="19"/>
      <c r="D1065" s="19"/>
      <c r="E1065" s="18"/>
      <c r="F1065" s="18"/>
      <c r="G1065" s="13" t="str">
        <f aca="false">IF(F1065="","",IFERROR(INDEX(Metas!$B$5:$B$54,MATCH(F1065,Metas!$A$5:$A$54,0)),"⚠ ID de meta no existe"))</f>
        <v/>
      </c>
      <c r="H1065" s="16" t="str">
        <f aca="false">IF(OR(C1065="",D1065=""),"",ROUND(MOD(D1065-C1065,1)*24,2))</f>
        <v/>
      </c>
      <c r="I1065" s="18"/>
      <c r="J1065" s="18"/>
      <c r="K1065" s="18"/>
    </row>
    <row r="1066" customFormat="false" ht="15" hidden="false" customHeight="false" outlineLevel="0" collapsed="false">
      <c r="A1066" s="17"/>
      <c r="B1066" s="18"/>
      <c r="C1066" s="19"/>
      <c r="D1066" s="19"/>
      <c r="E1066" s="18"/>
      <c r="F1066" s="18"/>
      <c r="G1066" s="13" t="str">
        <f aca="false">IF(F1066="","",IFERROR(INDEX(Metas!$B$5:$B$54,MATCH(F1066,Metas!$A$5:$A$54,0)),"⚠ ID de meta no existe"))</f>
        <v/>
      </c>
      <c r="H1066" s="16" t="str">
        <f aca="false">IF(OR(C1066="",D1066=""),"",ROUND(MOD(D1066-C1066,1)*24,2))</f>
        <v/>
      </c>
      <c r="I1066" s="18"/>
      <c r="J1066" s="18"/>
      <c r="K1066" s="18"/>
    </row>
    <row r="1067" customFormat="false" ht="15" hidden="false" customHeight="false" outlineLevel="0" collapsed="false">
      <c r="A1067" s="17"/>
      <c r="B1067" s="18"/>
      <c r="C1067" s="19"/>
      <c r="D1067" s="19"/>
      <c r="E1067" s="18"/>
      <c r="F1067" s="18"/>
      <c r="G1067" s="13" t="str">
        <f aca="false">IF(F1067="","",IFERROR(INDEX(Metas!$B$5:$B$54,MATCH(F1067,Metas!$A$5:$A$54,0)),"⚠ ID de meta no existe"))</f>
        <v/>
      </c>
      <c r="H1067" s="16" t="str">
        <f aca="false">IF(OR(C1067="",D1067=""),"",ROUND(MOD(D1067-C1067,1)*24,2))</f>
        <v/>
      </c>
      <c r="I1067" s="18"/>
      <c r="J1067" s="18"/>
      <c r="K1067" s="18"/>
    </row>
    <row r="1068" customFormat="false" ht="15" hidden="false" customHeight="false" outlineLevel="0" collapsed="false">
      <c r="A1068" s="17"/>
      <c r="B1068" s="18"/>
      <c r="C1068" s="19"/>
      <c r="D1068" s="19"/>
      <c r="E1068" s="18"/>
      <c r="F1068" s="18"/>
      <c r="G1068" s="13" t="str">
        <f aca="false">IF(F1068="","",IFERROR(INDEX(Metas!$B$5:$B$54,MATCH(F1068,Metas!$A$5:$A$54,0)),"⚠ ID de meta no existe"))</f>
        <v/>
      </c>
      <c r="H1068" s="16" t="str">
        <f aca="false">IF(OR(C1068="",D1068=""),"",ROUND(MOD(D1068-C1068,1)*24,2))</f>
        <v/>
      </c>
      <c r="I1068" s="18"/>
      <c r="J1068" s="18"/>
      <c r="K1068" s="18"/>
    </row>
    <row r="1069" customFormat="false" ht="15" hidden="false" customHeight="false" outlineLevel="0" collapsed="false">
      <c r="A1069" s="17"/>
      <c r="B1069" s="18"/>
      <c r="C1069" s="19"/>
      <c r="D1069" s="19"/>
      <c r="E1069" s="18"/>
      <c r="F1069" s="18"/>
      <c r="G1069" s="13" t="str">
        <f aca="false">IF(F1069="","",IFERROR(INDEX(Metas!$B$5:$B$54,MATCH(F1069,Metas!$A$5:$A$54,0)),"⚠ ID de meta no existe"))</f>
        <v/>
      </c>
      <c r="H1069" s="16" t="str">
        <f aca="false">IF(OR(C1069="",D1069=""),"",ROUND(MOD(D1069-C1069,1)*24,2))</f>
        <v/>
      </c>
      <c r="I1069" s="18"/>
      <c r="J1069" s="18"/>
      <c r="K1069" s="18"/>
    </row>
    <row r="1070" customFormat="false" ht="15" hidden="false" customHeight="false" outlineLevel="0" collapsed="false">
      <c r="A1070" s="17"/>
      <c r="B1070" s="18"/>
      <c r="C1070" s="19"/>
      <c r="D1070" s="19"/>
      <c r="E1070" s="18"/>
      <c r="F1070" s="18"/>
      <c r="G1070" s="13" t="str">
        <f aca="false">IF(F1070="","",IFERROR(INDEX(Metas!$B$5:$B$54,MATCH(F1070,Metas!$A$5:$A$54,0)),"⚠ ID de meta no existe"))</f>
        <v/>
      </c>
      <c r="H1070" s="16" t="str">
        <f aca="false">IF(OR(C1070="",D1070=""),"",ROUND(MOD(D1070-C1070,1)*24,2))</f>
        <v/>
      </c>
      <c r="I1070" s="18"/>
      <c r="J1070" s="18"/>
      <c r="K1070" s="18"/>
    </row>
    <row r="1071" customFormat="false" ht="15" hidden="false" customHeight="false" outlineLevel="0" collapsed="false">
      <c r="A1071" s="17"/>
      <c r="B1071" s="18"/>
      <c r="C1071" s="19"/>
      <c r="D1071" s="19"/>
      <c r="E1071" s="18"/>
      <c r="F1071" s="18"/>
      <c r="G1071" s="13" t="str">
        <f aca="false">IF(F1071="","",IFERROR(INDEX(Metas!$B$5:$B$54,MATCH(F1071,Metas!$A$5:$A$54,0)),"⚠ ID de meta no existe"))</f>
        <v/>
      </c>
      <c r="H1071" s="16" t="str">
        <f aca="false">IF(OR(C1071="",D1071=""),"",ROUND(MOD(D1071-C1071,1)*24,2))</f>
        <v/>
      </c>
      <c r="I1071" s="18"/>
      <c r="J1071" s="18"/>
      <c r="K1071" s="18"/>
    </row>
    <row r="1072" customFormat="false" ht="15" hidden="false" customHeight="false" outlineLevel="0" collapsed="false">
      <c r="A1072" s="17"/>
      <c r="B1072" s="18"/>
      <c r="C1072" s="19"/>
      <c r="D1072" s="19"/>
      <c r="E1072" s="18"/>
      <c r="F1072" s="18"/>
      <c r="G1072" s="13" t="str">
        <f aca="false">IF(F1072="","",IFERROR(INDEX(Metas!$B$5:$B$54,MATCH(F1072,Metas!$A$5:$A$54,0)),"⚠ ID de meta no existe"))</f>
        <v/>
      </c>
      <c r="H1072" s="16" t="str">
        <f aca="false">IF(OR(C1072="",D1072=""),"",ROUND(MOD(D1072-C1072,1)*24,2))</f>
        <v/>
      </c>
      <c r="I1072" s="18"/>
      <c r="J1072" s="18"/>
      <c r="K1072" s="18"/>
    </row>
    <row r="1073" customFormat="false" ht="15" hidden="false" customHeight="false" outlineLevel="0" collapsed="false">
      <c r="A1073" s="17"/>
      <c r="B1073" s="18"/>
      <c r="C1073" s="19"/>
      <c r="D1073" s="19"/>
      <c r="E1073" s="18"/>
      <c r="F1073" s="18"/>
      <c r="G1073" s="13" t="str">
        <f aca="false">IF(F1073="","",IFERROR(INDEX(Metas!$B$5:$B$54,MATCH(F1073,Metas!$A$5:$A$54,0)),"⚠ ID de meta no existe"))</f>
        <v/>
      </c>
      <c r="H1073" s="16" t="str">
        <f aca="false">IF(OR(C1073="",D1073=""),"",ROUND(MOD(D1073-C1073,1)*24,2))</f>
        <v/>
      </c>
      <c r="I1073" s="18"/>
      <c r="J1073" s="18"/>
      <c r="K1073" s="18"/>
    </row>
    <row r="1074" customFormat="false" ht="15" hidden="false" customHeight="false" outlineLevel="0" collapsed="false">
      <c r="A1074" s="17"/>
      <c r="B1074" s="18"/>
      <c r="C1074" s="19"/>
      <c r="D1074" s="19"/>
      <c r="E1074" s="18"/>
      <c r="F1074" s="18"/>
      <c r="G1074" s="13" t="str">
        <f aca="false">IF(F1074="","",IFERROR(INDEX(Metas!$B$5:$B$54,MATCH(F1074,Metas!$A$5:$A$54,0)),"⚠ ID de meta no existe"))</f>
        <v/>
      </c>
      <c r="H1074" s="16" t="str">
        <f aca="false">IF(OR(C1074="",D1074=""),"",ROUND(MOD(D1074-C1074,1)*24,2))</f>
        <v/>
      </c>
      <c r="I1074" s="18"/>
      <c r="J1074" s="18"/>
      <c r="K1074" s="18"/>
    </row>
    <row r="1075" customFormat="false" ht="15" hidden="false" customHeight="false" outlineLevel="0" collapsed="false">
      <c r="A1075" s="17"/>
      <c r="B1075" s="18"/>
      <c r="C1075" s="19"/>
      <c r="D1075" s="19"/>
      <c r="E1075" s="18"/>
      <c r="F1075" s="18"/>
      <c r="G1075" s="13" t="str">
        <f aca="false">IF(F1075="","",IFERROR(INDEX(Metas!$B$5:$B$54,MATCH(F1075,Metas!$A$5:$A$54,0)),"⚠ ID de meta no existe"))</f>
        <v/>
      </c>
      <c r="H1075" s="16" t="str">
        <f aca="false">IF(OR(C1075="",D1075=""),"",ROUND(MOD(D1075-C1075,1)*24,2))</f>
        <v/>
      </c>
      <c r="I1075" s="18"/>
      <c r="J1075" s="18"/>
      <c r="K1075" s="18"/>
    </row>
    <row r="1076" customFormat="false" ht="15" hidden="false" customHeight="false" outlineLevel="0" collapsed="false">
      <c r="A1076" s="17"/>
      <c r="B1076" s="18"/>
      <c r="C1076" s="19"/>
      <c r="D1076" s="19"/>
      <c r="E1076" s="18"/>
      <c r="F1076" s="18"/>
      <c r="G1076" s="13" t="str">
        <f aca="false">IF(F1076="","",IFERROR(INDEX(Metas!$B$5:$B$54,MATCH(F1076,Metas!$A$5:$A$54,0)),"⚠ ID de meta no existe"))</f>
        <v/>
      </c>
      <c r="H1076" s="16" t="str">
        <f aca="false">IF(OR(C1076="",D1076=""),"",ROUND(MOD(D1076-C1076,1)*24,2))</f>
        <v/>
      </c>
      <c r="I1076" s="18"/>
      <c r="J1076" s="18"/>
      <c r="K1076" s="18"/>
    </row>
    <row r="1077" customFormat="false" ht="15" hidden="false" customHeight="false" outlineLevel="0" collapsed="false">
      <c r="A1077" s="17"/>
      <c r="B1077" s="18"/>
      <c r="C1077" s="19"/>
      <c r="D1077" s="19"/>
      <c r="E1077" s="18"/>
      <c r="F1077" s="18"/>
      <c r="G1077" s="13" t="str">
        <f aca="false">IF(F1077="","",IFERROR(INDEX(Metas!$B$5:$B$54,MATCH(F1077,Metas!$A$5:$A$54,0)),"⚠ ID de meta no existe"))</f>
        <v/>
      </c>
      <c r="H1077" s="16" t="str">
        <f aca="false">IF(OR(C1077="",D1077=""),"",ROUND(MOD(D1077-C1077,1)*24,2))</f>
        <v/>
      </c>
      <c r="I1077" s="18"/>
      <c r="J1077" s="18"/>
      <c r="K1077" s="18"/>
    </row>
    <row r="1078" customFormat="false" ht="15" hidden="false" customHeight="false" outlineLevel="0" collapsed="false">
      <c r="A1078" s="17"/>
      <c r="B1078" s="18"/>
      <c r="C1078" s="19"/>
      <c r="D1078" s="19"/>
      <c r="E1078" s="18"/>
      <c r="F1078" s="18"/>
      <c r="G1078" s="13" t="str">
        <f aca="false">IF(F1078="","",IFERROR(INDEX(Metas!$B$5:$B$54,MATCH(F1078,Metas!$A$5:$A$54,0)),"⚠ ID de meta no existe"))</f>
        <v/>
      </c>
      <c r="H1078" s="16" t="str">
        <f aca="false">IF(OR(C1078="",D1078=""),"",ROUND(MOD(D1078-C1078,1)*24,2))</f>
        <v/>
      </c>
      <c r="I1078" s="18"/>
      <c r="J1078" s="18"/>
      <c r="K1078" s="18"/>
    </row>
    <row r="1079" customFormat="false" ht="15" hidden="false" customHeight="false" outlineLevel="0" collapsed="false">
      <c r="A1079" s="17"/>
      <c r="B1079" s="18"/>
      <c r="C1079" s="19"/>
      <c r="D1079" s="19"/>
      <c r="E1079" s="18"/>
      <c r="F1079" s="18"/>
      <c r="G1079" s="13" t="str">
        <f aca="false">IF(F1079="","",IFERROR(INDEX(Metas!$B$5:$B$54,MATCH(F1079,Metas!$A$5:$A$54,0)),"⚠ ID de meta no existe"))</f>
        <v/>
      </c>
      <c r="H1079" s="16" t="str">
        <f aca="false">IF(OR(C1079="",D1079=""),"",ROUND(MOD(D1079-C1079,1)*24,2))</f>
        <v/>
      </c>
      <c r="I1079" s="18"/>
      <c r="J1079" s="18"/>
      <c r="K1079" s="18"/>
    </row>
    <row r="1080" customFormat="false" ht="15" hidden="false" customHeight="false" outlineLevel="0" collapsed="false">
      <c r="A1080" s="17"/>
      <c r="B1080" s="18"/>
      <c r="C1080" s="19"/>
      <c r="D1080" s="19"/>
      <c r="E1080" s="18"/>
      <c r="F1080" s="18"/>
      <c r="G1080" s="13" t="str">
        <f aca="false">IF(F1080="","",IFERROR(INDEX(Metas!$B$5:$B$54,MATCH(F1080,Metas!$A$5:$A$54,0)),"⚠ ID de meta no existe"))</f>
        <v/>
      </c>
      <c r="H1080" s="16" t="str">
        <f aca="false">IF(OR(C1080="",D1080=""),"",ROUND(MOD(D1080-C1080,1)*24,2))</f>
        <v/>
      </c>
      <c r="I1080" s="18"/>
      <c r="J1080" s="18"/>
      <c r="K1080" s="18"/>
    </row>
    <row r="1081" customFormat="false" ht="15" hidden="false" customHeight="false" outlineLevel="0" collapsed="false">
      <c r="A1081" s="17"/>
      <c r="B1081" s="18"/>
      <c r="C1081" s="19"/>
      <c r="D1081" s="19"/>
      <c r="E1081" s="18"/>
      <c r="F1081" s="18"/>
      <c r="G1081" s="13" t="str">
        <f aca="false">IF(F1081="","",IFERROR(INDEX(Metas!$B$5:$B$54,MATCH(F1081,Metas!$A$5:$A$54,0)),"⚠ ID de meta no existe"))</f>
        <v/>
      </c>
      <c r="H1081" s="16" t="str">
        <f aca="false">IF(OR(C1081="",D1081=""),"",ROUND(MOD(D1081-C1081,1)*24,2))</f>
        <v/>
      </c>
      <c r="I1081" s="18"/>
      <c r="J1081" s="18"/>
      <c r="K1081" s="18"/>
    </row>
    <row r="1082" customFormat="false" ht="15" hidden="false" customHeight="false" outlineLevel="0" collapsed="false">
      <c r="A1082" s="17"/>
      <c r="B1082" s="18"/>
      <c r="C1082" s="19"/>
      <c r="D1082" s="19"/>
      <c r="E1082" s="18"/>
      <c r="F1082" s="18"/>
      <c r="G1082" s="13" t="str">
        <f aca="false">IF(F1082="","",IFERROR(INDEX(Metas!$B$5:$B$54,MATCH(F1082,Metas!$A$5:$A$54,0)),"⚠ ID de meta no existe"))</f>
        <v/>
      </c>
      <c r="H1082" s="16" t="str">
        <f aca="false">IF(OR(C1082="",D1082=""),"",ROUND(MOD(D1082-C1082,1)*24,2))</f>
        <v/>
      </c>
      <c r="I1082" s="18"/>
      <c r="J1082" s="18"/>
      <c r="K1082" s="18"/>
    </row>
    <row r="1083" customFormat="false" ht="15" hidden="false" customHeight="false" outlineLevel="0" collapsed="false">
      <c r="A1083" s="17"/>
      <c r="B1083" s="18"/>
      <c r="C1083" s="19"/>
      <c r="D1083" s="19"/>
      <c r="E1083" s="18"/>
      <c r="F1083" s="18"/>
      <c r="G1083" s="13" t="str">
        <f aca="false">IF(F1083="","",IFERROR(INDEX(Metas!$B$5:$B$54,MATCH(F1083,Metas!$A$5:$A$54,0)),"⚠ ID de meta no existe"))</f>
        <v/>
      </c>
      <c r="H1083" s="16" t="str">
        <f aca="false">IF(OR(C1083="",D1083=""),"",ROUND(MOD(D1083-C1083,1)*24,2))</f>
        <v/>
      </c>
      <c r="I1083" s="18"/>
      <c r="J1083" s="18"/>
      <c r="K1083" s="18"/>
    </row>
    <row r="1084" customFormat="false" ht="15" hidden="false" customHeight="false" outlineLevel="0" collapsed="false">
      <c r="A1084" s="17"/>
      <c r="B1084" s="18"/>
      <c r="C1084" s="19"/>
      <c r="D1084" s="19"/>
      <c r="E1084" s="18"/>
      <c r="F1084" s="18"/>
      <c r="G1084" s="13" t="str">
        <f aca="false">IF(F1084="","",IFERROR(INDEX(Metas!$B$5:$B$54,MATCH(F1084,Metas!$A$5:$A$54,0)),"⚠ ID de meta no existe"))</f>
        <v/>
      </c>
      <c r="H1084" s="16" t="str">
        <f aca="false">IF(OR(C1084="",D1084=""),"",ROUND(MOD(D1084-C1084,1)*24,2))</f>
        <v/>
      </c>
      <c r="I1084" s="18"/>
      <c r="J1084" s="18"/>
      <c r="K1084" s="18"/>
    </row>
    <row r="1085" customFormat="false" ht="15" hidden="false" customHeight="false" outlineLevel="0" collapsed="false">
      <c r="A1085" s="17"/>
      <c r="B1085" s="18"/>
      <c r="C1085" s="19"/>
      <c r="D1085" s="19"/>
      <c r="E1085" s="18"/>
      <c r="F1085" s="18"/>
      <c r="G1085" s="13" t="str">
        <f aca="false">IF(F1085="","",IFERROR(INDEX(Metas!$B$5:$B$54,MATCH(F1085,Metas!$A$5:$A$54,0)),"⚠ ID de meta no existe"))</f>
        <v/>
      </c>
      <c r="H1085" s="16" t="str">
        <f aca="false">IF(OR(C1085="",D1085=""),"",ROUND(MOD(D1085-C1085,1)*24,2))</f>
        <v/>
      </c>
      <c r="I1085" s="18"/>
      <c r="J1085" s="18"/>
      <c r="K1085" s="18"/>
    </row>
    <row r="1086" customFormat="false" ht="15" hidden="false" customHeight="false" outlineLevel="0" collapsed="false">
      <c r="A1086" s="17"/>
      <c r="B1086" s="18"/>
      <c r="C1086" s="19"/>
      <c r="D1086" s="19"/>
      <c r="E1086" s="18"/>
      <c r="F1086" s="18"/>
      <c r="G1086" s="13" t="str">
        <f aca="false">IF(F1086="","",IFERROR(INDEX(Metas!$B$5:$B$54,MATCH(F1086,Metas!$A$5:$A$54,0)),"⚠ ID de meta no existe"))</f>
        <v/>
      </c>
      <c r="H1086" s="16" t="str">
        <f aca="false">IF(OR(C1086="",D1086=""),"",ROUND(MOD(D1086-C1086,1)*24,2))</f>
        <v/>
      </c>
      <c r="I1086" s="18"/>
      <c r="J1086" s="18"/>
      <c r="K1086" s="18"/>
    </row>
    <row r="1087" customFormat="false" ht="15" hidden="false" customHeight="false" outlineLevel="0" collapsed="false">
      <c r="A1087" s="17"/>
      <c r="B1087" s="18"/>
      <c r="C1087" s="19"/>
      <c r="D1087" s="19"/>
      <c r="E1087" s="18"/>
      <c r="F1087" s="18"/>
      <c r="G1087" s="13" t="str">
        <f aca="false">IF(F1087="","",IFERROR(INDEX(Metas!$B$5:$B$54,MATCH(F1087,Metas!$A$5:$A$54,0)),"⚠ ID de meta no existe"))</f>
        <v/>
      </c>
      <c r="H1087" s="16" t="str">
        <f aca="false">IF(OR(C1087="",D1087=""),"",ROUND(MOD(D1087-C1087,1)*24,2))</f>
        <v/>
      </c>
      <c r="I1087" s="18"/>
      <c r="J1087" s="18"/>
      <c r="K1087" s="18"/>
    </row>
    <row r="1088" customFormat="false" ht="15" hidden="false" customHeight="false" outlineLevel="0" collapsed="false">
      <c r="A1088" s="17"/>
      <c r="B1088" s="18"/>
      <c r="C1088" s="19"/>
      <c r="D1088" s="19"/>
      <c r="E1088" s="18"/>
      <c r="F1088" s="18"/>
      <c r="G1088" s="13" t="str">
        <f aca="false">IF(F1088="","",IFERROR(INDEX(Metas!$B$5:$B$54,MATCH(F1088,Metas!$A$5:$A$54,0)),"⚠ ID de meta no existe"))</f>
        <v/>
      </c>
      <c r="H1088" s="16" t="str">
        <f aca="false">IF(OR(C1088="",D1088=""),"",ROUND(MOD(D1088-C1088,1)*24,2))</f>
        <v/>
      </c>
      <c r="I1088" s="18"/>
      <c r="J1088" s="18"/>
      <c r="K1088" s="18"/>
    </row>
    <row r="1089" customFormat="false" ht="15" hidden="false" customHeight="false" outlineLevel="0" collapsed="false">
      <c r="A1089" s="17"/>
      <c r="B1089" s="18"/>
      <c r="C1089" s="19"/>
      <c r="D1089" s="19"/>
      <c r="E1089" s="18"/>
      <c r="F1089" s="18"/>
      <c r="G1089" s="13" t="str">
        <f aca="false">IF(F1089="","",IFERROR(INDEX(Metas!$B$5:$B$54,MATCH(F1089,Metas!$A$5:$A$54,0)),"⚠ ID de meta no existe"))</f>
        <v/>
      </c>
      <c r="H1089" s="16" t="str">
        <f aca="false">IF(OR(C1089="",D1089=""),"",ROUND(MOD(D1089-C1089,1)*24,2))</f>
        <v/>
      </c>
      <c r="I1089" s="18"/>
      <c r="J1089" s="18"/>
      <c r="K1089" s="18"/>
    </row>
    <row r="1090" customFormat="false" ht="15" hidden="false" customHeight="false" outlineLevel="0" collapsed="false">
      <c r="A1090" s="17"/>
      <c r="B1090" s="18"/>
      <c r="C1090" s="19"/>
      <c r="D1090" s="19"/>
      <c r="E1090" s="18"/>
      <c r="F1090" s="18"/>
      <c r="G1090" s="13" t="str">
        <f aca="false">IF(F1090="","",IFERROR(INDEX(Metas!$B$5:$B$54,MATCH(F1090,Metas!$A$5:$A$54,0)),"⚠ ID de meta no existe"))</f>
        <v/>
      </c>
      <c r="H1090" s="16" t="str">
        <f aca="false">IF(OR(C1090="",D1090=""),"",ROUND(MOD(D1090-C1090,1)*24,2))</f>
        <v/>
      </c>
      <c r="I1090" s="18"/>
      <c r="J1090" s="18"/>
      <c r="K1090" s="18"/>
    </row>
    <row r="1091" customFormat="false" ht="15" hidden="false" customHeight="false" outlineLevel="0" collapsed="false">
      <c r="A1091" s="17"/>
      <c r="B1091" s="18"/>
      <c r="C1091" s="19"/>
      <c r="D1091" s="19"/>
      <c r="E1091" s="18"/>
      <c r="F1091" s="18"/>
      <c r="G1091" s="13" t="str">
        <f aca="false">IF(F1091="","",IFERROR(INDEX(Metas!$B$5:$B$54,MATCH(F1091,Metas!$A$5:$A$54,0)),"⚠ ID de meta no existe"))</f>
        <v/>
      </c>
      <c r="H1091" s="16" t="str">
        <f aca="false">IF(OR(C1091="",D1091=""),"",ROUND(MOD(D1091-C1091,1)*24,2))</f>
        <v/>
      </c>
      <c r="I1091" s="18"/>
      <c r="J1091" s="18"/>
      <c r="K1091" s="18"/>
    </row>
    <row r="1092" customFormat="false" ht="15" hidden="false" customHeight="false" outlineLevel="0" collapsed="false">
      <c r="A1092" s="17"/>
      <c r="B1092" s="18"/>
      <c r="C1092" s="19"/>
      <c r="D1092" s="19"/>
      <c r="E1092" s="18"/>
      <c r="F1092" s="18"/>
      <c r="G1092" s="13" t="str">
        <f aca="false">IF(F1092="","",IFERROR(INDEX(Metas!$B$5:$B$54,MATCH(F1092,Metas!$A$5:$A$54,0)),"⚠ ID de meta no existe"))</f>
        <v/>
      </c>
      <c r="H1092" s="16" t="str">
        <f aca="false">IF(OR(C1092="",D1092=""),"",ROUND(MOD(D1092-C1092,1)*24,2))</f>
        <v/>
      </c>
      <c r="I1092" s="18"/>
      <c r="J1092" s="18"/>
      <c r="K1092" s="18"/>
    </row>
    <row r="1093" customFormat="false" ht="15" hidden="false" customHeight="false" outlineLevel="0" collapsed="false">
      <c r="A1093" s="17"/>
      <c r="B1093" s="18"/>
      <c r="C1093" s="19"/>
      <c r="D1093" s="19"/>
      <c r="E1093" s="18"/>
      <c r="F1093" s="18"/>
      <c r="G1093" s="13" t="str">
        <f aca="false">IF(F1093="","",IFERROR(INDEX(Metas!$B$5:$B$54,MATCH(F1093,Metas!$A$5:$A$54,0)),"⚠ ID de meta no existe"))</f>
        <v/>
      </c>
      <c r="H1093" s="16" t="str">
        <f aca="false">IF(OR(C1093="",D1093=""),"",ROUND(MOD(D1093-C1093,1)*24,2))</f>
        <v/>
      </c>
      <c r="I1093" s="18"/>
      <c r="J1093" s="18"/>
      <c r="K1093" s="18"/>
    </row>
    <row r="1094" customFormat="false" ht="15" hidden="false" customHeight="false" outlineLevel="0" collapsed="false">
      <c r="A1094" s="17"/>
      <c r="B1094" s="18"/>
      <c r="C1094" s="19"/>
      <c r="D1094" s="19"/>
      <c r="E1094" s="18"/>
      <c r="F1094" s="18"/>
      <c r="G1094" s="13" t="str">
        <f aca="false">IF(F1094="","",IFERROR(INDEX(Metas!$B$5:$B$54,MATCH(F1094,Metas!$A$5:$A$54,0)),"⚠ ID de meta no existe"))</f>
        <v/>
      </c>
      <c r="H1094" s="16" t="str">
        <f aca="false">IF(OR(C1094="",D1094=""),"",ROUND(MOD(D1094-C1094,1)*24,2))</f>
        <v/>
      </c>
      <c r="I1094" s="18"/>
      <c r="J1094" s="18"/>
      <c r="K1094" s="18"/>
    </row>
    <row r="1095" customFormat="false" ht="15" hidden="false" customHeight="false" outlineLevel="0" collapsed="false">
      <c r="A1095" s="17"/>
      <c r="B1095" s="18"/>
      <c r="C1095" s="19"/>
      <c r="D1095" s="19"/>
      <c r="E1095" s="18"/>
      <c r="F1095" s="18"/>
      <c r="G1095" s="13" t="str">
        <f aca="false">IF(F1095="","",IFERROR(INDEX(Metas!$B$5:$B$54,MATCH(F1095,Metas!$A$5:$A$54,0)),"⚠ ID de meta no existe"))</f>
        <v/>
      </c>
      <c r="H1095" s="16" t="str">
        <f aca="false">IF(OR(C1095="",D1095=""),"",ROUND(MOD(D1095-C1095,1)*24,2))</f>
        <v/>
      </c>
      <c r="I1095" s="18"/>
      <c r="J1095" s="18"/>
      <c r="K1095" s="18"/>
    </row>
    <row r="1096" customFormat="false" ht="15" hidden="false" customHeight="false" outlineLevel="0" collapsed="false">
      <c r="A1096" s="17"/>
      <c r="B1096" s="18"/>
      <c r="C1096" s="19"/>
      <c r="D1096" s="19"/>
      <c r="E1096" s="18"/>
      <c r="F1096" s="18"/>
      <c r="G1096" s="13" t="str">
        <f aca="false">IF(F1096="","",IFERROR(INDEX(Metas!$B$5:$B$54,MATCH(F1096,Metas!$A$5:$A$54,0)),"⚠ ID de meta no existe"))</f>
        <v/>
      </c>
      <c r="H1096" s="16" t="str">
        <f aca="false">IF(OR(C1096="",D1096=""),"",ROUND(MOD(D1096-C1096,1)*24,2))</f>
        <v/>
      </c>
      <c r="I1096" s="18"/>
      <c r="J1096" s="18"/>
      <c r="K1096" s="18"/>
    </row>
    <row r="1097" customFormat="false" ht="15" hidden="false" customHeight="false" outlineLevel="0" collapsed="false">
      <c r="A1097" s="17"/>
      <c r="B1097" s="18"/>
      <c r="C1097" s="19"/>
      <c r="D1097" s="19"/>
      <c r="E1097" s="18"/>
      <c r="F1097" s="18"/>
      <c r="G1097" s="13" t="str">
        <f aca="false">IF(F1097="","",IFERROR(INDEX(Metas!$B$5:$B$54,MATCH(F1097,Metas!$A$5:$A$54,0)),"⚠ ID de meta no existe"))</f>
        <v/>
      </c>
      <c r="H1097" s="16" t="str">
        <f aca="false">IF(OR(C1097="",D1097=""),"",ROUND(MOD(D1097-C1097,1)*24,2))</f>
        <v/>
      </c>
      <c r="I1097" s="18"/>
      <c r="J1097" s="18"/>
      <c r="K1097" s="18"/>
    </row>
    <row r="1098" customFormat="false" ht="15" hidden="false" customHeight="false" outlineLevel="0" collapsed="false">
      <c r="A1098" s="17"/>
      <c r="B1098" s="18"/>
      <c r="C1098" s="19"/>
      <c r="D1098" s="19"/>
      <c r="E1098" s="18"/>
      <c r="F1098" s="18"/>
      <c r="G1098" s="13" t="str">
        <f aca="false">IF(F1098="","",IFERROR(INDEX(Metas!$B$5:$B$54,MATCH(F1098,Metas!$A$5:$A$54,0)),"⚠ ID de meta no existe"))</f>
        <v/>
      </c>
      <c r="H1098" s="16" t="str">
        <f aca="false">IF(OR(C1098="",D1098=""),"",ROUND(MOD(D1098-C1098,1)*24,2))</f>
        <v/>
      </c>
      <c r="I1098" s="18"/>
      <c r="J1098" s="18"/>
      <c r="K1098" s="18"/>
    </row>
    <row r="1099" customFormat="false" ht="15" hidden="false" customHeight="false" outlineLevel="0" collapsed="false">
      <c r="A1099" s="17"/>
      <c r="B1099" s="18"/>
      <c r="C1099" s="19"/>
      <c r="D1099" s="19"/>
      <c r="E1099" s="18"/>
      <c r="F1099" s="18"/>
      <c r="G1099" s="13" t="str">
        <f aca="false">IF(F1099="","",IFERROR(INDEX(Metas!$B$5:$B$54,MATCH(F1099,Metas!$A$5:$A$54,0)),"⚠ ID de meta no existe"))</f>
        <v/>
      </c>
      <c r="H1099" s="16" t="str">
        <f aca="false">IF(OR(C1099="",D1099=""),"",ROUND(MOD(D1099-C1099,1)*24,2))</f>
        <v/>
      </c>
      <c r="I1099" s="18"/>
      <c r="J1099" s="18"/>
      <c r="K1099" s="18"/>
    </row>
    <row r="1100" customFormat="false" ht="15" hidden="false" customHeight="false" outlineLevel="0" collapsed="false">
      <c r="A1100" s="17"/>
      <c r="B1100" s="18"/>
      <c r="C1100" s="19"/>
      <c r="D1100" s="19"/>
      <c r="E1100" s="18"/>
      <c r="F1100" s="18"/>
      <c r="G1100" s="13" t="str">
        <f aca="false">IF(F1100="","",IFERROR(INDEX(Metas!$B$5:$B$54,MATCH(F1100,Metas!$A$5:$A$54,0)),"⚠ ID de meta no existe"))</f>
        <v/>
      </c>
      <c r="H1100" s="16" t="str">
        <f aca="false">IF(OR(C1100="",D1100=""),"",ROUND(MOD(D1100-C1100,1)*24,2))</f>
        <v/>
      </c>
      <c r="I1100" s="18"/>
      <c r="J1100" s="18"/>
      <c r="K1100" s="18"/>
    </row>
    <row r="1101" customFormat="false" ht="15" hidden="false" customHeight="false" outlineLevel="0" collapsed="false">
      <c r="A1101" s="17"/>
      <c r="B1101" s="18"/>
      <c r="C1101" s="19"/>
      <c r="D1101" s="19"/>
      <c r="E1101" s="18"/>
      <c r="F1101" s="18"/>
      <c r="G1101" s="13" t="str">
        <f aca="false">IF(F1101="","",IFERROR(INDEX(Metas!$B$5:$B$54,MATCH(F1101,Metas!$A$5:$A$54,0)),"⚠ ID de meta no existe"))</f>
        <v/>
      </c>
      <c r="H1101" s="16" t="str">
        <f aca="false">IF(OR(C1101="",D1101=""),"",ROUND(MOD(D1101-C1101,1)*24,2))</f>
        <v/>
      </c>
      <c r="I1101" s="18"/>
      <c r="J1101" s="18"/>
      <c r="K1101" s="18"/>
    </row>
    <row r="1102" customFormat="false" ht="15" hidden="false" customHeight="false" outlineLevel="0" collapsed="false">
      <c r="A1102" s="17"/>
      <c r="B1102" s="18"/>
      <c r="C1102" s="19"/>
      <c r="D1102" s="19"/>
      <c r="E1102" s="18"/>
      <c r="F1102" s="18"/>
      <c r="G1102" s="13" t="str">
        <f aca="false">IF(F1102="","",IFERROR(INDEX(Metas!$B$5:$B$54,MATCH(F1102,Metas!$A$5:$A$54,0)),"⚠ ID de meta no existe"))</f>
        <v/>
      </c>
      <c r="H1102" s="16" t="str">
        <f aca="false">IF(OR(C1102="",D1102=""),"",ROUND(MOD(D1102-C1102,1)*24,2))</f>
        <v/>
      </c>
      <c r="I1102" s="18"/>
      <c r="J1102" s="18"/>
      <c r="K1102" s="18"/>
    </row>
    <row r="1103" customFormat="false" ht="15" hidden="false" customHeight="false" outlineLevel="0" collapsed="false">
      <c r="A1103" s="17"/>
      <c r="B1103" s="18"/>
      <c r="C1103" s="19"/>
      <c r="D1103" s="19"/>
      <c r="E1103" s="18"/>
      <c r="F1103" s="18"/>
      <c r="G1103" s="13" t="str">
        <f aca="false">IF(F1103="","",IFERROR(INDEX(Metas!$B$5:$B$54,MATCH(F1103,Metas!$A$5:$A$54,0)),"⚠ ID de meta no existe"))</f>
        <v/>
      </c>
      <c r="H1103" s="16" t="str">
        <f aca="false">IF(OR(C1103="",D1103=""),"",ROUND(MOD(D1103-C1103,1)*24,2))</f>
        <v/>
      </c>
      <c r="I1103" s="18"/>
      <c r="J1103" s="18"/>
      <c r="K1103" s="18"/>
    </row>
    <row r="1104" customFormat="false" ht="15" hidden="false" customHeight="false" outlineLevel="0" collapsed="false">
      <c r="A1104" s="17"/>
      <c r="B1104" s="18"/>
      <c r="C1104" s="19"/>
      <c r="D1104" s="19"/>
      <c r="E1104" s="18"/>
      <c r="F1104" s="18"/>
      <c r="G1104" s="13" t="str">
        <f aca="false">IF(F1104="","",IFERROR(INDEX(Metas!$B$5:$B$54,MATCH(F1104,Metas!$A$5:$A$54,0)),"⚠ ID de meta no existe"))</f>
        <v/>
      </c>
      <c r="H1104" s="16" t="str">
        <f aca="false">IF(OR(C1104="",D1104=""),"",ROUND(MOD(D1104-C1104,1)*24,2))</f>
        <v/>
      </c>
      <c r="I1104" s="18"/>
      <c r="J1104" s="18"/>
      <c r="K1104" s="18"/>
    </row>
    <row r="1105" customFormat="false" ht="15" hidden="false" customHeight="false" outlineLevel="0" collapsed="false">
      <c r="A1105" s="17"/>
      <c r="B1105" s="18"/>
      <c r="C1105" s="19"/>
      <c r="D1105" s="19"/>
      <c r="E1105" s="18"/>
      <c r="F1105" s="18"/>
      <c r="G1105" s="13" t="str">
        <f aca="false">IF(F1105="","",IFERROR(INDEX(Metas!$B$5:$B$54,MATCH(F1105,Metas!$A$5:$A$54,0)),"⚠ ID de meta no existe"))</f>
        <v/>
      </c>
      <c r="H1105" s="16" t="str">
        <f aca="false">IF(OR(C1105="",D1105=""),"",ROUND(MOD(D1105-C1105,1)*24,2))</f>
        <v/>
      </c>
      <c r="I1105" s="18"/>
      <c r="J1105" s="18"/>
      <c r="K1105" s="18"/>
    </row>
    <row r="1106" customFormat="false" ht="15" hidden="false" customHeight="false" outlineLevel="0" collapsed="false">
      <c r="A1106" s="17"/>
      <c r="B1106" s="18"/>
      <c r="C1106" s="19"/>
      <c r="D1106" s="19"/>
      <c r="E1106" s="18"/>
      <c r="F1106" s="18"/>
      <c r="G1106" s="13" t="str">
        <f aca="false">IF(F1106="","",IFERROR(INDEX(Metas!$B$5:$B$54,MATCH(F1106,Metas!$A$5:$A$54,0)),"⚠ ID de meta no existe"))</f>
        <v/>
      </c>
      <c r="H1106" s="16" t="str">
        <f aca="false">IF(OR(C1106="",D1106=""),"",ROUND(MOD(D1106-C1106,1)*24,2))</f>
        <v/>
      </c>
      <c r="I1106" s="18"/>
      <c r="J1106" s="18"/>
      <c r="K1106" s="18"/>
    </row>
    <row r="1107" customFormat="false" ht="15" hidden="false" customHeight="false" outlineLevel="0" collapsed="false">
      <c r="A1107" s="17"/>
      <c r="B1107" s="18"/>
      <c r="C1107" s="19"/>
      <c r="D1107" s="19"/>
      <c r="E1107" s="18"/>
      <c r="F1107" s="18"/>
      <c r="G1107" s="13" t="str">
        <f aca="false">IF(F1107="","",IFERROR(INDEX(Metas!$B$5:$B$54,MATCH(F1107,Metas!$A$5:$A$54,0)),"⚠ ID de meta no existe"))</f>
        <v/>
      </c>
      <c r="H1107" s="16" t="str">
        <f aca="false">IF(OR(C1107="",D1107=""),"",ROUND(MOD(D1107-C1107,1)*24,2))</f>
        <v/>
      </c>
      <c r="I1107" s="18"/>
      <c r="J1107" s="18"/>
      <c r="K1107" s="18"/>
    </row>
    <row r="1108" customFormat="false" ht="15" hidden="false" customHeight="false" outlineLevel="0" collapsed="false">
      <c r="A1108" s="17"/>
      <c r="B1108" s="18"/>
      <c r="C1108" s="19"/>
      <c r="D1108" s="19"/>
      <c r="E1108" s="18"/>
      <c r="F1108" s="18"/>
      <c r="G1108" s="13" t="str">
        <f aca="false">IF(F1108="","",IFERROR(INDEX(Metas!$B$5:$B$54,MATCH(F1108,Metas!$A$5:$A$54,0)),"⚠ ID de meta no existe"))</f>
        <v/>
      </c>
      <c r="H1108" s="16" t="str">
        <f aca="false">IF(OR(C1108="",D1108=""),"",ROUND(MOD(D1108-C1108,1)*24,2))</f>
        <v/>
      </c>
      <c r="I1108" s="18"/>
      <c r="J1108" s="18"/>
      <c r="K1108" s="18"/>
    </row>
    <row r="1109" customFormat="false" ht="15" hidden="false" customHeight="false" outlineLevel="0" collapsed="false">
      <c r="A1109" s="17"/>
      <c r="B1109" s="18"/>
      <c r="C1109" s="19"/>
      <c r="D1109" s="19"/>
      <c r="E1109" s="18"/>
      <c r="F1109" s="18"/>
      <c r="G1109" s="13" t="str">
        <f aca="false">IF(F1109="","",IFERROR(INDEX(Metas!$B$5:$B$54,MATCH(F1109,Metas!$A$5:$A$54,0)),"⚠ ID de meta no existe"))</f>
        <v/>
      </c>
      <c r="H1109" s="16" t="str">
        <f aca="false">IF(OR(C1109="",D1109=""),"",ROUND(MOD(D1109-C1109,1)*24,2))</f>
        <v/>
      </c>
      <c r="I1109" s="18"/>
      <c r="J1109" s="18"/>
      <c r="K1109" s="18"/>
    </row>
    <row r="1110" customFormat="false" ht="15" hidden="false" customHeight="false" outlineLevel="0" collapsed="false">
      <c r="A1110" s="17"/>
      <c r="B1110" s="18"/>
      <c r="C1110" s="19"/>
      <c r="D1110" s="19"/>
      <c r="E1110" s="18"/>
      <c r="F1110" s="18"/>
      <c r="G1110" s="13" t="str">
        <f aca="false">IF(F1110="","",IFERROR(INDEX(Metas!$B$5:$B$54,MATCH(F1110,Metas!$A$5:$A$54,0)),"⚠ ID de meta no existe"))</f>
        <v/>
      </c>
      <c r="H1110" s="16" t="str">
        <f aca="false">IF(OR(C1110="",D1110=""),"",ROUND(MOD(D1110-C1110,1)*24,2))</f>
        <v/>
      </c>
      <c r="I1110" s="18"/>
      <c r="J1110" s="18"/>
      <c r="K1110" s="18"/>
    </row>
    <row r="1111" customFormat="false" ht="15" hidden="false" customHeight="false" outlineLevel="0" collapsed="false">
      <c r="A1111" s="17"/>
      <c r="B1111" s="18"/>
      <c r="C1111" s="19"/>
      <c r="D1111" s="19"/>
      <c r="E1111" s="18"/>
      <c r="F1111" s="18"/>
      <c r="G1111" s="13" t="str">
        <f aca="false">IF(F1111="","",IFERROR(INDEX(Metas!$B$5:$B$54,MATCH(F1111,Metas!$A$5:$A$54,0)),"⚠ ID de meta no existe"))</f>
        <v/>
      </c>
      <c r="H1111" s="16" t="str">
        <f aca="false">IF(OR(C1111="",D1111=""),"",ROUND(MOD(D1111-C1111,1)*24,2))</f>
        <v/>
      </c>
      <c r="I1111" s="18"/>
      <c r="J1111" s="18"/>
      <c r="K1111" s="18"/>
    </row>
    <row r="1112" customFormat="false" ht="15" hidden="false" customHeight="false" outlineLevel="0" collapsed="false">
      <c r="A1112" s="17"/>
      <c r="B1112" s="18"/>
      <c r="C1112" s="19"/>
      <c r="D1112" s="19"/>
      <c r="E1112" s="18"/>
      <c r="F1112" s="18"/>
      <c r="G1112" s="13" t="str">
        <f aca="false">IF(F1112="","",IFERROR(INDEX(Metas!$B$5:$B$54,MATCH(F1112,Metas!$A$5:$A$54,0)),"⚠ ID de meta no existe"))</f>
        <v/>
      </c>
      <c r="H1112" s="16" t="str">
        <f aca="false">IF(OR(C1112="",D1112=""),"",ROUND(MOD(D1112-C1112,1)*24,2))</f>
        <v/>
      </c>
      <c r="I1112" s="18"/>
      <c r="J1112" s="18"/>
      <c r="K1112" s="18"/>
    </row>
    <row r="1113" customFormat="false" ht="15" hidden="false" customHeight="false" outlineLevel="0" collapsed="false">
      <c r="A1113" s="17"/>
      <c r="B1113" s="18"/>
      <c r="C1113" s="19"/>
      <c r="D1113" s="19"/>
      <c r="E1113" s="18"/>
      <c r="F1113" s="18"/>
      <c r="G1113" s="13" t="str">
        <f aca="false">IF(F1113="","",IFERROR(INDEX(Metas!$B$5:$B$54,MATCH(F1113,Metas!$A$5:$A$54,0)),"⚠ ID de meta no existe"))</f>
        <v/>
      </c>
      <c r="H1113" s="16" t="str">
        <f aca="false">IF(OR(C1113="",D1113=""),"",ROUND(MOD(D1113-C1113,1)*24,2))</f>
        <v/>
      </c>
      <c r="I1113" s="18"/>
      <c r="J1113" s="18"/>
      <c r="K1113" s="18"/>
    </row>
    <row r="1114" customFormat="false" ht="15" hidden="false" customHeight="false" outlineLevel="0" collapsed="false">
      <c r="A1114" s="17"/>
      <c r="B1114" s="18"/>
      <c r="C1114" s="19"/>
      <c r="D1114" s="19"/>
      <c r="E1114" s="18"/>
      <c r="F1114" s="18"/>
      <c r="G1114" s="13" t="str">
        <f aca="false">IF(F1114="","",IFERROR(INDEX(Metas!$B$5:$B$54,MATCH(F1114,Metas!$A$5:$A$54,0)),"⚠ ID de meta no existe"))</f>
        <v/>
      </c>
      <c r="H1114" s="16" t="str">
        <f aca="false">IF(OR(C1114="",D1114=""),"",ROUND(MOD(D1114-C1114,1)*24,2))</f>
        <v/>
      </c>
      <c r="I1114" s="18"/>
      <c r="J1114" s="18"/>
      <c r="K1114" s="18"/>
    </row>
    <row r="1115" customFormat="false" ht="15" hidden="false" customHeight="false" outlineLevel="0" collapsed="false">
      <c r="A1115" s="17"/>
      <c r="B1115" s="18"/>
      <c r="C1115" s="19"/>
      <c r="D1115" s="19"/>
      <c r="E1115" s="18"/>
      <c r="F1115" s="18"/>
      <c r="G1115" s="13" t="str">
        <f aca="false">IF(F1115="","",IFERROR(INDEX(Metas!$B$5:$B$54,MATCH(F1115,Metas!$A$5:$A$54,0)),"⚠ ID de meta no existe"))</f>
        <v/>
      </c>
      <c r="H1115" s="16" t="str">
        <f aca="false">IF(OR(C1115="",D1115=""),"",ROUND(MOD(D1115-C1115,1)*24,2))</f>
        <v/>
      </c>
      <c r="I1115" s="18"/>
      <c r="J1115" s="18"/>
      <c r="K1115" s="18"/>
    </row>
    <row r="1116" customFormat="false" ht="15" hidden="false" customHeight="false" outlineLevel="0" collapsed="false">
      <c r="A1116" s="17"/>
      <c r="B1116" s="18"/>
      <c r="C1116" s="19"/>
      <c r="D1116" s="19"/>
      <c r="E1116" s="18"/>
      <c r="F1116" s="18"/>
      <c r="G1116" s="13" t="str">
        <f aca="false">IF(F1116="","",IFERROR(INDEX(Metas!$B$5:$B$54,MATCH(F1116,Metas!$A$5:$A$54,0)),"⚠ ID de meta no existe"))</f>
        <v/>
      </c>
      <c r="H1116" s="16" t="str">
        <f aca="false">IF(OR(C1116="",D1116=""),"",ROUND(MOD(D1116-C1116,1)*24,2))</f>
        <v/>
      </c>
      <c r="I1116" s="18"/>
      <c r="J1116" s="18"/>
      <c r="K1116" s="18"/>
    </row>
    <row r="1117" customFormat="false" ht="15" hidden="false" customHeight="false" outlineLevel="0" collapsed="false">
      <c r="A1117" s="17"/>
      <c r="B1117" s="18"/>
      <c r="C1117" s="19"/>
      <c r="D1117" s="19"/>
      <c r="E1117" s="18"/>
      <c r="F1117" s="18"/>
      <c r="G1117" s="13" t="str">
        <f aca="false">IF(F1117="","",IFERROR(INDEX(Metas!$B$5:$B$54,MATCH(F1117,Metas!$A$5:$A$54,0)),"⚠ ID de meta no existe"))</f>
        <v/>
      </c>
      <c r="H1117" s="16" t="str">
        <f aca="false">IF(OR(C1117="",D1117=""),"",ROUND(MOD(D1117-C1117,1)*24,2))</f>
        <v/>
      </c>
      <c r="I1117" s="18"/>
      <c r="J1117" s="18"/>
      <c r="K1117" s="18"/>
    </row>
    <row r="1118" customFormat="false" ht="15" hidden="false" customHeight="false" outlineLevel="0" collapsed="false">
      <c r="A1118" s="17"/>
      <c r="B1118" s="18"/>
      <c r="C1118" s="19"/>
      <c r="D1118" s="19"/>
      <c r="E1118" s="18"/>
      <c r="F1118" s="18"/>
      <c r="G1118" s="13" t="str">
        <f aca="false">IF(F1118="","",IFERROR(INDEX(Metas!$B$5:$B$54,MATCH(F1118,Metas!$A$5:$A$54,0)),"⚠ ID de meta no existe"))</f>
        <v/>
      </c>
      <c r="H1118" s="16" t="str">
        <f aca="false">IF(OR(C1118="",D1118=""),"",ROUND(MOD(D1118-C1118,1)*24,2))</f>
        <v/>
      </c>
      <c r="I1118" s="18"/>
      <c r="J1118" s="18"/>
      <c r="K1118" s="18"/>
    </row>
    <row r="1119" customFormat="false" ht="15" hidden="false" customHeight="false" outlineLevel="0" collapsed="false">
      <c r="A1119" s="17"/>
      <c r="B1119" s="18"/>
      <c r="C1119" s="19"/>
      <c r="D1119" s="19"/>
      <c r="E1119" s="18"/>
      <c r="F1119" s="18"/>
      <c r="G1119" s="13" t="str">
        <f aca="false">IF(F1119="","",IFERROR(INDEX(Metas!$B$5:$B$54,MATCH(F1119,Metas!$A$5:$A$54,0)),"⚠ ID de meta no existe"))</f>
        <v/>
      </c>
      <c r="H1119" s="16" t="str">
        <f aca="false">IF(OR(C1119="",D1119=""),"",ROUND(MOD(D1119-C1119,1)*24,2))</f>
        <v/>
      </c>
      <c r="I1119" s="18"/>
      <c r="J1119" s="18"/>
      <c r="K1119" s="18"/>
    </row>
    <row r="1120" customFormat="false" ht="15" hidden="false" customHeight="false" outlineLevel="0" collapsed="false">
      <c r="A1120" s="17"/>
      <c r="B1120" s="18"/>
      <c r="C1120" s="19"/>
      <c r="D1120" s="19"/>
      <c r="E1120" s="18"/>
      <c r="F1120" s="18"/>
      <c r="G1120" s="13" t="str">
        <f aca="false">IF(F1120="","",IFERROR(INDEX(Metas!$B$5:$B$54,MATCH(F1120,Metas!$A$5:$A$54,0)),"⚠ ID de meta no existe"))</f>
        <v/>
      </c>
      <c r="H1120" s="16" t="str">
        <f aca="false">IF(OR(C1120="",D1120=""),"",ROUND(MOD(D1120-C1120,1)*24,2))</f>
        <v/>
      </c>
      <c r="I1120" s="18"/>
      <c r="J1120" s="18"/>
      <c r="K1120" s="18"/>
    </row>
    <row r="1121" customFormat="false" ht="15" hidden="false" customHeight="false" outlineLevel="0" collapsed="false">
      <c r="A1121" s="17"/>
      <c r="B1121" s="18"/>
      <c r="C1121" s="19"/>
      <c r="D1121" s="19"/>
      <c r="E1121" s="18"/>
      <c r="F1121" s="18"/>
      <c r="G1121" s="13" t="str">
        <f aca="false">IF(F1121="","",IFERROR(INDEX(Metas!$B$5:$B$54,MATCH(F1121,Metas!$A$5:$A$54,0)),"⚠ ID de meta no existe"))</f>
        <v/>
      </c>
      <c r="H1121" s="16" t="str">
        <f aca="false">IF(OR(C1121="",D1121=""),"",ROUND(MOD(D1121-C1121,1)*24,2))</f>
        <v/>
      </c>
      <c r="I1121" s="18"/>
      <c r="J1121" s="18"/>
      <c r="K1121" s="18"/>
    </row>
    <row r="1122" customFormat="false" ht="15" hidden="false" customHeight="false" outlineLevel="0" collapsed="false">
      <c r="A1122" s="17"/>
      <c r="B1122" s="18"/>
      <c r="C1122" s="19"/>
      <c r="D1122" s="19"/>
      <c r="E1122" s="18"/>
      <c r="F1122" s="18"/>
      <c r="G1122" s="13" t="str">
        <f aca="false">IF(F1122="","",IFERROR(INDEX(Metas!$B$5:$B$54,MATCH(F1122,Metas!$A$5:$A$54,0)),"⚠ ID de meta no existe"))</f>
        <v/>
      </c>
      <c r="H1122" s="16" t="str">
        <f aca="false">IF(OR(C1122="",D1122=""),"",ROUND(MOD(D1122-C1122,1)*24,2))</f>
        <v/>
      </c>
      <c r="I1122" s="18"/>
      <c r="J1122" s="18"/>
      <c r="K1122" s="18"/>
    </row>
    <row r="1123" customFormat="false" ht="15" hidden="false" customHeight="false" outlineLevel="0" collapsed="false">
      <c r="A1123" s="17"/>
      <c r="B1123" s="18"/>
      <c r="C1123" s="19"/>
      <c r="D1123" s="19"/>
      <c r="E1123" s="18"/>
      <c r="F1123" s="18"/>
      <c r="G1123" s="13" t="str">
        <f aca="false">IF(F1123="","",IFERROR(INDEX(Metas!$B$5:$B$54,MATCH(F1123,Metas!$A$5:$A$54,0)),"⚠ ID de meta no existe"))</f>
        <v/>
      </c>
      <c r="H1123" s="16" t="str">
        <f aca="false">IF(OR(C1123="",D1123=""),"",ROUND(MOD(D1123-C1123,1)*24,2))</f>
        <v/>
      </c>
      <c r="I1123" s="18"/>
      <c r="J1123" s="18"/>
      <c r="K1123" s="18"/>
    </row>
    <row r="1124" customFormat="false" ht="15" hidden="false" customHeight="false" outlineLevel="0" collapsed="false">
      <c r="A1124" s="17"/>
      <c r="B1124" s="18"/>
      <c r="C1124" s="19"/>
      <c r="D1124" s="19"/>
      <c r="E1124" s="18"/>
      <c r="F1124" s="18"/>
      <c r="G1124" s="13" t="str">
        <f aca="false">IF(F1124="","",IFERROR(INDEX(Metas!$B$5:$B$54,MATCH(F1124,Metas!$A$5:$A$54,0)),"⚠ ID de meta no existe"))</f>
        <v/>
      </c>
      <c r="H1124" s="16" t="str">
        <f aca="false">IF(OR(C1124="",D1124=""),"",ROUND(MOD(D1124-C1124,1)*24,2))</f>
        <v/>
      </c>
      <c r="I1124" s="18"/>
      <c r="J1124" s="18"/>
      <c r="K1124" s="18"/>
    </row>
    <row r="1125" customFormat="false" ht="15" hidden="false" customHeight="false" outlineLevel="0" collapsed="false">
      <c r="A1125" s="17"/>
      <c r="B1125" s="18"/>
      <c r="C1125" s="19"/>
      <c r="D1125" s="19"/>
      <c r="E1125" s="18"/>
      <c r="F1125" s="18"/>
      <c r="G1125" s="13" t="str">
        <f aca="false">IF(F1125="","",IFERROR(INDEX(Metas!$B$5:$B$54,MATCH(F1125,Metas!$A$5:$A$54,0)),"⚠ ID de meta no existe"))</f>
        <v/>
      </c>
      <c r="H1125" s="16" t="str">
        <f aca="false">IF(OR(C1125="",D1125=""),"",ROUND(MOD(D1125-C1125,1)*24,2))</f>
        <v/>
      </c>
      <c r="I1125" s="18"/>
      <c r="J1125" s="18"/>
      <c r="K1125" s="18"/>
    </row>
    <row r="1126" customFormat="false" ht="15" hidden="false" customHeight="false" outlineLevel="0" collapsed="false">
      <c r="A1126" s="17"/>
      <c r="B1126" s="18"/>
      <c r="C1126" s="19"/>
      <c r="D1126" s="19"/>
      <c r="E1126" s="18"/>
      <c r="F1126" s="18"/>
      <c r="G1126" s="13" t="str">
        <f aca="false">IF(F1126="","",IFERROR(INDEX(Metas!$B$5:$B$54,MATCH(F1126,Metas!$A$5:$A$54,0)),"⚠ ID de meta no existe"))</f>
        <v/>
      </c>
      <c r="H1126" s="16" t="str">
        <f aca="false">IF(OR(C1126="",D1126=""),"",ROUND(MOD(D1126-C1126,1)*24,2))</f>
        <v/>
      </c>
      <c r="I1126" s="18"/>
      <c r="J1126" s="18"/>
      <c r="K1126" s="18"/>
    </row>
    <row r="1127" customFormat="false" ht="15" hidden="false" customHeight="false" outlineLevel="0" collapsed="false">
      <c r="A1127" s="17"/>
      <c r="B1127" s="18"/>
      <c r="C1127" s="19"/>
      <c r="D1127" s="19"/>
      <c r="E1127" s="18"/>
      <c r="F1127" s="18"/>
      <c r="G1127" s="13" t="str">
        <f aca="false">IF(F1127="","",IFERROR(INDEX(Metas!$B$5:$B$54,MATCH(F1127,Metas!$A$5:$A$54,0)),"⚠ ID de meta no existe"))</f>
        <v/>
      </c>
      <c r="H1127" s="16" t="str">
        <f aca="false">IF(OR(C1127="",D1127=""),"",ROUND(MOD(D1127-C1127,1)*24,2))</f>
        <v/>
      </c>
      <c r="I1127" s="18"/>
      <c r="J1127" s="18"/>
      <c r="K1127" s="18"/>
    </row>
    <row r="1128" customFormat="false" ht="15" hidden="false" customHeight="false" outlineLevel="0" collapsed="false">
      <c r="A1128" s="17"/>
      <c r="B1128" s="18"/>
      <c r="C1128" s="19"/>
      <c r="D1128" s="19"/>
      <c r="E1128" s="18"/>
      <c r="F1128" s="18"/>
      <c r="G1128" s="13" t="str">
        <f aca="false">IF(F1128="","",IFERROR(INDEX(Metas!$B$5:$B$54,MATCH(F1128,Metas!$A$5:$A$54,0)),"⚠ ID de meta no existe"))</f>
        <v/>
      </c>
      <c r="H1128" s="16" t="str">
        <f aca="false">IF(OR(C1128="",D1128=""),"",ROUND(MOD(D1128-C1128,1)*24,2))</f>
        <v/>
      </c>
      <c r="I1128" s="18"/>
      <c r="J1128" s="18"/>
      <c r="K1128" s="18"/>
    </row>
    <row r="1129" customFormat="false" ht="15" hidden="false" customHeight="false" outlineLevel="0" collapsed="false">
      <c r="A1129" s="17"/>
      <c r="B1129" s="18"/>
      <c r="C1129" s="19"/>
      <c r="D1129" s="19"/>
      <c r="E1129" s="18"/>
      <c r="F1129" s="18"/>
      <c r="G1129" s="13" t="str">
        <f aca="false">IF(F1129="","",IFERROR(INDEX(Metas!$B$5:$B$54,MATCH(F1129,Metas!$A$5:$A$54,0)),"⚠ ID de meta no existe"))</f>
        <v/>
      </c>
      <c r="H1129" s="16" t="str">
        <f aca="false">IF(OR(C1129="",D1129=""),"",ROUND(MOD(D1129-C1129,1)*24,2))</f>
        <v/>
      </c>
      <c r="I1129" s="18"/>
      <c r="J1129" s="18"/>
      <c r="K1129" s="18"/>
    </row>
    <row r="1130" customFormat="false" ht="15" hidden="false" customHeight="false" outlineLevel="0" collapsed="false">
      <c r="A1130" s="17"/>
      <c r="B1130" s="18"/>
      <c r="C1130" s="19"/>
      <c r="D1130" s="19"/>
      <c r="E1130" s="18"/>
      <c r="F1130" s="18"/>
      <c r="G1130" s="13" t="str">
        <f aca="false">IF(F1130="","",IFERROR(INDEX(Metas!$B$5:$B$54,MATCH(F1130,Metas!$A$5:$A$54,0)),"⚠ ID de meta no existe"))</f>
        <v/>
      </c>
      <c r="H1130" s="16" t="str">
        <f aca="false">IF(OR(C1130="",D1130=""),"",ROUND(MOD(D1130-C1130,1)*24,2))</f>
        <v/>
      </c>
      <c r="I1130" s="18"/>
      <c r="J1130" s="18"/>
      <c r="K1130" s="18"/>
    </row>
    <row r="1131" customFormat="false" ht="15" hidden="false" customHeight="false" outlineLevel="0" collapsed="false">
      <c r="A1131" s="17"/>
      <c r="B1131" s="18"/>
      <c r="C1131" s="19"/>
      <c r="D1131" s="19"/>
      <c r="E1131" s="18"/>
      <c r="F1131" s="18"/>
      <c r="G1131" s="13" t="str">
        <f aca="false">IF(F1131="","",IFERROR(INDEX(Metas!$B$5:$B$54,MATCH(F1131,Metas!$A$5:$A$54,0)),"⚠ ID de meta no existe"))</f>
        <v/>
      </c>
      <c r="H1131" s="16" t="str">
        <f aca="false">IF(OR(C1131="",D1131=""),"",ROUND(MOD(D1131-C1131,1)*24,2))</f>
        <v/>
      </c>
      <c r="I1131" s="18"/>
      <c r="J1131" s="18"/>
      <c r="K1131" s="18"/>
    </row>
    <row r="1132" customFormat="false" ht="15" hidden="false" customHeight="false" outlineLevel="0" collapsed="false">
      <c r="A1132" s="17"/>
      <c r="B1132" s="18"/>
      <c r="C1132" s="19"/>
      <c r="D1132" s="19"/>
      <c r="E1132" s="18"/>
      <c r="F1132" s="18"/>
      <c r="G1132" s="13" t="str">
        <f aca="false">IF(F1132="","",IFERROR(INDEX(Metas!$B$5:$B$54,MATCH(F1132,Metas!$A$5:$A$54,0)),"⚠ ID de meta no existe"))</f>
        <v/>
      </c>
      <c r="H1132" s="16" t="str">
        <f aca="false">IF(OR(C1132="",D1132=""),"",ROUND(MOD(D1132-C1132,1)*24,2))</f>
        <v/>
      </c>
      <c r="I1132" s="18"/>
      <c r="J1132" s="18"/>
      <c r="K1132" s="18"/>
    </row>
    <row r="1133" customFormat="false" ht="15" hidden="false" customHeight="false" outlineLevel="0" collapsed="false">
      <c r="A1133" s="17"/>
      <c r="B1133" s="18"/>
      <c r="C1133" s="19"/>
      <c r="D1133" s="19"/>
      <c r="E1133" s="18"/>
      <c r="F1133" s="18"/>
      <c r="G1133" s="13" t="str">
        <f aca="false">IF(F1133="","",IFERROR(INDEX(Metas!$B$5:$B$54,MATCH(F1133,Metas!$A$5:$A$54,0)),"⚠ ID de meta no existe"))</f>
        <v/>
      </c>
      <c r="H1133" s="16" t="str">
        <f aca="false">IF(OR(C1133="",D1133=""),"",ROUND(MOD(D1133-C1133,1)*24,2))</f>
        <v/>
      </c>
      <c r="I1133" s="18"/>
      <c r="J1133" s="18"/>
      <c r="K1133" s="18"/>
    </row>
    <row r="1134" customFormat="false" ht="15" hidden="false" customHeight="false" outlineLevel="0" collapsed="false">
      <c r="A1134" s="17"/>
      <c r="B1134" s="18"/>
      <c r="C1134" s="19"/>
      <c r="D1134" s="19"/>
      <c r="E1134" s="18"/>
      <c r="F1134" s="18"/>
      <c r="G1134" s="13" t="str">
        <f aca="false">IF(F1134="","",IFERROR(INDEX(Metas!$B$5:$B$54,MATCH(F1134,Metas!$A$5:$A$54,0)),"⚠ ID de meta no existe"))</f>
        <v/>
      </c>
      <c r="H1134" s="16" t="str">
        <f aca="false">IF(OR(C1134="",D1134=""),"",ROUND(MOD(D1134-C1134,1)*24,2))</f>
        <v/>
      </c>
      <c r="I1134" s="18"/>
      <c r="J1134" s="18"/>
      <c r="K1134" s="18"/>
    </row>
    <row r="1135" customFormat="false" ht="15" hidden="false" customHeight="false" outlineLevel="0" collapsed="false">
      <c r="A1135" s="17"/>
      <c r="B1135" s="18"/>
      <c r="C1135" s="19"/>
      <c r="D1135" s="19"/>
      <c r="E1135" s="18"/>
      <c r="F1135" s="18"/>
      <c r="G1135" s="13" t="str">
        <f aca="false">IF(F1135="","",IFERROR(INDEX(Metas!$B$5:$B$54,MATCH(F1135,Metas!$A$5:$A$54,0)),"⚠ ID de meta no existe"))</f>
        <v/>
      </c>
      <c r="H1135" s="16" t="str">
        <f aca="false">IF(OR(C1135="",D1135=""),"",ROUND(MOD(D1135-C1135,1)*24,2))</f>
        <v/>
      </c>
      <c r="I1135" s="18"/>
      <c r="J1135" s="18"/>
      <c r="K1135" s="18"/>
    </row>
    <row r="1136" customFormat="false" ht="15" hidden="false" customHeight="false" outlineLevel="0" collapsed="false">
      <c r="A1136" s="17"/>
      <c r="B1136" s="18"/>
      <c r="C1136" s="19"/>
      <c r="D1136" s="19"/>
      <c r="E1136" s="18"/>
      <c r="F1136" s="18"/>
      <c r="G1136" s="13" t="str">
        <f aca="false">IF(F1136="","",IFERROR(INDEX(Metas!$B$5:$B$54,MATCH(F1136,Metas!$A$5:$A$54,0)),"⚠ ID de meta no existe"))</f>
        <v/>
      </c>
      <c r="H1136" s="16" t="str">
        <f aca="false">IF(OR(C1136="",D1136=""),"",ROUND(MOD(D1136-C1136,1)*24,2))</f>
        <v/>
      </c>
      <c r="I1136" s="18"/>
      <c r="J1136" s="18"/>
      <c r="K1136" s="18"/>
    </row>
    <row r="1137" customFormat="false" ht="15" hidden="false" customHeight="false" outlineLevel="0" collapsed="false">
      <c r="A1137" s="17"/>
      <c r="B1137" s="18"/>
      <c r="C1137" s="19"/>
      <c r="D1137" s="19"/>
      <c r="E1137" s="18"/>
      <c r="F1137" s="18"/>
      <c r="G1137" s="13" t="str">
        <f aca="false">IF(F1137="","",IFERROR(INDEX(Metas!$B$5:$B$54,MATCH(F1137,Metas!$A$5:$A$54,0)),"⚠ ID de meta no existe"))</f>
        <v/>
      </c>
      <c r="H1137" s="16" t="str">
        <f aca="false">IF(OR(C1137="",D1137=""),"",ROUND(MOD(D1137-C1137,1)*24,2))</f>
        <v/>
      </c>
      <c r="I1137" s="18"/>
      <c r="J1137" s="18"/>
      <c r="K1137" s="18"/>
    </row>
    <row r="1138" customFormat="false" ht="15" hidden="false" customHeight="false" outlineLevel="0" collapsed="false">
      <c r="A1138" s="17"/>
      <c r="B1138" s="18"/>
      <c r="C1138" s="19"/>
      <c r="D1138" s="19"/>
      <c r="E1138" s="18"/>
      <c r="F1138" s="18"/>
      <c r="G1138" s="13" t="str">
        <f aca="false">IF(F1138="","",IFERROR(INDEX(Metas!$B$5:$B$54,MATCH(F1138,Metas!$A$5:$A$54,0)),"⚠ ID de meta no existe"))</f>
        <v/>
      </c>
      <c r="H1138" s="16" t="str">
        <f aca="false">IF(OR(C1138="",D1138=""),"",ROUND(MOD(D1138-C1138,1)*24,2))</f>
        <v/>
      </c>
      <c r="I1138" s="18"/>
      <c r="J1138" s="18"/>
      <c r="K1138" s="18"/>
    </row>
    <row r="1139" customFormat="false" ht="15" hidden="false" customHeight="false" outlineLevel="0" collapsed="false">
      <c r="A1139" s="17"/>
      <c r="B1139" s="18"/>
      <c r="C1139" s="19"/>
      <c r="D1139" s="19"/>
      <c r="E1139" s="18"/>
      <c r="F1139" s="18"/>
      <c r="G1139" s="13" t="str">
        <f aca="false">IF(F1139="","",IFERROR(INDEX(Metas!$B$5:$B$54,MATCH(F1139,Metas!$A$5:$A$54,0)),"⚠ ID de meta no existe"))</f>
        <v/>
      </c>
      <c r="H1139" s="16" t="str">
        <f aca="false">IF(OR(C1139="",D1139=""),"",ROUND(MOD(D1139-C1139,1)*24,2))</f>
        <v/>
      </c>
      <c r="I1139" s="18"/>
      <c r="J1139" s="18"/>
      <c r="K1139" s="18"/>
    </row>
    <row r="1140" customFormat="false" ht="15" hidden="false" customHeight="false" outlineLevel="0" collapsed="false">
      <c r="A1140" s="17"/>
      <c r="B1140" s="18"/>
      <c r="C1140" s="19"/>
      <c r="D1140" s="19"/>
      <c r="E1140" s="18"/>
      <c r="F1140" s="18"/>
      <c r="G1140" s="13" t="str">
        <f aca="false">IF(F1140="","",IFERROR(INDEX(Metas!$B$5:$B$54,MATCH(F1140,Metas!$A$5:$A$54,0)),"⚠ ID de meta no existe"))</f>
        <v/>
      </c>
      <c r="H1140" s="16" t="str">
        <f aca="false">IF(OR(C1140="",D1140=""),"",ROUND(MOD(D1140-C1140,1)*24,2))</f>
        <v/>
      </c>
      <c r="I1140" s="18"/>
      <c r="J1140" s="18"/>
      <c r="K1140" s="18"/>
    </row>
    <row r="1141" customFormat="false" ht="15" hidden="false" customHeight="false" outlineLevel="0" collapsed="false">
      <c r="A1141" s="17"/>
      <c r="B1141" s="18"/>
      <c r="C1141" s="19"/>
      <c r="D1141" s="19"/>
      <c r="E1141" s="18"/>
      <c r="F1141" s="18"/>
      <c r="G1141" s="13" t="str">
        <f aca="false">IF(F1141="","",IFERROR(INDEX(Metas!$B$5:$B$54,MATCH(F1141,Metas!$A$5:$A$54,0)),"⚠ ID de meta no existe"))</f>
        <v/>
      </c>
      <c r="H1141" s="16" t="str">
        <f aca="false">IF(OR(C1141="",D1141=""),"",ROUND(MOD(D1141-C1141,1)*24,2))</f>
        <v/>
      </c>
      <c r="I1141" s="18"/>
      <c r="J1141" s="18"/>
      <c r="K1141" s="18"/>
    </row>
    <row r="1142" customFormat="false" ht="15" hidden="false" customHeight="false" outlineLevel="0" collapsed="false">
      <c r="A1142" s="17"/>
      <c r="B1142" s="18"/>
      <c r="C1142" s="19"/>
      <c r="D1142" s="19"/>
      <c r="E1142" s="18"/>
      <c r="F1142" s="18"/>
      <c r="G1142" s="13" t="str">
        <f aca="false">IF(F1142="","",IFERROR(INDEX(Metas!$B$5:$B$54,MATCH(F1142,Metas!$A$5:$A$54,0)),"⚠ ID de meta no existe"))</f>
        <v/>
      </c>
      <c r="H1142" s="16" t="str">
        <f aca="false">IF(OR(C1142="",D1142=""),"",ROUND(MOD(D1142-C1142,1)*24,2))</f>
        <v/>
      </c>
      <c r="I1142" s="18"/>
      <c r="J1142" s="18"/>
      <c r="K1142" s="18"/>
    </row>
    <row r="1143" customFormat="false" ht="15" hidden="false" customHeight="false" outlineLevel="0" collapsed="false">
      <c r="A1143" s="17"/>
      <c r="B1143" s="18"/>
      <c r="C1143" s="19"/>
      <c r="D1143" s="19"/>
      <c r="E1143" s="18"/>
      <c r="F1143" s="18"/>
      <c r="G1143" s="13" t="str">
        <f aca="false">IF(F1143="","",IFERROR(INDEX(Metas!$B$5:$B$54,MATCH(F1143,Metas!$A$5:$A$54,0)),"⚠ ID de meta no existe"))</f>
        <v/>
      </c>
      <c r="H1143" s="16" t="str">
        <f aca="false">IF(OR(C1143="",D1143=""),"",ROUND(MOD(D1143-C1143,1)*24,2))</f>
        <v/>
      </c>
      <c r="I1143" s="18"/>
      <c r="J1143" s="18"/>
      <c r="K1143" s="18"/>
    </row>
    <row r="1144" customFormat="false" ht="15" hidden="false" customHeight="false" outlineLevel="0" collapsed="false">
      <c r="A1144" s="17"/>
      <c r="B1144" s="18"/>
      <c r="C1144" s="19"/>
      <c r="D1144" s="19"/>
      <c r="E1144" s="18"/>
      <c r="F1144" s="18"/>
      <c r="G1144" s="13" t="str">
        <f aca="false">IF(F1144="","",IFERROR(INDEX(Metas!$B$5:$B$54,MATCH(F1144,Metas!$A$5:$A$54,0)),"⚠ ID de meta no existe"))</f>
        <v/>
      </c>
      <c r="H1144" s="16" t="str">
        <f aca="false">IF(OR(C1144="",D1144=""),"",ROUND(MOD(D1144-C1144,1)*24,2))</f>
        <v/>
      </c>
      <c r="I1144" s="18"/>
      <c r="J1144" s="18"/>
      <c r="K1144" s="18"/>
    </row>
    <row r="1145" customFormat="false" ht="15" hidden="false" customHeight="false" outlineLevel="0" collapsed="false">
      <c r="A1145" s="17"/>
      <c r="B1145" s="18"/>
      <c r="C1145" s="19"/>
      <c r="D1145" s="19"/>
      <c r="E1145" s="18"/>
      <c r="F1145" s="18"/>
      <c r="G1145" s="13" t="str">
        <f aca="false">IF(F1145="","",IFERROR(INDEX(Metas!$B$5:$B$54,MATCH(F1145,Metas!$A$5:$A$54,0)),"⚠ ID de meta no existe"))</f>
        <v/>
      </c>
      <c r="H1145" s="16" t="str">
        <f aca="false">IF(OR(C1145="",D1145=""),"",ROUND(MOD(D1145-C1145,1)*24,2))</f>
        <v/>
      </c>
      <c r="I1145" s="18"/>
      <c r="J1145" s="18"/>
      <c r="K1145" s="18"/>
    </row>
    <row r="1146" customFormat="false" ht="15" hidden="false" customHeight="false" outlineLevel="0" collapsed="false">
      <c r="A1146" s="17"/>
      <c r="B1146" s="18"/>
      <c r="C1146" s="19"/>
      <c r="D1146" s="19"/>
      <c r="E1146" s="18"/>
      <c r="F1146" s="18"/>
      <c r="G1146" s="13" t="str">
        <f aca="false">IF(F1146="","",IFERROR(INDEX(Metas!$B$5:$B$54,MATCH(F1146,Metas!$A$5:$A$54,0)),"⚠ ID de meta no existe"))</f>
        <v/>
      </c>
      <c r="H1146" s="16" t="str">
        <f aca="false">IF(OR(C1146="",D1146=""),"",ROUND(MOD(D1146-C1146,1)*24,2))</f>
        <v/>
      </c>
      <c r="I1146" s="18"/>
      <c r="J1146" s="18"/>
      <c r="K1146" s="18"/>
    </row>
    <row r="1147" customFormat="false" ht="15" hidden="false" customHeight="false" outlineLevel="0" collapsed="false">
      <c r="A1147" s="17"/>
      <c r="B1147" s="18"/>
      <c r="C1147" s="19"/>
      <c r="D1147" s="19"/>
      <c r="E1147" s="18"/>
      <c r="F1147" s="18"/>
      <c r="G1147" s="13" t="str">
        <f aca="false">IF(F1147="","",IFERROR(INDEX(Metas!$B$5:$B$54,MATCH(F1147,Metas!$A$5:$A$54,0)),"⚠ ID de meta no existe"))</f>
        <v/>
      </c>
      <c r="H1147" s="16" t="str">
        <f aca="false">IF(OR(C1147="",D1147=""),"",ROUND(MOD(D1147-C1147,1)*24,2))</f>
        <v/>
      </c>
      <c r="I1147" s="18"/>
      <c r="J1147" s="18"/>
      <c r="K1147" s="18"/>
    </row>
    <row r="1148" customFormat="false" ht="15" hidden="false" customHeight="false" outlineLevel="0" collapsed="false">
      <c r="A1148" s="17"/>
      <c r="B1148" s="18"/>
      <c r="C1148" s="19"/>
      <c r="D1148" s="19"/>
      <c r="E1148" s="18"/>
      <c r="F1148" s="18"/>
      <c r="G1148" s="13" t="str">
        <f aca="false">IF(F1148="","",IFERROR(INDEX(Metas!$B$5:$B$54,MATCH(F1148,Metas!$A$5:$A$54,0)),"⚠ ID de meta no existe"))</f>
        <v/>
      </c>
      <c r="H1148" s="16" t="str">
        <f aca="false">IF(OR(C1148="",D1148=""),"",ROUND(MOD(D1148-C1148,1)*24,2))</f>
        <v/>
      </c>
      <c r="I1148" s="18"/>
      <c r="J1148" s="18"/>
      <c r="K1148" s="18"/>
    </row>
    <row r="1149" customFormat="false" ht="15" hidden="false" customHeight="false" outlineLevel="0" collapsed="false">
      <c r="A1149" s="17"/>
      <c r="B1149" s="18"/>
      <c r="C1149" s="19"/>
      <c r="D1149" s="19"/>
      <c r="E1149" s="18"/>
      <c r="F1149" s="18"/>
      <c r="G1149" s="13" t="str">
        <f aca="false">IF(F1149="","",IFERROR(INDEX(Metas!$B$5:$B$54,MATCH(F1149,Metas!$A$5:$A$54,0)),"⚠ ID de meta no existe"))</f>
        <v/>
      </c>
      <c r="H1149" s="16" t="str">
        <f aca="false">IF(OR(C1149="",D1149=""),"",ROUND(MOD(D1149-C1149,1)*24,2))</f>
        <v/>
      </c>
      <c r="I1149" s="18"/>
      <c r="J1149" s="18"/>
      <c r="K1149" s="18"/>
    </row>
    <row r="1150" customFormat="false" ht="15" hidden="false" customHeight="false" outlineLevel="0" collapsed="false">
      <c r="A1150" s="17"/>
      <c r="B1150" s="18"/>
      <c r="C1150" s="19"/>
      <c r="D1150" s="19"/>
      <c r="E1150" s="18"/>
      <c r="F1150" s="18"/>
      <c r="G1150" s="13" t="str">
        <f aca="false">IF(F1150="","",IFERROR(INDEX(Metas!$B$5:$B$54,MATCH(F1150,Metas!$A$5:$A$54,0)),"⚠ ID de meta no existe"))</f>
        <v/>
      </c>
      <c r="H1150" s="16" t="str">
        <f aca="false">IF(OR(C1150="",D1150=""),"",ROUND(MOD(D1150-C1150,1)*24,2))</f>
        <v/>
      </c>
      <c r="I1150" s="18"/>
      <c r="J1150" s="18"/>
      <c r="K1150" s="18"/>
    </row>
    <row r="1151" customFormat="false" ht="15" hidden="false" customHeight="false" outlineLevel="0" collapsed="false">
      <c r="A1151" s="17"/>
      <c r="B1151" s="18"/>
      <c r="C1151" s="19"/>
      <c r="D1151" s="19"/>
      <c r="E1151" s="18"/>
      <c r="F1151" s="18"/>
      <c r="G1151" s="13" t="str">
        <f aca="false">IF(F1151="","",IFERROR(INDEX(Metas!$B$5:$B$54,MATCH(F1151,Metas!$A$5:$A$54,0)),"⚠ ID de meta no existe"))</f>
        <v/>
      </c>
      <c r="H1151" s="16" t="str">
        <f aca="false">IF(OR(C1151="",D1151=""),"",ROUND(MOD(D1151-C1151,1)*24,2))</f>
        <v/>
      </c>
      <c r="I1151" s="18"/>
      <c r="J1151" s="18"/>
      <c r="K1151" s="18"/>
    </row>
    <row r="1152" customFormat="false" ht="15" hidden="false" customHeight="false" outlineLevel="0" collapsed="false">
      <c r="A1152" s="17"/>
      <c r="B1152" s="18"/>
      <c r="C1152" s="19"/>
      <c r="D1152" s="19"/>
      <c r="E1152" s="18"/>
      <c r="F1152" s="18"/>
      <c r="G1152" s="13" t="str">
        <f aca="false">IF(F1152="","",IFERROR(INDEX(Metas!$B$5:$B$54,MATCH(F1152,Metas!$A$5:$A$54,0)),"⚠ ID de meta no existe"))</f>
        <v/>
      </c>
      <c r="H1152" s="16" t="str">
        <f aca="false">IF(OR(C1152="",D1152=""),"",ROUND(MOD(D1152-C1152,1)*24,2))</f>
        <v/>
      </c>
      <c r="I1152" s="18"/>
      <c r="J1152" s="18"/>
      <c r="K1152" s="18"/>
    </row>
    <row r="1153" customFormat="false" ht="15" hidden="false" customHeight="false" outlineLevel="0" collapsed="false">
      <c r="A1153" s="17"/>
      <c r="B1153" s="18"/>
      <c r="C1153" s="19"/>
      <c r="D1153" s="19"/>
      <c r="E1153" s="18"/>
      <c r="F1153" s="18"/>
      <c r="G1153" s="13" t="str">
        <f aca="false">IF(F1153="","",IFERROR(INDEX(Metas!$B$5:$B$54,MATCH(F1153,Metas!$A$5:$A$54,0)),"⚠ ID de meta no existe"))</f>
        <v/>
      </c>
      <c r="H1153" s="16" t="str">
        <f aca="false">IF(OR(C1153="",D1153=""),"",ROUND(MOD(D1153-C1153,1)*24,2))</f>
        <v/>
      </c>
      <c r="I1153" s="18"/>
      <c r="J1153" s="18"/>
      <c r="K1153" s="18"/>
    </row>
    <row r="1154" customFormat="false" ht="15" hidden="false" customHeight="false" outlineLevel="0" collapsed="false">
      <c r="A1154" s="17"/>
      <c r="B1154" s="18"/>
      <c r="C1154" s="19"/>
      <c r="D1154" s="19"/>
      <c r="E1154" s="18"/>
      <c r="F1154" s="18"/>
      <c r="G1154" s="13" t="str">
        <f aca="false">IF(F1154="","",IFERROR(INDEX(Metas!$B$5:$B$54,MATCH(F1154,Metas!$A$5:$A$54,0)),"⚠ ID de meta no existe"))</f>
        <v/>
      </c>
      <c r="H1154" s="16" t="str">
        <f aca="false">IF(OR(C1154="",D1154=""),"",ROUND(MOD(D1154-C1154,1)*24,2))</f>
        <v/>
      </c>
      <c r="I1154" s="18"/>
      <c r="J1154" s="18"/>
      <c r="K1154" s="18"/>
    </row>
    <row r="1155" customFormat="false" ht="15" hidden="false" customHeight="false" outlineLevel="0" collapsed="false">
      <c r="A1155" s="17"/>
      <c r="B1155" s="18"/>
      <c r="C1155" s="19"/>
      <c r="D1155" s="19"/>
      <c r="E1155" s="18"/>
      <c r="F1155" s="18"/>
      <c r="G1155" s="13" t="str">
        <f aca="false">IF(F1155="","",IFERROR(INDEX(Metas!$B$5:$B$54,MATCH(F1155,Metas!$A$5:$A$54,0)),"⚠ ID de meta no existe"))</f>
        <v/>
      </c>
      <c r="H1155" s="16" t="str">
        <f aca="false">IF(OR(C1155="",D1155=""),"",ROUND(MOD(D1155-C1155,1)*24,2))</f>
        <v/>
      </c>
      <c r="I1155" s="18"/>
      <c r="J1155" s="18"/>
      <c r="K1155" s="18"/>
    </row>
    <row r="1156" customFormat="false" ht="15" hidden="false" customHeight="false" outlineLevel="0" collapsed="false">
      <c r="A1156" s="17"/>
      <c r="B1156" s="18"/>
      <c r="C1156" s="19"/>
      <c r="D1156" s="19"/>
      <c r="E1156" s="18"/>
      <c r="F1156" s="18"/>
      <c r="G1156" s="13" t="str">
        <f aca="false">IF(F1156="","",IFERROR(INDEX(Metas!$B$5:$B$54,MATCH(F1156,Metas!$A$5:$A$54,0)),"⚠ ID de meta no existe"))</f>
        <v/>
      </c>
      <c r="H1156" s="16" t="str">
        <f aca="false">IF(OR(C1156="",D1156=""),"",ROUND(MOD(D1156-C1156,1)*24,2))</f>
        <v/>
      </c>
      <c r="I1156" s="18"/>
      <c r="J1156" s="18"/>
      <c r="K1156" s="18"/>
    </row>
    <row r="1157" customFormat="false" ht="15" hidden="false" customHeight="false" outlineLevel="0" collapsed="false">
      <c r="A1157" s="17"/>
      <c r="B1157" s="18"/>
      <c r="C1157" s="19"/>
      <c r="D1157" s="19"/>
      <c r="E1157" s="18"/>
      <c r="F1157" s="18"/>
      <c r="G1157" s="13" t="str">
        <f aca="false">IF(F1157="","",IFERROR(INDEX(Metas!$B$5:$B$54,MATCH(F1157,Metas!$A$5:$A$54,0)),"⚠ ID de meta no existe"))</f>
        <v/>
      </c>
      <c r="H1157" s="16" t="str">
        <f aca="false">IF(OR(C1157="",D1157=""),"",ROUND(MOD(D1157-C1157,1)*24,2))</f>
        <v/>
      </c>
      <c r="I1157" s="18"/>
      <c r="J1157" s="18"/>
      <c r="K1157" s="18"/>
    </row>
    <row r="1158" customFormat="false" ht="15" hidden="false" customHeight="false" outlineLevel="0" collapsed="false">
      <c r="A1158" s="17"/>
      <c r="B1158" s="18"/>
      <c r="C1158" s="19"/>
      <c r="D1158" s="19"/>
      <c r="E1158" s="18"/>
      <c r="F1158" s="18"/>
      <c r="G1158" s="13" t="str">
        <f aca="false">IF(F1158="","",IFERROR(INDEX(Metas!$B$5:$B$54,MATCH(F1158,Metas!$A$5:$A$54,0)),"⚠ ID de meta no existe"))</f>
        <v/>
      </c>
      <c r="H1158" s="16" t="str">
        <f aca="false">IF(OR(C1158="",D1158=""),"",ROUND(MOD(D1158-C1158,1)*24,2))</f>
        <v/>
      </c>
      <c r="I1158" s="18"/>
      <c r="J1158" s="18"/>
      <c r="K1158" s="18"/>
    </row>
    <row r="1159" customFormat="false" ht="15" hidden="false" customHeight="false" outlineLevel="0" collapsed="false">
      <c r="A1159" s="17"/>
      <c r="B1159" s="18"/>
      <c r="C1159" s="19"/>
      <c r="D1159" s="19"/>
      <c r="E1159" s="18"/>
      <c r="F1159" s="18"/>
      <c r="G1159" s="13" t="str">
        <f aca="false">IF(F1159="","",IFERROR(INDEX(Metas!$B$5:$B$54,MATCH(F1159,Metas!$A$5:$A$54,0)),"⚠ ID de meta no existe"))</f>
        <v/>
      </c>
      <c r="H1159" s="16" t="str">
        <f aca="false">IF(OR(C1159="",D1159=""),"",ROUND(MOD(D1159-C1159,1)*24,2))</f>
        <v/>
      </c>
      <c r="I1159" s="18"/>
      <c r="J1159" s="18"/>
      <c r="K1159" s="18"/>
    </row>
    <row r="1160" customFormat="false" ht="15" hidden="false" customHeight="false" outlineLevel="0" collapsed="false">
      <c r="A1160" s="17"/>
      <c r="B1160" s="18"/>
      <c r="C1160" s="19"/>
      <c r="D1160" s="19"/>
      <c r="E1160" s="18"/>
      <c r="F1160" s="18"/>
      <c r="G1160" s="13" t="str">
        <f aca="false">IF(F1160="","",IFERROR(INDEX(Metas!$B$5:$B$54,MATCH(F1160,Metas!$A$5:$A$54,0)),"⚠ ID de meta no existe"))</f>
        <v/>
      </c>
      <c r="H1160" s="16" t="str">
        <f aca="false">IF(OR(C1160="",D1160=""),"",ROUND(MOD(D1160-C1160,1)*24,2))</f>
        <v/>
      </c>
      <c r="I1160" s="18"/>
      <c r="J1160" s="18"/>
      <c r="K1160" s="18"/>
    </row>
    <row r="1161" customFormat="false" ht="15" hidden="false" customHeight="false" outlineLevel="0" collapsed="false">
      <c r="A1161" s="17"/>
      <c r="B1161" s="18"/>
      <c r="C1161" s="19"/>
      <c r="D1161" s="19"/>
      <c r="E1161" s="18"/>
      <c r="F1161" s="18"/>
      <c r="G1161" s="13" t="str">
        <f aca="false">IF(F1161="","",IFERROR(INDEX(Metas!$B$5:$B$54,MATCH(F1161,Metas!$A$5:$A$54,0)),"⚠ ID de meta no existe"))</f>
        <v/>
      </c>
      <c r="H1161" s="16" t="str">
        <f aca="false">IF(OR(C1161="",D1161=""),"",ROUND(MOD(D1161-C1161,1)*24,2))</f>
        <v/>
      </c>
      <c r="I1161" s="18"/>
      <c r="J1161" s="18"/>
      <c r="K1161" s="18"/>
    </row>
    <row r="1162" customFormat="false" ht="15" hidden="false" customHeight="false" outlineLevel="0" collapsed="false">
      <c r="A1162" s="17"/>
      <c r="B1162" s="18"/>
      <c r="C1162" s="19"/>
      <c r="D1162" s="19"/>
      <c r="E1162" s="18"/>
      <c r="F1162" s="18"/>
      <c r="G1162" s="13" t="str">
        <f aca="false">IF(F1162="","",IFERROR(INDEX(Metas!$B$5:$B$54,MATCH(F1162,Metas!$A$5:$A$54,0)),"⚠ ID de meta no existe"))</f>
        <v/>
      </c>
      <c r="H1162" s="16" t="str">
        <f aca="false">IF(OR(C1162="",D1162=""),"",ROUND(MOD(D1162-C1162,1)*24,2))</f>
        <v/>
      </c>
      <c r="I1162" s="18"/>
      <c r="J1162" s="18"/>
      <c r="K1162" s="18"/>
    </row>
    <row r="1163" customFormat="false" ht="15" hidden="false" customHeight="false" outlineLevel="0" collapsed="false">
      <c r="A1163" s="17"/>
      <c r="B1163" s="18"/>
      <c r="C1163" s="19"/>
      <c r="D1163" s="19"/>
      <c r="E1163" s="18"/>
      <c r="F1163" s="18"/>
      <c r="G1163" s="13" t="str">
        <f aca="false">IF(F1163="","",IFERROR(INDEX(Metas!$B$5:$B$54,MATCH(F1163,Metas!$A$5:$A$54,0)),"⚠ ID de meta no existe"))</f>
        <v/>
      </c>
      <c r="H1163" s="16" t="str">
        <f aca="false">IF(OR(C1163="",D1163=""),"",ROUND(MOD(D1163-C1163,1)*24,2))</f>
        <v/>
      </c>
      <c r="I1163" s="18"/>
      <c r="J1163" s="18"/>
      <c r="K1163" s="18"/>
    </row>
    <row r="1164" customFormat="false" ht="15" hidden="false" customHeight="false" outlineLevel="0" collapsed="false">
      <c r="A1164" s="17"/>
      <c r="B1164" s="18"/>
      <c r="C1164" s="19"/>
      <c r="D1164" s="19"/>
      <c r="E1164" s="18"/>
      <c r="F1164" s="18"/>
      <c r="G1164" s="13" t="str">
        <f aca="false">IF(F1164="","",IFERROR(INDEX(Metas!$B$5:$B$54,MATCH(F1164,Metas!$A$5:$A$54,0)),"⚠ ID de meta no existe"))</f>
        <v/>
      </c>
      <c r="H1164" s="16" t="str">
        <f aca="false">IF(OR(C1164="",D1164=""),"",ROUND(MOD(D1164-C1164,1)*24,2))</f>
        <v/>
      </c>
      <c r="I1164" s="18"/>
      <c r="J1164" s="18"/>
      <c r="K1164" s="18"/>
    </row>
    <row r="1165" customFormat="false" ht="15" hidden="false" customHeight="false" outlineLevel="0" collapsed="false">
      <c r="A1165" s="17"/>
      <c r="B1165" s="18"/>
      <c r="C1165" s="19"/>
      <c r="D1165" s="19"/>
      <c r="E1165" s="18"/>
      <c r="F1165" s="18"/>
      <c r="G1165" s="13" t="str">
        <f aca="false">IF(F1165="","",IFERROR(INDEX(Metas!$B$5:$B$54,MATCH(F1165,Metas!$A$5:$A$54,0)),"⚠ ID de meta no existe"))</f>
        <v/>
      </c>
      <c r="H1165" s="16" t="str">
        <f aca="false">IF(OR(C1165="",D1165=""),"",ROUND(MOD(D1165-C1165,1)*24,2))</f>
        <v/>
      </c>
      <c r="I1165" s="18"/>
      <c r="J1165" s="18"/>
      <c r="K1165" s="18"/>
    </row>
    <row r="1166" customFormat="false" ht="15" hidden="false" customHeight="false" outlineLevel="0" collapsed="false">
      <c r="A1166" s="17"/>
      <c r="B1166" s="18"/>
      <c r="C1166" s="19"/>
      <c r="D1166" s="19"/>
      <c r="E1166" s="18"/>
      <c r="F1166" s="18"/>
      <c r="G1166" s="13" t="str">
        <f aca="false">IF(F1166="","",IFERROR(INDEX(Metas!$B$5:$B$54,MATCH(F1166,Metas!$A$5:$A$54,0)),"⚠ ID de meta no existe"))</f>
        <v/>
      </c>
      <c r="H1166" s="16" t="str">
        <f aca="false">IF(OR(C1166="",D1166=""),"",ROUND(MOD(D1166-C1166,1)*24,2))</f>
        <v/>
      </c>
      <c r="I1166" s="18"/>
      <c r="J1166" s="18"/>
      <c r="K1166" s="18"/>
    </row>
    <row r="1167" customFormat="false" ht="15" hidden="false" customHeight="false" outlineLevel="0" collapsed="false">
      <c r="A1167" s="17"/>
      <c r="B1167" s="18"/>
      <c r="C1167" s="19"/>
      <c r="D1167" s="19"/>
      <c r="E1167" s="18"/>
      <c r="F1167" s="18"/>
      <c r="G1167" s="13" t="str">
        <f aca="false">IF(F1167="","",IFERROR(INDEX(Metas!$B$5:$B$54,MATCH(F1167,Metas!$A$5:$A$54,0)),"⚠ ID de meta no existe"))</f>
        <v/>
      </c>
      <c r="H1167" s="16" t="str">
        <f aca="false">IF(OR(C1167="",D1167=""),"",ROUND(MOD(D1167-C1167,1)*24,2))</f>
        <v/>
      </c>
      <c r="I1167" s="18"/>
      <c r="J1167" s="18"/>
      <c r="K1167" s="18"/>
    </row>
    <row r="1168" customFormat="false" ht="15" hidden="false" customHeight="false" outlineLevel="0" collapsed="false">
      <c r="A1168" s="17"/>
      <c r="B1168" s="18"/>
      <c r="C1168" s="19"/>
      <c r="D1168" s="19"/>
      <c r="E1168" s="18"/>
      <c r="F1168" s="18"/>
      <c r="G1168" s="13" t="str">
        <f aca="false">IF(F1168="","",IFERROR(INDEX(Metas!$B$5:$B$54,MATCH(F1168,Metas!$A$5:$A$54,0)),"⚠ ID de meta no existe"))</f>
        <v/>
      </c>
      <c r="H1168" s="16" t="str">
        <f aca="false">IF(OR(C1168="",D1168=""),"",ROUND(MOD(D1168-C1168,1)*24,2))</f>
        <v/>
      </c>
      <c r="I1168" s="18"/>
      <c r="J1168" s="18"/>
      <c r="K1168" s="18"/>
    </row>
    <row r="1169" customFormat="false" ht="15" hidden="false" customHeight="false" outlineLevel="0" collapsed="false">
      <c r="A1169" s="17"/>
      <c r="B1169" s="18"/>
      <c r="C1169" s="19"/>
      <c r="D1169" s="19"/>
      <c r="E1169" s="18"/>
      <c r="F1169" s="18"/>
      <c r="G1169" s="13" t="str">
        <f aca="false">IF(F1169="","",IFERROR(INDEX(Metas!$B$5:$B$54,MATCH(F1169,Metas!$A$5:$A$54,0)),"⚠ ID de meta no existe"))</f>
        <v/>
      </c>
      <c r="H1169" s="16" t="str">
        <f aca="false">IF(OR(C1169="",D1169=""),"",ROUND(MOD(D1169-C1169,1)*24,2))</f>
        <v/>
      </c>
      <c r="I1169" s="18"/>
      <c r="J1169" s="18"/>
      <c r="K1169" s="18"/>
    </row>
    <row r="1170" customFormat="false" ht="15" hidden="false" customHeight="false" outlineLevel="0" collapsed="false">
      <c r="A1170" s="17"/>
      <c r="B1170" s="18"/>
      <c r="C1170" s="19"/>
      <c r="D1170" s="19"/>
      <c r="E1170" s="18"/>
      <c r="F1170" s="18"/>
      <c r="G1170" s="13" t="str">
        <f aca="false">IF(F1170="","",IFERROR(INDEX(Metas!$B$5:$B$54,MATCH(F1170,Metas!$A$5:$A$54,0)),"⚠ ID de meta no existe"))</f>
        <v/>
      </c>
      <c r="H1170" s="16" t="str">
        <f aca="false">IF(OR(C1170="",D1170=""),"",ROUND(MOD(D1170-C1170,1)*24,2))</f>
        <v/>
      </c>
      <c r="I1170" s="18"/>
      <c r="J1170" s="18"/>
      <c r="K1170" s="18"/>
    </row>
    <row r="1171" customFormat="false" ht="15" hidden="false" customHeight="false" outlineLevel="0" collapsed="false">
      <c r="A1171" s="17"/>
      <c r="B1171" s="18"/>
      <c r="C1171" s="19"/>
      <c r="D1171" s="19"/>
      <c r="E1171" s="18"/>
      <c r="F1171" s="18"/>
      <c r="G1171" s="13" t="str">
        <f aca="false">IF(F1171="","",IFERROR(INDEX(Metas!$B$5:$B$54,MATCH(F1171,Metas!$A$5:$A$54,0)),"⚠ ID de meta no existe"))</f>
        <v/>
      </c>
      <c r="H1171" s="16" t="str">
        <f aca="false">IF(OR(C1171="",D1171=""),"",ROUND(MOD(D1171-C1171,1)*24,2))</f>
        <v/>
      </c>
      <c r="I1171" s="18"/>
      <c r="J1171" s="18"/>
      <c r="K1171" s="18"/>
    </row>
    <row r="1172" customFormat="false" ht="15" hidden="false" customHeight="false" outlineLevel="0" collapsed="false">
      <c r="A1172" s="17"/>
      <c r="B1172" s="18"/>
      <c r="C1172" s="19"/>
      <c r="D1172" s="19"/>
      <c r="E1172" s="18"/>
      <c r="F1172" s="18"/>
      <c r="G1172" s="13" t="str">
        <f aca="false">IF(F1172="","",IFERROR(INDEX(Metas!$B$5:$B$54,MATCH(F1172,Metas!$A$5:$A$54,0)),"⚠ ID de meta no existe"))</f>
        <v/>
      </c>
      <c r="H1172" s="16" t="str">
        <f aca="false">IF(OR(C1172="",D1172=""),"",ROUND(MOD(D1172-C1172,1)*24,2))</f>
        <v/>
      </c>
      <c r="I1172" s="18"/>
      <c r="J1172" s="18"/>
      <c r="K1172" s="18"/>
    </row>
    <row r="1173" customFormat="false" ht="15" hidden="false" customHeight="false" outlineLevel="0" collapsed="false">
      <c r="A1173" s="17"/>
      <c r="B1173" s="18"/>
      <c r="C1173" s="19"/>
      <c r="D1173" s="19"/>
      <c r="E1173" s="18"/>
      <c r="F1173" s="18"/>
      <c r="G1173" s="13" t="str">
        <f aca="false">IF(F1173="","",IFERROR(INDEX(Metas!$B$5:$B$54,MATCH(F1173,Metas!$A$5:$A$54,0)),"⚠ ID de meta no existe"))</f>
        <v/>
      </c>
      <c r="H1173" s="16" t="str">
        <f aca="false">IF(OR(C1173="",D1173=""),"",ROUND(MOD(D1173-C1173,1)*24,2))</f>
        <v/>
      </c>
      <c r="I1173" s="18"/>
      <c r="J1173" s="18"/>
      <c r="K1173" s="18"/>
    </row>
    <row r="1174" customFormat="false" ht="15" hidden="false" customHeight="false" outlineLevel="0" collapsed="false">
      <c r="A1174" s="17"/>
      <c r="B1174" s="18"/>
      <c r="C1174" s="19"/>
      <c r="D1174" s="19"/>
      <c r="E1174" s="18"/>
      <c r="F1174" s="18"/>
      <c r="G1174" s="13" t="str">
        <f aca="false">IF(F1174="","",IFERROR(INDEX(Metas!$B$5:$B$54,MATCH(F1174,Metas!$A$5:$A$54,0)),"⚠ ID de meta no existe"))</f>
        <v/>
      </c>
      <c r="H1174" s="16" t="str">
        <f aca="false">IF(OR(C1174="",D1174=""),"",ROUND(MOD(D1174-C1174,1)*24,2))</f>
        <v/>
      </c>
      <c r="I1174" s="18"/>
      <c r="J1174" s="18"/>
      <c r="K1174" s="18"/>
    </row>
    <row r="1175" customFormat="false" ht="15" hidden="false" customHeight="false" outlineLevel="0" collapsed="false">
      <c r="A1175" s="17"/>
      <c r="B1175" s="18"/>
      <c r="C1175" s="19"/>
      <c r="D1175" s="19"/>
      <c r="E1175" s="18"/>
      <c r="F1175" s="18"/>
      <c r="G1175" s="13" t="str">
        <f aca="false">IF(F1175="","",IFERROR(INDEX(Metas!$B$5:$B$54,MATCH(F1175,Metas!$A$5:$A$54,0)),"⚠ ID de meta no existe"))</f>
        <v/>
      </c>
      <c r="H1175" s="16" t="str">
        <f aca="false">IF(OR(C1175="",D1175=""),"",ROUND(MOD(D1175-C1175,1)*24,2))</f>
        <v/>
      </c>
      <c r="I1175" s="18"/>
      <c r="J1175" s="18"/>
      <c r="K1175" s="18"/>
    </row>
    <row r="1176" customFormat="false" ht="15" hidden="false" customHeight="false" outlineLevel="0" collapsed="false">
      <c r="A1176" s="17"/>
      <c r="B1176" s="18"/>
      <c r="C1176" s="19"/>
      <c r="D1176" s="19"/>
      <c r="E1176" s="18"/>
      <c r="F1176" s="18"/>
      <c r="G1176" s="13" t="str">
        <f aca="false">IF(F1176="","",IFERROR(INDEX(Metas!$B$5:$B$54,MATCH(F1176,Metas!$A$5:$A$54,0)),"⚠ ID de meta no existe"))</f>
        <v/>
      </c>
      <c r="H1176" s="16" t="str">
        <f aca="false">IF(OR(C1176="",D1176=""),"",ROUND(MOD(D1176-C1176,1)*24,2))</f>
        <v/>
      </c>
      <c r="I1176" s="18"/>
      <c r="J1176" s="18"/>
      <c r="K1176" s="18"/>
    </row>
    <row r="1177" customFormat="false" ht="15" hidden="false" customHeight="false" outlineLevel="0" collapsed="false">
      <c r="A1177" s="17"/>
      <c r="B1177" s="18"/>
      <c r="C1177" s="19"/>
      <c r="D1177" s="19"/>
      <c r="E1177" s="18"/>
      <c r="F1177" s="18"/>
      <c r="G1177" s="13" t="str">
        <f aca="false">IF(F1177="","",IFERROR(INDEX(Metas!$B$5:$B$54,MATCH(F1177,Metas!$A$5:$A$54,0)),"⚠ ID de meta no existe"))</f>
        <v/>
      </c>
      <c r="H1177" s="16" t="str">
        <f aca="false">IF(OR(C1177="",D1177=""),"",ROUND(MOD(D1177-C1177,1)*24,2))</f>
        <v/>
      </c>
      <c r="I1177" s="18"/>
      <c r="J1177" s="18"/>
      <c r="K1177" s="18"/>
    </row>
    <row r="1178" customFormat="false" ht="15" hidden="false" customHeight="false" outlineLevel="0" collapsed="false">
      <c r="A1178" s="17"/>
      <c r="B1178" s="18"/>
      <c r="C1178" s="19"/>
      <c r="D1178" s="19"/>
      <c r="E1178" s="18"/>
      <c r="F1178" s="18"/>
      <c r="G1178" s="13" t="str">
        <f aca="false">IF(F1178="","",IFERROR(INDEX(Metas!$B$5:$B$54,MATCH(F1178,Metas!$A$5:$A$54,0)),"⚠ ID de meta no existe"))</f>
        <v/>
      </c>
      <c r="H1178" s="16" t="str">
        <f aca="false">IF(OR(C1178="",D1178=""),"",ROUND(MOD(D1178-C1178,1)*24,2))</f>
        <v/>
      </c>
      <c r="I1178" s="18"/>
      <c r="J1178" s="18"/>
      <c r="K1178" s="18"/>
    </row>
    <row r="1179" customFormat="false" ht="15" hidden="false" customHeight="false" outlineLevel="0" collapsed="false">
      <c r="A1179" s="17"/>
      <c r="B1179" s="18"/>
      <c r="C1179" s="19"/>
      <c r="D1179" s="19"/>
      <c r="E1179" s="18"/>
      <c r="F1179" s="18"/>
      <c r="G1179" s="13" t="str">
        <f aca="false">IF(F1179="","",IFERROR(INDEX(Metas!$B$5:$B$54,MATCH(F1179,Metas!$A$5:$A$54,0)),"⚠ ID de meta no existe"))</f>
        <v/>
      </c>
      <c r="H1179" s="16" t="str">
        <f aca="false">IF(OR(C1179="",D1179=""),"",ROUND(MOD(D1179-C1179,1)*24,2))</f>
        <v/>
      </c>
      <c r="I1179" s="18"/>
      <c r="J1179" s="18"/>
      <c r="K1179" s="18"/>
    </row>
    <row r="1180" customFormat="false" ht="15" hidden="false" customHeight="false" outlineLevel="0" collapsed="false">
      <c r="A1180" s="17"/>
      <c r="B1180" s="18"/>
      <c r="C1180" s="19"/>
      <c r="D1180" s="19"/>
      <c r="E1180" s="18"/>
      <c r="F1180" s="18"/>
      <c r="G1180" s="13" t="str">
        <f aca="false">IF(F1180="","",IFERROR(INDEX(Metas!$B$5:$B$54,MATCH(F1180,Metas!$A$5:$A$54,0)),"⚠ ID de meta no existe"))</f>
        <v/>
      </c>
      <c r="H1180" s="16" t="str">
        <f aca="false">IF(OR(C1180="",D1180=""),"",ROUND(MOD(D1180-C1180,1)*24,2))</f>
        <v/>
      </c>
      <c r="I1180" s="18"/>
      <c r="J1180" s="18"/>
      <c r="K1180" s="18"/>
    </row>
    <row r="1181" customFormat="false" ht="15" hidden="false" customHeight="false" outlineLevel="0" collapsed="false">
      <c r="A1181" s="17"/>
      <c r="B1181" s="18"/>
      <c r="C1181" s="19"/>
      <c r="D1181" s="19"/>
      <c r="E1181" s="18"/>
      <c r="F1181" s="18"/>
      <c r="G1181" s="13" t="str">
        <f aca="false">IF(F1181="","",IFERROR(INDEX(Metas!$B$5:$B$54,MATCH(F1181,Metas!$A$5:$A$54,0)),"⚠ ID de meta no existe"))</f>
        <v/>
      </c>
      <c r="H1181" s="16" t="str">
        <f aca="false">IF(OR(C1181="",D1181=""),"",ROUND(MOD(D1181-C1181,1)*24,2))</f>
        <v/>
      </c>
      <c r="I1181" s="18"/>
      <c r="J1181" s="18"/>
      <c r="K1181" s="18"/>
    </row>
    <row r="1182" customFormat="false" ht="15" hidden="false" customHeight="false" outlineLevel="0" collapsed="false">
      <c r="A1182" s="17"/>
      <c r="B1182" s="18"/>
      <c r="C1182" s="19"/>
      <c r="D1182" s="19"/>
      <c r="E1182" s="18"/>
      <c r="F1182" s="18"/>
      <c r="G1182" s="13" t="str">
        <f aca="false">IF(F1182="","",IFERROR(INDEX(Metas!$B$5:$B$54,MATCH(F1182,Metas!$A$5:$A$54,0)),"⚠ ID de meta no existe"))</f>
        <v/>
      </c>
      <c r="H1182" s="16" t="str">
        <f aca="false">IF(OR(C1182="",D1182=""),"",ROUND(MOD(D1182-C1182,1)*24,2))</f>
        <v/>
      </c>
      <c r="I1182" s="18"/>
      <c r="J1182" s="18"/>
      <c r="K1182" s="18"/>
    </row>
    <row r="1183" customFormat="false" ht="15" hidden="false" customHeight="false" outlineLevel="0" collapsed="false">
      <c r="A1183" s="17"/>
      <c r="B1183" s="18"/>
      <c r="C1183" s="19"/>
      <c r="D1183" s="19"/>
      <c r="E1183" s="18"/>
      <c r="F1183" s="18"/>
      <c r="G1183" s="13" t="str">
        <f aca="false">IF(F1183="","",IFERROR(INDEX(Metas!$B$5:$B$54,MATCH(F1183,Metas!$A$5:$A$54,0)),"⚠ ID de meta no existe"))</f>
        <v/>
      </c>
      <c r="H1183" s="16" t="str">
        <f aca="false">IF(OR(C1183="",D1183=""),"",ROUND(MOD(D1183-C1183,1)*24,2))</f>
        <v/>
      </c>
      <c r="I1183" s="18"/>
      <c r="J1183" s="18"/>
      <c r="K1183" s="18"/>
    </row>
    <row r="1184" customFormat="false" ht="15" hidden="false" customHeight="false" outlineLevel="0" collapsed="false">
      <c r="A1184" s="17"/>
      <c r="B1184" s="18"/>
      <c r="C1184" s="19"/>
      <c r="D1184" s="19"/>
      <c r="E1184" s="18"/>
      <c r="F1184" s="18"/>
      <c r="G1184" s="13" t="str">
        <f aca="false">IF(F1184="","",IFERROR(INDEX(Metas!$B$5:$B$54,MATCH(F1184,Metas!$A$5:$A$54,0)),"⚠ ID de meta no existe"))</f>
        <v/>
      </c>
      <c r="H1184" s="16" t="str">
        <f aca="false">IF(OR(C1184="",D1184=""),"",ROUND(MOD(D1184-C1184,1)*24,2))</f>
        <v/>
      </c>
      <c r="I1184" s="18"/>
      <c r="J1184" s="18"/>
      <c r="K1184" s="18"/>
    </row>
    <row r="1185" customFormat="false" ht="15" hidden="false" customHeight="false" outlineLevel="0" collapsed="false">
      <c r="A1185" s="17"/>
      <c r="B1185" s="18"/>
      <c r="C1185" s="19"/>
      <c r="D1185" s="19"/>
      <c r="E1185" s="18"/>
      <c r="F1185" s="18"/>
      <c r="G1185" s="13" t="str">
        <f aca="false">IF(F1185="","",IFERROR(INDEX(Metas!$B$5:$B$54,MATCH(F1185,Metas!$A$5:$A$54,0)),"⚠ ID de meta no existe"))</f>
        <v/>
      </c>
      <c r="H1185" s="16" t="str">
        <f aca="false">IF(OR(C1185="",D1185=""),"",ROUND(MOD(D1185-C1185,1)*24,2))</f>
        <v/>
      </c>
      <c r="I1185" s="18"/>
      <c r="J1185" s="18"/>
      <c r="K1185" s="18"/>
    </row>
    <row r="1186" customFormat="false" ht="15" hidden="false" customHeight="false" outlineLevel="0" collapsed="false">
      <c r="A1186" s="17"/>
      <c r="B1186" s="18"/>
      <c r="C1186" s="19"/>
      <c r="D1186" s="19"/>
      <c r="E1186" s="18"/>
      <c r="F1186" s="18"/>
      <c r="G1186" s="13" t="str">
        <f aca="false">IF(F1186="","",IFERROR(INDEX(Metas!$B$5:$B$54,MATCH(F1186,Metas!$A$5:$A$54,0)),"⚠ ID de meta no existe"))</f>
        <v/>
      </c>
      <c r="H1186" s="16" t="str">
        <f aca="false">IF(OR(C1186="",D1186=""),"",ROUND(MOD(D1186-C1186,1)*24,2))</f>
        <v/>
      </c>
      <c r="I1186" s="18"/>
      <c r="J1186" s="18"/>
      <c r="K1186" s="18"/>
    </row>
    <row r="1187" customFormat="false" ht="15" hidden="false" customHeight="false" outlineLevel="0" collapsed="false">
      <c r="A1187" s="17"/>
      <c r="B1187" s="18"/>
      <c r="C1187" s="19"/>
      <c r="D1187" s="19"/>
      <c r="E1187" s="18"/>
      <c r="F1187" s="18"/>
      <c r="G1187" s="13" t="str">
        <f aca="false">IF(F1187="","",IFERROR(INDEX(Metas!$B$5:$B$54,MATCH(F1187,Metas!$A$5:$A$54,0)),"⚠ ID de meta no existe"))</f>
        <v/>
      </c>
      <c r="H1187" s="16" t="str">
        <f aca="false">IF(OR(C1187="",D1187=""),"",ROUND(MOD(D1187-C1187,1)*24,2))</f>
        <v/>
      </c>
      <c r="I1187" s="18"/>
      <c r="J1187" s="18"/>
      <c r="K1187" s="18"/>
    </row>
    <row r="1188" customFormat="false" ht="15" hidden="false" customHeight="false" outlineLevel="0" collapsed="false">
      <c r="A1188" s="17"/>
      <c r="B1188" s="18"/>
      <c r="C1188" s="19"/>
      <c r="D1188" s="19"/>
      <c r="E1188" s="18"/>
      <c r="F1188" s="18"/>
      <c r="G1188" s="13" t="str">
        <f aca="false">IF(F1188="","",IFERROR(INDEX(Metas!$B$5:$B$54,MATCH(F1188,Metas!$A$5:$A$54,0)),"⚠ ID de meta no existe"))</f>
        <v/>
      </c>
      <c r="H1188" s="16" t="str">
        <f aca="false">IF(OR(C1188="",D1188=""),"",ROUND(MOD(D1188-C1188,1)*24,2))</f>
        <v/>
      </c>
      <c r="I1188" s="18"/>
      <c r="J1188" s="18"/>
      <c r="K1188" s="18"/>
    </row>
    <row r="1189" customFormat="false" ht="15" hidden="false" customHeight="false" outlineLevel="0" collapsed="false">
      <c r="A1189" s="17"/>
      <c r="B1189" s="18"/>
      <c r="C1189" s="19"/>
      <c r="D1189" s="19"/>
      <c r="E1189" s="18"/>
      <c r="F1189" s="18"/>
      <c r="G1189" s="13" t="str">
        <f aca="false">IF(F1189="","",IFERROR(INDEX(Metas!$B$5:$B$54,MATCH(F1189,Metas!$A$5:$A$54,0)),"⚠ ID de meta no existe"))</f>
        <v/>
      </c>
      <c r="H1189" s="16" t="str">
        <f aca="false">IF(OR(C1189="",D1189=""),"",ROUND(MOD(D1189-C1189,1)*24,2))</f>
        <v/>
      </c>
      <c r="I1189" s="18"/>
      <c r="J1189" s="18"/>
      <c r="K1189" s="18"/>
    </row>
    <row r="1190" customFormat="false" ht="15" hidden="false" customHeight="false" outlineLevel="0" collapsed="false">
      <c r="A1190" s="17"/>
      <c r="B1190" s="18"/>
      <c r="C1190" s="19"/>
      <c r="D1190" s="19"/>
      <c r="E1190" s="18"/>
      <c r="F1190" s="18"/>
      <c r="G1190" s="13" t="str">
        <f aca="false">IF(F1190="","",IFERROR(INDEX(Metas!$B$5:$B$54,MATCH(F1190,Metas!$A$5:$A$54,0)),"⚠ ID de meta no existe"))</f>
        <v/>
      </c>
      <c r="H1190" s="16" t="str">
        <f aca="false">IF(OR(C1190="",D1190=""),"",ROUND(MOD(D1190-C1190,1)*24,2))</f>
        <v/>
      </c>
      <c r="I1190" s="18"/>
      <c r="J1190" s="18"/>
      <c r="K1190" s="18"/>
    </row>
    <row r="1191" customFormat="false" ht="15" hidden="false" customHeight="false" outlineLevel="0" collapsed="false">
      <c r="A1191" s="17"/>
      <c r="B1191" s="18"/>
      <c r="C1191" s="19"/>
      <c r="D1191" s="19"/>
      <c r="E1191" s="18"/>
      <c r="F1191" s="18"/>
      <c r="G1191" s="13" t="str">
        <f aca="false">IF(F1191="","",IFERROR(INDEX(Metas!$B$5:$B$54,MATCH(F1191,Metas!$A$5:$A$54,0)),"⚠ ID de meta no existe"))</f>
        <v/>
      </c>
      <c r="H1191" s="16" t="str">
        <f aca="false">IF(OR(C1191="",D1191=""),"",ROUND(MOD(D1191-C1191,1)*24,2))</f>
        <v/>
      </c>
      <c r="I1191" s="18"/>
      <c r="J1191" s="18"/>
      <c r="K1191" s="18"/>
    </row>
    <row r="1192" customFormat="false" ht="15" hidden="false" customHeight="false" outlineLevel="0" collapsed="false">
      <c r="A1192" s="17"/>
      <c r="B1192" s="18"/>
      <c r="C1192" s="19"/>
      <c r="D1192" s="19"/>
      <c r="E1192" s="18"/>
      <c r="F1192" s="18"/>
      <c r="G1192" s="13" t="str">
        <f aca="false">IF(F1192="","",IFERROR(INDEX(Metas!$B$5:$B$54,MATCH(F1192,Metas!$A$5:$A$54,0)),"⚠ ID de meta no existe"))</f>
        <v/>
      </c>
      <c r="H1192" s="16" t="str">
        <f aca="false">IF(OR(C1192="",D1192=""),"",ROUND(MOD(D1192-C1192,1)*24,2))</f>
        <v/>
      </c>
      <c r="I1192" s="18"/>
      <c r="J1192" s="18"/>
      <c r="K1192" s="18"/>
    </row>
    <row r="1193" customFormat="false" ht="15" hidden="false" customHeight="false" outlineLevel="0" collapsed="false">
      <c r="A1193" s="17"/>
      <c r="B1193" s="18"/>
      <c r="C1193" s="19"/>
      <c r="D1193" s="19"/>
      <c r="E1193" s="18"/>
      <c r="F1193" s="18"/>
      <c r="G1193" s="13" t="str">
        <f aca="false">IF(F1193="","",IFERROR(INDEX(Metas!$B$5:$B$54,MATCH(F1193,Metas!$A$5:$A$54,0)),"⚠ ID de meta no existe"))</f>
        <v/>
      </c>
      <c r="H1193" s="16" t="str">
        <f aca="false">IF(OR(C1193="",D1193=""),"",ROUND(MOD(D1193-C1193,1)*24,2))</f>
        <v/>
      </c>
      <c r="I1193" s="18"/>
      <c r="J1193" s="18"/>
      <c r="K1193" s="18"/>
    </row>
    <row r="1194" customFormat="false" ht="15" hidden="false" customHeight="false" outlineLevel="0" collapsed="false">
      <c r="A1194" s="17"/>
      <c r="B1194" s="18"/>
      <c r="C1194" s="19"/>
      <c r="D1194" s="19"/>
      <c r="E1194" s="18"/>
      <c r="F1194" s="18"/>
      <c r="G1194" s="13" t="str">
        <f aca="false">IF(F1194="","",IFERROR(INDEX(Metas!$B$5:$B$54,MATCH(F1194,Metas!$A$5:$A$54,0)),"⚠ ID de meta no existe"))</f>
        <v/>
      </c>
      <c r="H1194" s="16" t="str">
        <f aca="false">IF(OR(C1194="",D1194=""),"",ROUND(MOD(D1194-C1194,1)*24,2))</f>
        <v/>
      </c>
      <c r="I1194" s="18"/>
      <c r="J1194" s="18"/>
      <c r="K1194" s="18"/>
    </row>
    <row r="1195" customFormat="false" ht="15" hidden="false" customHeight="false" outlineLevel="0" collapsed="false">
      <c r="A1195" s="17"/>
      <c r="B1195" s="18"/>
      <c r="C1195" s="19"/>
      <c r="D1195" s="19"/>
      <c r="E1195" s="18"/>
      <c r="F1195" s="18"/>
      <c r="G1195" s="13" t="str">
        <f aca="false">IF(F1195="","",IFERROR(INDEX(Metas!$B$5:$B$54,MATCH(F1195,Metas!$A$5:$A$54,0)),"⚠ ID de meta no existe"))</f>
        <v/>
      </c>
      <c r="H1195" s="16" t="str">
        <f aca="false">IF(OR(C1195="",D1195=""),"",ROUND(MOD(D1195-C1195,1)*24,2))</f>
        <v/>
      </c>
      <c r="I1195" s="18"/>
      <c r="J1195" s="18"/>
      <c r="K1195" s="18"/>
    </row>
    <row r="1196" customFormat="false" ht="15" hidden="false" customHeight="false" outlineLevel="0" collapsed="false">
      <c r="A1196" s="17"/>
      <c r="B1196" s="18"/>
      <c r="C1196" s="19"/>
      <c r="D1196" s="19"/>
      <c r="E1196" s="18"/>
      <c r="F1196" s="18"/>
      <c r="G1196" s="13" t="str">
        <f aca="false">IF(F1196="","",IFERROR(INDEX(Metas!$B$5:$B$54,MATCH(F1196,Metas!$A$5:$A$54,0)),"⚠ ID de meta no existe"))</f>
        <v/>
      </c>
      <c r="H1196" s="16" t="str">
        <f aca="false">IF(OR(C1196="",D1196=""),"",ROUND(MOD(D1196-C1196,1)*24,2))</f>
        <v/>
      </c>
      <c r="I1196" s="18"/>
      <c r="J1196" s="18"/>
      <c r="K1196" s="18"/>
    </row>
    <row r="1197" customFormat="false" ht="15" hidden="false" customHeight="false" outlineLevel="0" collapsed="false">
      <c r="A1197" s="17"/>
      <c r="B1197" s="18"/>
      <c r="C1197" s="19"/>
      <c r="D1197" s="19"/>
      <c r="E1197" s="18"/>
      <c r="F1197" s="18"/>
      <c r="G1197" s="13" t="str">
        <f aca="false">IF(F1197="","",IFERROR(INDEX(Metas!$B$5:$B$54,MATCH(F1197,Metas!$A$5:$A$54,0)),"⚠ ID de meta no existe"))</f>
        <v/>
      </c>
      <c r="H1197" s="16" t="str">
        <f aca="false">IF(OR(C1197="",D1197=""),"",ROUND(MOD(D1197-C1197,1)*24,2))</f>
        <v/>
      </c>
      <c r="I1197" s="18"/>
      <c r="J1197" s="18"/>
      <c r="K1197" s="18"/>
    </row>
    <row r="1198" customFormat="false" ht="15" hidden="false" customHeight="false" outlineLevel="0" collapsed="false">
      <c r="A1198" s="17"/>
      <c r="B1198" s="18"/>
      <c r="C1198" s="19"/>
      <c r="D1198" s="19"/>
      <c r="E1198" s="18"/>
      <c r="F1198" s="18"/>
      <c r="G1198" s="13" t="str">
        <f aca="false">IF(F1198="","",IFERROR(INDEX(Metas!$B$5:$B$54,MATCH(F1198,Metas!$A$5:$A$54,0)),"⚠ ID de meta no existe"))</f>
        <v/>
      </c>
      <c r="H1198" s="16" t="str">
        <f aca="false">IF(OR(C1198="",D1198=""),"",ROUND(MOD(D1198-C1198,1)*24,2))</f>
        <v/>
      </c>
      <c r="I1198" s="18"/>
      <c r="J1198" s="18"/>
      <c r="K1198" s="18"/>
    </row>
    <row r="1199" customFormat="false" ht="15" hidden="false" customHeight="false" outlineLevel="0" collapsed="false">
      <c r="A1199" s="17"/>
      <c r="B1199" s="18"/>
      <c r="C1199" s="19"/>
      <c r="D1199" s="19"/>
      <c r="E1199" s="18"/>
      <c r="F1199" s="18"/>
      <c r="G1199" s="13" t="str">
        <f aca="false">IF(F1199="","",IFERROR(INDEX(Metas!$B$5:$B$54,MATCH(F1199,Metas!$A$5:$A$54,0)),"⚠ ID de meta no existe"))</f>
        <v/>
      </c>
      <c r="H1199" s="16" t="str">
        <f aca="false">IF(OR(C1199="",D1199=""),"",ROUND(MOD(D1199-C1199,1)*24,2))</f>
        <v/>
      </c>
      <c r="I1199" s="18"/>
      <c r="J1199" s="18"/>
      <c r="K1199" s="18"/>
    </row>
    <row r="1200" customFormat="false" ht="15" hidden="false" customHeight="false" outlineLevel="0" collapsed="false">
      <c r="A1200" s="17"/>
      <c r="B1200" s="18"/>
      <c r="C1200" s="19"/>
      <c r="D1200" s="19"/>
      <c r="E1200" s="18"/>
      <c r="F1200" s="18"/>
      <c r="G1200" s="13" t="str">
        <f aca="false">IF(F1200="","",IFERROR(INDEX(Metas!$B$5:$B$54,MATCH(F1200,Metas!$A$5:$A$54,0)),"⚠ ID de meta no existe"))</f>
        <v/>
      </c>
      <c r="H1200" s="16" t="str">
        <f aca="false">IF(OR(C1200="",D1200=""),"",ROUND(MOD(D1200-C1200,1)*24,2))</f>
        <v/>
      </c>
      <c r="I1200" s="18"/>
      <c r="J1200" s="18"/>
      <c r="K1200" s="18"/>
    </row>
    <row r="1201" customFormat="false" ht="15" hidden="false" customHeight="false" outlineLevel="0" collapsed="false">
      <c r="A1201" s="17"/>
      <c r="B1201" s="18"/>
      <c r="C1201" s="19"/>
      <c r="D1201" s="19"/>
      <c r="E1201" s="18"/>
      <c r="F1201" s="18"/>
      <c r="G1201" s="13" t="str">
        <f aca="false">IF(F1201="","",IFERROR(INDEX(Metas!$B$5:$B$54,MATCH(F1201,Metas!$A$5:$A$54,0)),"⚠ ID de meta no existe"))</f>
        <v/>
      </c>
      <c r="H1201" s="16" t="str">
        <f aca="false">IF(OR(C1201="",D1201=""),"",ROUND(MOD(D1201-C1201,1)*24,2))</f>
        <v/>
      </c>
      <c r="I1201" s="18"/>
      <c r="J1201" s="18"/>
      <c r="K1201" s="18"/>
    </row>
    <row r="1202" customFormat="false" ht="15" hidden="false" customHeight="false" outlineLevel="0" collapsed="false">
      <c r="A1202" s="17"/>
      <c r="B1202" s="18"/>
      <c r="C1202" s="19"/>
      <c r="D1202" s="19"/>
      <c r="E1202" s="18"/>
      <c r="F1202" s="18"/>
      <c r="G1202" s="13" t="str">
        <f aca="false">IF(F1202="","",IFERROR(INDEX(Metas!$B$5:$B$54,MATCH(F1202,Metas!$A$5:$A$54,0)),"⚠ ID de meta no existe"))</f>
        <v/>
      </c>
      <c r="H1202" s="16" t="str">
        <f aca="false">IF(OR(C1202="",D1202=""),"",ROUND(MOD(D1202-C1202,1)*24,2))</f>
        <v/>
      </c>
      <c r="I1202" s="18"/>
      <c r="J1202" s="18"/>
      <c r="K1202" s="18"/>
    </row>
    <row r="1203" customFormat="false" ht="15" hidden="false" customHeight="false" outlineLevel="0" collapsed="false">
      <c r="A1203" s="17"/>
      <c r="B1203" s="18"/>
      <c r="C1203" s="19"/>
      <c r="D1203" s="19"/>
      <c r="E1203" s="18"/>
      <c r="F1203" s="18"/>
      <c r="G1203" s="13" t="str">
        <f aca="false">IF(F1203="","",IFERROR(INDEX(Metas!$B$5:$B$54,MATCH(F1203,Metas!$A$5:$A$54,0)),"⚠ ID de meta no existe"))</f>
        <v/>
      </c>
      <c r="H1203" s="16" t="str">
        <f aca="false">IF(OR(C1203="",D1203=""),"",ROUND(MOD(D1203-C1203,1)*24,2))</f>
        <v/>
      </c>
      <c r="I1203" s="18"/>
      <c r="J1203" s="18"/>
      <c r="K1203" s="18"/>
    </row>
    <row r="1204" customFormat="false" ht="15" hidden="false" customHeight="false" outlineLevel="0" collapsed="false">
      <c r="A1204" s="17"/>
      <c r="B1204" s="18"/>
      <c r="C1204" s="19"/>
      <c r="D1204" s="19"/>
      <c r="E1204" s="18"/>
      <c r="F1204" s="18"/>
      <c r="G1204" s="13" t="str">
        <f aca="false">IF(F1204="","",IFERROR(INDEX(Metas!$B$5:$B$54,MATCH(F1204,Metas!$A$5:$A$54,0)),"⚠ ID de meta no existe"))</f>
        <v/>
      </c>
      <c r="H1204" s="16" t="str">
        <f aca="false">IF(OR(C1204="",D1204=""),"",ROUND(MOD(D1204-C1204,1)*24,2))</f>
        <v/>
      </c>
      <c r="I1204" s="18"/>
      <c r="J1204" s="18"/>
      <c r="K1204" s="18"/>
    </row>
    <row r="1205" customFormat="false" ht="15" hidden="false" customHeight="false" outlineLevel="0" collapsed="false">
      <c r="A1205" s="17"/>
      <c r="B1205" s="18"/>
      <c r="C1205" s="19"/>
      <c r="D1205" s="19"/>
      <c r="E1205" s="18"/>
      <c r="F1205" s="18"/>
      <c r="G1205" s="13" t="str">
        <f aca="false">IF(F1205="","",IFERROR(INDEX(Metas!$B$5:$B$54,MATCH(F1205,Metas!$A$5:$A$54,0)),"⚠ ID de meta no existe"))</f>
        <v/>
      </c>
      <c r="H1205" s="16" t="str">
        <f aca="false">IF(OR(C1205="",D1205=""),"",ROUND(MOD(D1205-C1205,1)*24,2))</f>
        <v/>
      </c>
      <c r="I1205" s="18"/>
      <c r="J1205" s="18"/>
      <c r="K1205" s="18"/>
    </row>
    <row r="1206" customFormat="false" ht="15" hidden="false" customHeight="false" outlineLevel="0" collapsed="false">
      <c r="A1206" s="17"/>
      <c r="B1206" s="18"/>
      <c r="C1206" s="19"/>
      <c r="D1206" s="19"/>
      <c r="E1206" s="18"/>
      <c r="F1206" s="18"/>
      <c r="G1206" s="13" t="str">
        <f aca="false">IF(F1206="","",IFERROR(INDEX(Metas!$B$5:$B$54,MATCH(F1206,Metas!$A$5:$A$54,0)),"⚠ ID de meta no existe"))</f>
        <v/>
      </c>
      <c r="H1206" s="16" t="str">
        <f aca="false">IF(OR(C1206="",D1206=""),"",ROUND(MOD(D1206-C1206,1)*24,2))</f>
        <v/>
      </c>
      <c r="I1206" s="18"/>
      <c r="J1206" s="18"/>
      <c r="K1206" s="18"/>
    </row>
    <row r="1207" customFormat="false" ht="15" hidden="false" customHeight="false" outlineLevel="0" collapsed="false">
      <c r="A1207" s="17"/>
      <c r="B1207" s="18"/>
      <c r="C1207" s="19"/>
      <c r="D1207" s="19"/>
      <c r="E1207" s="18"/>
      <c r="F1207" s="18"/>
      <c r="G1207" s="13" t="str">
        <f aca="false">IF(F1207="","",IFERROR(INDEX(Metas!$B$5:$B$54,MATCH(F1207,Metas!$A$5:$A$54,0)),"⚠ ID de meta no existe"))</f>
        <v/>
      </c>
      <c r="H1207" s="16" t="str">
        <f aca="false">IF(OR(C1207="",D1207=""),"",ROUND(MOD(D1207-C1207,1)*24,2))</f>
        <v/>
      </c>
      <c r="I1207" s="18"/>
      <c r="J1207" s="18"/>
      <c r="K1207" s="18"/>
    </row>
    <row r="1208" customFormat="false" ht="15" hidden="false" customHeight="false" outlineLevel="0" collapsed="false">
      <c r="A1208" s="17"/>
      <c r="B1208" s="18"/>
      <c r="C1208" s="19"/>
      <c r="D1208" s="19"/>
      <c r="E1208" s="18"/>
      <c r="F1208" s="18"/>
      <c r="G1208" s="13" t="str">
        <f aca="false">IF(F1208="","",IFERROR(INDEX(Metas!$B$5:$B$54,MATCH(F1208,Metas!$A$5:$A$54,0)),"⚠ ID de meta no existe"))</f>
        <v/>
      </c>
      <c r="H1208" s="16" t="str">
        <f aca="false">IF(OR(C1208="",D1208=""),"",ROUND(MOD(D1208-C1208,1)*24,2))</f>
        <v/>
      </c>
      <c r="I1208" s="18"/>
      <c r="J1208" s="18"/>
      <c r="K1208" s="18"/>
    </row>
    <row r="1209" customFormat="false" ht="15" hidden="false" customHeight="false" outlineLevel="0" collapsed="false">
      <c r="A1209" s="17"/>
      <c r="B1209" s="18"/>
      <c r="C1209" s="19"/>
      <c r="D1209" s="19"/>
      <c r="E1209" s="18"/>
      <c r="F1209" s="18"/>
      <c r="G1209" s="13" t="str">
        <f aca="false">IF(F1209="","",IFERROR(INDEX(Metas!$B$5:$B$54,MATCH(F1209,Metas!$A$5:$A$54,0)),"⚠ ID de meta no existe"))</f>
        <v/>
      </c>
      <c r="H1209" s="16" t="str">
        <f aca="false">IF(OR(C1209="",D1209=""),"",ROUND(MOD(D1209-C1209,1)*24,2))</f>
        <v/>
      </c>
      <c r="I1209" s="18"/>
      <c r="J1209" s="18"/>
      <c r="K1209" s="18"/>
    </row>
    <row r="1210" customFormat="false" ht="15" hidden="false" customHeight="false" outlineLevel="0" collapsed="false">
      <c r="A1210" s="17"/>
      <c r="B1210" s="18"/>
      <c r="C1210" s="19"/>
      <c r="D1210" s="19"/>
      <c r="E1210" s="18"/>
      <c r="F1210" s="18"/>
      <c r="G1210" s="13" t="str">
        <f aca="false">IF(F1210="","",IFERROR(INDEX(Metas!$B$5:$B$54,MATCH(F1210,Metas!$A$5:$A$54,0)),"⚠ ID de meta no existe"))</f>
        <v/>
      </c>
      <c r="H1210" s="16" t="str">
        <f aca="false">IF(OR(C1210="",D1210=""),"",ROUND(MOD(D1210-C1210,1)*24,2))</f>
        <v/>
      </c>
      <c r="I1210" s="18"/>
      <c r="J1210" s="18"/>
      <c r="K1210" s="18"/>
    </row>
    <row r="1211" customFormat="false" ht="15" hidden="false" customHeight="false" outlineLevel="0" collapsed="false">
      <c r="A1211" s="17"/>
      <c r="B1211" s="18"/>
      <c r="C1211" s="19"/>
      <c r="D1211" s="19"/>
      <c r="E1211" s="18"/>
      <c r="F1211" s="18"/>
      <c r="G1211" s="13" t="str">
        <f aca="false">IF(F1211="","",IFERROR(INDEX(Metas!$B$5:$B$54,MATCH(F1211,Metas!$A$5:$A$54,0)),"⚠ ID de meta no existe"))</f>
        <v/>
      </c>
      <c r="H1211" s="16" t="str">
        <f aca="false">IF(OR(C1211="",D1211=""),"",ROUND(MOD(D1211-C1211,1)*24,2))</f>
        <v/>
      </c>
      <c r="I1211" s="18"/>
      <c r="J1211" s="18"/>
      <c r="K1211" s="18"/>
    </row>
    <row r="1212" customFormat="false" ht="15" hidden="false" customHeight="false" outlineLevel="0" collapsed="false">
      <c r="A1212" s="17"/>
      <c r="B1212" s="18"/>
      <c r="C1212" s="19"/>
      <c r="D1212" s="19"/>
      <c r="E1212" s="18"/>
      <c r="F1212" s="18"/>
      <c r="G1212" s="13" t="str">
        <f aca="false">IF(F1212="","",IFERROR(INDEX(Metas!$B$5:$B$54,MATCH(F1212,Metas!$A$5:$A$54,0)),"⚠ ID de meta no existe"))</f>
        <v/>
      </c>
      <c r="H1212" s="16" t="str">
        <f aca="false">IF(OR(C1212="",D1212=""),"",ROUND(MOD(D1212-C1212,1)*24,2))</f>
        <v/>
      </c>
      <c r="I1212" s="18"/>
      <c r="J1212" s="18"/>
      <c r="K1212" s="18"/>
    </row>
    <row r="1213" customFormat="false" ht="15" hidden="false" customHeight="false" outlineLevel="0" collapsed="false">
      <c r="A1213" s="17"/>
      <c r="B1213" s="18"/>
      <c r="C1213" s="19"/>
      <c r="D1213" s="19"/>
      <c r="E1213" s="18"/>
      <c r="F1213" s="18"/>
      <c r="G1213" s="13" t="str">
        <f aca="false">IF(F1213="","",IFERROR(INDEX(Metas!$B$5:$B$54,MATCH(F1213,Metas!$A$5:$A$54,0)),"⚠ ID de meta no existe"))</f>
        <v/>
      </c>
      <c r="H1213" s="16" t="str">
        <f aca="false">IF(OR(C1213="",D1213=""),"",ROUND(MOD(D1213-C1213,1)*24,2))</f>
        <v/>
      </c>
      <c r="I1213" s="18"/>
      <c r="J1213" s="18"/>
      <c r="K1213" s="18"/>
    </row>
    <row r="1214" customFormat="false" ht="15" hidden="false" customHeight="false" outlineLevel="0" collapsed="false">
      <c r="A1214" s="17"/>
      <c r="B1214" s="18"/>
      <c r="C1214" s="19"/>
      <c r="D1214" s="19"/>
      <c r="E1214" s="18"/>
      <c r="F1214" s="18"/>
      <c r="G1214" s="13" t="str">
        <f aca="false">IF(F1214="","",IFERROR(INDEX(Metas!$B$5:$B$54,MATCH(F1214,Metas!$A$5:$A$54,0)),"⚠ ID de meta no existe"))</f>
        <v/>
      </c>
      <c r="H1214" s="16" t="str">
        <f aca="false">IF(OR(C1214="",D1214=""),"",ROUND(MOD(D1214-C1214,1)*24,2))</f>
        <v/>
      </c>
      <c r="I1214" s="18"/>
      <c r="J1214" s="18"/>
      <c r="K1214" s="18"/>
    </row>
    <row r="1215" customFormat="false" ht="15" hidden="false" customHeight="false" outlineLevel="0" collapsed="false">
      <c r="A1215" s="17"/>
      <c r="B1215" s="18"/>
      <c r="C1215" s="19"/>
      <c r="D1215" s="19"/>
      <c r="E1215" s="18"/>
      <c r="F1215" s="18"/>
      <c r="G1215" s="13" t="str">
        <f aca="false">IF(F1215="","",IFERROR(INDEX(Metas!$B$5:$B$54,MATCH(F1215,Metas!$A$5:$A$54,0)),"⚠ ID de meta no existe"))</f>
        <v/>
      </c>
      <c r="H1215" s="16" t="str">
        <f aca="false">IF(OR(C1215="",D1215=""),"",ROUND(MOD(D1215-C1215,1)*24,2))</f>
        <v/>
      </c>
      <c r="I1215" s="18"/>
      <c r="J1215" s="18"/>
      <c r="K1215" s="18"/>
    </row>
    <row r="1216" customFormat="false" ht="15" hidden="false" customHeight="false" outlineLevel="0" collapsed="false">
      <c r="A1216" s="17"/>
      <c r="B1216" s="18"/>
      <c r="C1216" s="19"/>
      <c r="D1216" s="19"/>
      <c r="E1216" s="18"/>
      <c r="F1216" s="18"/>
      <c r="G1216" s="13" t="str">
        <f aca="false">IF(F1216="","",IFERROR(INDEX(Metas!$B$5:$B$54,MATCH(F1216,Metas!$A$5:$A$54,0)),"⚠ ID de meta no existe"))</f>
        <v/>
      </c>
      <c r="H1216" s="16" t="str">
        <f aca="false">IF(OR(C1216="",D1216=""),"",ROUND(MOD(D1216-C1216,1)*24,2))</f>
        <v/>
      </c>
      <c r="I1216" s="18"/>
      <c r="J1216" s="18"/>
      <c r="K1216" s="18"/>
    </row>
    <row r="1217" customFormat="false" ht="15" hidden="false" customHeight="false" outlineLevel="0" collapsed="false">
      <c r="A1217" s="17"/>
      <c r="B1217" s="18"/>
      <c r="C1217" s="19"/>
      <c r="D1217" s="19"/>
      <c r="E1217" s="18"/>
      <c r="F1217" s="18"/>
      <c r="G1217" s="13" t="str">
        <f aca="false">IF(F1217="","",IFERROR(INDEX(Metas!$B$5:$B$54,MATCH(F1217,Metas!$A$5:$A$54,0)),"⚠ ID de meta no existe"))</f>
        <v/>
      </c>
      <c r="H1217" s="16" t="str">
        <f aca="false">IF(OR(C1217="",D1217=""),"",ROUND(MOD(D1217-C1217,1)*24,2))</f>
        <v/>
      </c>
      <c r="I1217" s="18"/>
      <c r="J1217" s="18"/>
      <c r="K1217" s="18"/>
    </row>
    <row r="1218" customFormat="false" ht="15" hidden="false" customHeight="false" outlineLevel="0" collapsed="false">
      <c r="A1218" s="17"/>
      <c r="B1218" s="18"/>
      <c r="C1218" s="19"/>
      <c r="D1218" s="19"/>
      <c r="E1218" s="18"/>
      <c r="F1218" s="18"/>
      <c r="G1218" s="13" t="str">
        <f aca="false">IF(F1218="","",IFERROR(INDEX(Metas!$B$5:$B$54,MATCH(F1218,Metas!$A$5:$A$54,0)),"⚠ ID de meta no existe"))</f>
        <v/>
      </c>
      <c r="H1218" s="16" t="str">
        <f aca="false">IF(OR(C1218="",D1218=""),"",ROUND(MOD(D1218-C1218,1)*24,2))</f>
        <v/>
      </c>
      <c r="I1218" s="18"/>
      <c r="J1218" s="18"/>
      <c r="K1218" s="18"/>
    </row>
    <row r="1219" customFormat="false" ht="15" hidden="false" customHeight="false" outlineLevel="0" collapsed="false">
      <c r="A1219" s="17"/>
      <c r="B1219" s="18"/>
      <c r="C1219" s="19"/>
      <c r="D1219" s="19"/>
      <c r="E1219" s="18"/>
      <c r="F1219" s="18"/>
      <c r="G1219" s="13" t="str">
        <f aca="false">IF(F1219="","",IFERROR(INDEX(Metas!$B$5:$B$54,MATCH(F1219,Metas!$A$5:$A$54,0)),"⚠ ID de meta no existe"))</f>
        <v/>
      </c>
      <c r="H1219" s="16" t="str">
        <f aca="false">IF(OR(C1219="",D1219=""),"",ROUND(MOD(D1219-C1219,1)*24,2))</f>
        <v/>
      </c>
      <c r="I1219" s="18"/>
      <c r="J1219" s="18"/>
      <c r="K1219" s="18"/>
    </row>
    <row r="1220" customFormat="false" ht="15" hidden="false" customHeight="false" outlineLevel="0" collapsed="false">
      <c r="A1220" s="17"/>
      <c r="B1220" s="18"/>
      <c r="C1220" s="19"/>
      <c r="D1220" s="19"/>
      <c r="E1220" s="18"/>
      <c r="F1220" s="18"/>
      <c r="G1220" s="13" t="str">
        <f aca="false">IF(F1220="","",IFERROR(INDEX(Metas!$B$5:$B$54,MATCH(F1220,Metas!$A$5:$A$54,0)),"⚠ ID de meta no existe"))</f>
        <v/>
      </c>
      <c r="H1220" s="16" t="str">
        <f aca="false">IF(OR(C1220="",D1220=""),"",ROUND(MOD(D1220-C1220,1)*24,2))</f>
        <v/>
      </c>
      <c r="I1220" s="18"/>
      <c r="J1220" s="18"/>
      <c r="K1220" s="18"/>
    </row>
    <row r="1221" customFormat="false" ht="15" hidden="false" customHeight="false" outlineLevel="0" collapsed="false">
      <c r="A1221" s="17"/>
      <c r="B1221" s="18"/>
      <c r="C1221" s="19"/>
      <c r="D1221" s="19"/>
      <c r="E1221" s="18"/>
      <c r="F1221" s="18"/>
      <c r="G1221" s="13" t="str">
        <f aca="false">IF(F1221="","",IFERROR(INDEX(Metas!$B$5:$B$54,MATCH(F1221,Metas!$A$5:$A$54,0)),"⚠ ID de meta no existe"))</f>
        <v/>
      </c>
      <c r="H1221" s="16" t="str">
        <f aca="false">IF(OR(C1221="",D1221=""),"",ROUND(MOD(D1221-C1221,1)*24,2))</f>
        <v/>
      </c>
      <c r="I1221" s="18"/>
      <c r="J1221" s="18"/>
      <c r="K1221" s="18"/>
    </row>
    <row r="1222" customFormat="false" ht="15" hidden="false" customHeight="false" outlineLevel="0" collapsed="false">
      <c r="A1222" s="17"/>
      <c r="B1222" s="18"/>
      <c r="C1222" s="19"/>
      <c r="D1222" s="19"/>
      <c r="E1222" s="18"/>
      <c r="F1222" s="18"/>
      <c r="G1222" s="13" t="str">
        <f aca="false">IF(F1222="","",IFERROR(INDEX(Metas!$B$5:$B$54,MATCH(F1222,Metas!$A$5:$A$54,0)),"⚠ ID de meta no existe"))</f>
        <v/>
      </c>
      <c r="H1222" s="16" t="str">
        <f aca="false">IF(OR(C1222="",D1222=""),"",ROUND(MOD(D1222-C1222,1)*24,2))</f>
        <v/>
      </c>
      <c r="I1222" s="18"/>
      <c r="J1222" s="18"/>
      <c r="K1222" s="18"/>
    </row>
    <row r="1223" customFormat="false" ht="15" hidden="false" customHeight="false" outlineLevel="0" collapsed="false">
      <c r="A1223" s="17"/>
      <c r="B1223" s="18"/>
      <c r="C1223" s="19"/>
      <c r="D1223" s="19"/>
      <c r="E1223" s="18"/>
      <c r="F1223" s="18"/>
      <c r="G1223" s="13" t="str">
        <f aca="false">IF(F1223="","",IFERROR(INDEX(Metas!$B$5:$B$54,MATCH(F1223,Metas!$A$5:$A$54,0)),"⚠ ID de meta no existe"))</f>
        <v/>
      </c>
      <c r="H1223" s="16" t="str">
        <f aca="false">IF(OR(C1223="",D1223=""),"",ROUND(MOD(D1223-C1223,1)*24,2))</f>
        <v/>
      </c>
      <c r="I1223" s="18"/>
      <c r="J1223" s="18"/>
      <c r="K1223" s="18"/>
    </row>
    <row r="1224" customFormat="false" ht="15" hidden="false" customHeight="false" outlineLevel="0" collapsed="false">
      <c r="A1224" s="17"/>
      <c r="B1224" s="18"/>
      <c r="C1224" s="19"/>
      <c r="D1224" s="19"/>
      <c r="E1224" s="18"/>
      <c r="F1224" s="18"/>
      <c r="G1224" s="13" t="str">
        <f aca="false">IF(F1224="","",IFERROR(INDEX(Metas!$B$5:$B$54,MATCH(F1224,Metas!$A$5:$A$54,0)),"⚠ ID de meta no existe"))</f>
        <v/>
      </c>
      <c r="H1224" s="16" t="str">
        <f aca="false">IF(OR(C1224="",D1224=""),"",ROUND(MOD(D1224-C1224,1)*24,2))</f>
        <v/>
      </c>
      <c r="I1224" s="18"/>
      <c r="J1224" s="18"/>
      <c r="K1224" s="18"/>
    </row>
    <row r="1225" customFormat="false" ht="15" hidden="false" customHeight="false" outlineLevel="0" collapsed="false">
      <c r="A1225" s="17"/>
      <c r="B1225" s="18"/>
      <c r="C1225" s="19"/>
      <c r="D1225" s="19"/>
      <c r="E1225" s="18"/>
      <c r="F1225" s="18"/>
      <c r="G1225" s="13" t="str">
        <f aca="false">IF(F1225="","",IFERROR(INDEX(Metas!$B$5:$B$54,MATCH(F1225,Metas!$A$5:$A$54,0)),"⚠ ID de meta no existe"))</f>
        <v/>
      </c>
      <c r="H1225" s="16" t="str">
        <f aca="false">IF(OR(C1225="",D1225=""),"",ROUND(MOD(D1225-C1225,1)*24,2))</f>
        <v/>
      </c>
      <c r="I1225" s="18"/>
      <c r="J1225" s="18"/>
      <c r="K1225" s="18"/>
    </row>
    <row r="1226" customFormat="false" ht="15" hidden="false" customHeight="false" outlineLevel="0" collapsed="false">
      <c r="A1226" s="17"/>
      <c r="B1226" s="18"/>
      <c r="C1226" s="19"/>
      <c r="D1226" s="19"/>
      <c r="E1226" s="18"/>
      <c r="F1226" s="18"/>
      <c r="G1226" s="13" t="str">
        <f aca="false">IF(F1226="","",IFERROR(INDEX(Metas!$B$5:$B$54,MATCH(F1226,Metas!$A$5:$A$54,0)),"⚠ ID de meta no existe"))</f>
        <v/>
      </c>
      <c r="H1226" s="16" t="str">
        <f aca="false">IF(OR(C1226="",D1226=""),"",ROUND(MOD(D1226-C1226,1)*24,2))</f>
        <v/>
      </c>
      <c r="I1226" s="18"/>
      <c r="J1226" s="18"/>
      <c r="K1226" s="18"/>
    </row>
    <row r="1227" customFormat="false" ht="15" hidden="false" customHeight="false" outlineLevel="0" collapsed="false">
      <c r="A1227" s="17"/>
      <c r="B1227" s="18"/>
      <c r="C1227" s="19"/>
      <c r="D1227" s="19"/>
      <c r="E1227" s="18"/>
      <c r="F1227" s="18"/>
      <c r="G1227" s="13" t="str">
        <f aca="false">IF(F1227="","",IFERROR(INDEX(Metas!$B$5:$B$54,MATCH(F1227,Metas!$A$5:$A$54,0)),"⚠ ID de meta no existe"))</f>
        <v/>
      </c>
      <c r="H1227" s="16" t="str">
        <f aca="false">IF(OR(C1227="",D1227=""),"",ROUND(MOD(D1227-C1227,1)*24,2))</f>
        <v/>
      </c>
      <c r="I1227" s="18"/>
      <c r="J1227" s="18"/>
      <c r="K1227" s="18"/>
    </row>
    <row r="1228" customFormat="false" ht="15" hidden="false" customHeight="false" outlineLevel="0" collapsed="false">
      <c r="A1228" s="17"/>
      <c r="B1228" s="18"/>
      <c r="C1228" s="19"/>
      <c r="D1228" s="19"/>
      <c r="E1228" s="18"/>
      <c r="F1228" s="18"/>
      <c r="G1228" s="13" t="str">
        <f aca="false">IF(F1228="","",IFERROR(INDEX(Metas!$B$5:$B$54,MATCH(F1228,Metas!$A$5:$A$54,0)),"⚠ ID de meta no existe"))</f>
        <v/>
      </c>
      <c r="H1228" s="16" t="str">
        <f aca="false">IF(OR(C1228="",D1228=""),"",ROUND(MOD(D1228-C1228,1)*24,2))</f>
        <v/>
      </c>
      <c r="I1228" s="18"/>
      <c r="J1228" s="18"/>
      <c r="K1228" s="18"/>
    </row>
    <row r="1229" customFormat="false" ht="15" hidden="false" customHeight="false" outlineLevel="0" collapsed="false">
      <c r="A1229" s="17"/>
      <c r="B1229" s="18"/>
      <c r="C1229" s="19"/>
      <c r="D1229" s="19"/>
      <c r="E1229" s="18"/>
      <c r="F1229" s="18"/>
      <c r="G1229" s="13" t="str">
        <f aca="false">IF(F1229="","",IFERROR(INDEX(Metas!$B$5:$B$54,MATCH(F1229,Metas!$A$5:$A$54,0)),"⚠ ID de meta no existe"))</f>
        <v/>
      </c>
      <c r="H1229" s="16" t="str">
        <f aca="false">IF(OR(C1229="",D1229=""),"",ROUND(MOD(D1229-C1229,1)*24,2))</f>
        <v/>
      </c>
      <c r="I1229" s="18"/>
      <c r="J1229" s="18"/>
      <c r="K1229" s="18"/>
    </row>
    <row r="1230" customFormat="false" ht="15" hidden="false" customHeight="false" outlineLevel="0" collapsed="false">
      <c r="A1230" s="17"/>
      <c r="B1230" s="18"/>
      <c r="C1230" s="19"/>
      <c r="D1230" s="19"/>
      <c r="E1230" s="18"/>
      <c r="F1230" s="18"/>
      <c r="G1230" s="13" t="str">
        <f aca="false">IF(F1230="","",IFERROR(INDEX(Metas!$B$5:$B$54,MATCH(F1230,Metas!$A$5:$A$54,0)),"⚠ ID de meta no existe"))</f>
        <v/>
      </c>
      <c r="H1230" s="16" t="str">
        <f aca="false">IF(OR(C1230="",D1230=""),"",ROUND(MOD(D1230-C1230,1)*24,2))</f>
        <v/>
      </c>
      <c r="I1230" s="18"/>
      <c r="J1230" s="18"/>
      <c r="K1230" s="18"/>
    </row>
    <row r="1231" customFormat="false" ht="15" hidden="false" customHeight="false" outlineLevel="0" collapsed="false">
      <c r="A1231" s="17"/>
      <c r="B1231" s="18"/>
      <c r="C1231" s="19"/>
      <c r="D1231" s="19"/>
      <c r="E1231" s="18"/>
      <c r="F1231" s="18"/>
      <c r="G1231" s="13" t="str">
        <f aca="false">IF(F1231="","",IFERROR(INDEX(Metas!$B$5:$B$54,MATCH(F1231,Metas!$A$5:$A$54,0)),"⚠ ID de meta no existe"))</f>
        <v/>
      </c>
      <c r="H1231" s="16" t="str">
        <f aca="false">IF(OR(C1231="",D1231=""),"",ROUND(MOD(D1231-C1231,1)*24,2))</f>
        <v/>
      </c>
      <c r="I1231" s="18"/>
      <c r="J1231" s="18"/>
      <c r="K1231" s="18"/>
    </row>
    <row r="1232" customFormat="false" ht="15" hidden="false" customHeight="false" outlineLevel="0" collapsed="false">
      <c r="A1232" s="17"/>
      <c r="B1232" s="18"/>
      <c r="C1232" s="19"/>
      <c r="D1232" s="19"/>
      <c r="E1232" s="18"/>
      <c r="F1232" s="18"/>
      <c r="G1232" s="13" t="str">
        <f aca="false">IF(F1232="","",IFERROR(INDEX(Metas!$B$5:$B$54,MATCH(F1232,Metas!$A$5:$A$54,0)),"⚠ ID de meta no existe"))</f>
        <v/>
      </c>
      <c r="H1232" s="16" t="str">
        <f aca="false">IF(OR(C1232="",D1232=""),"",ROUND(MOD(D1232-C1232,1)*24,2))</f>
        <v/>
      </c>
      <c r="I1232" s="18"/>
      <c r="J1232" s="18"/>
      <c r="K1232" s="18"/>
    </row>
    <row r="1233" customFormat="false" ht="15" hidden="false" customHeight="false" outlineLevel="0" collapsed="false">
      <c r="A1233" s="17"/>
      <c r="B1233" s="18"/>
      <c r="C1233" s="19"/>
      <c r="D1233" s="19"/>
      <c r="E1233" s="18"/>
      <c r="F1233" s="18"/>
      <c r="G1233" s="13" t="str">
        <f aca="false">IF(F1233="","",IFERROR(INDEX(Metas!$B$5:$B$54,MATCH(F1233,Metas!$A$5:$A$54,0)),"⚠ ID de meta no existe"))</f>
        <v/>
      </c>
      <c r="H1233" s="16" t="str">
        <f aca="false">IF(OR(C1233="",D1233=""),"",ROUND(MOD(D1233-C1233,1)*24,2))</f>
        <v/>
      </c>
      <c r="I1233" s="18"/>
      <c r="J1233" s="18"/>
      <c r="K1233" s="18"/>
    </row>
    <row r="1234" customFormat="false" ht="15" hidden="false" customHeight="false" outlineLevel="0" collapsed="false">
      <c r="A1234" s="17"/>
      <c r="B1234" s="18"/>
      <c r="C1234" s="19"/>
      <c r="D1234" s="19"/>
      <c r="E1234" s="18"/>
      <c r="F1234" s="18"/>
      <c r="G1234" s="13" t="str">
        <f aca="false">IF(F1234="","",IFERROR(INDEX(Metas!$B$5:$B$54,MATCH(F1234,Metas!$A$5:$A$54,0)),"⚠ ID de meta no existe"))</f>
        <v/>
      </c>
      <c r="H1234" s="16" t="str">
        <f aca="false">IF(OR(C1234="",D1234=""),"",ROUND(MOD(D1234-C1234,1)*24,2))</f>
        <v/>
      </c>
      <c r="I1234" s="18"/>
      <c r="J1234" s="18"/>
      <c r="K1234" s="18"/>
    </row>
    <row r="1235" customFormat="false" ht="15" hidden="false" customHeight="false" outlineLevel="0" collapsed="false">
      <c r="A1235" s="17"/>
      <c r="B1235" s="18"/>
      <c r="C1235" s="19"/>
      <c r="D1235" s="19"/>
      <c r="E1235" s="18"/>
      <c r="F1235" s="18"/>
      <c r="G1235" s="13" t="str">
        <f aca="false">IF(F1235="","",IFERROR(INDEX(Metas!$B$5:$B$54,MATCH(F1235,Metas!$A$5:$A$54,0)),"⚠ ID de meta no existe"))</f>
        <v/>
      </c>
      <c r="H1235" s="16" t="str">
        <f aca="false">IF(OR(C1235="",D1235=""),"",ROUND(MOD(D1235-C1235,1)*24,2))</f>
        <v/>
      </c>
      <c r="I1235" s="18"/>
      <c r="J1235" s="18"/>
      <c r="K1235" s="18"/>
    </row>
    <row r="1236" customFormat="false" ht="15" hidden="false" customHeight="false" outlineLevel="0" collapsed="false">
      <c r="A1236" s="17"/>
      <c r="B1236" s="18"/>
      <c r="C1236" s="19"/>
      <c r="D1236" s="19"/>
      <c r="E1236" s="18"/>
      <c r="F1236" s="18"/>
      <c r="G1236" s="13" t="str">
        <f aca="false">IF(F1236="","",IFERROR(INDEX(Metas!$B$5:$B$54,MATCH(F1236,Metas!$A$5:$A$54,0)),"⚠ ID de meta no existe"))</f>
        <v/>
      </c>
      <c r="H1236" s="16" t="str">
        <f aca="false">IF(OR(C1236="",D1236=""),"",ROUND(MOD(D1236-C1236,1)*24,2))</f>
        <v/>
      </c>
      <c r="I1236" s="18"/>
      <c r="J1236" s="18"/>
      <c r="K1236" s="18"/>
    </row>
    <row r="1237" customFormat="false" ht="15" hidden="false" customHeight="false" outlineLevel="0" collapsed="false">
      <c r="A1237" s="17"/>
      <c r="B1237" s="18"/>
      <c r="C1237" s="19"/>
      <c r="D1237" s="19"/>
      <c r="E1237" s="18"/>
      <c r="F1237" s="18"/>
      <c r="G1237" s="13" t="str">
        <f aca="false">IF(F1237="","",IFERROR(INDEX(Metas!$B$5:$B$54,MATCH(F1237,Metas!$A$5:$A$54,0)),"⚠ ID de meta no existe"))</f>
        <v/>
      </c>
      <c r="H1237" s="16" t="str">
        <f aca="false">IF(OR(C1237="",D1237=""),"",ROUND(MOD(D1237-C1237,1)*24,2))</f>
        <v/>
      </c>
      <c r="I1237" s="18"/>
      <c r="J1237" s="18"/>
      <c r="K1237" s="18"/>
    </row>
    <row r="1238" customFormat="false" ht="15" hidden="false" customHeight="false" outlineLevel="0" collapsed="false">
      <c r="A1238" s="17"/>
      <c r="B1238" s="18"/>
      <c r="C1238" s="19"/>
      <c r="D1238" s="19"/>
      <c r="E1238" s="18"/>
      <c r="F1238" s="18"/>
      <c r="G1238" s="13" t="str">
        <f aca="false">IF(F1238="","",IFERROR(INDEX(Metas!$B$5:$B$54,MATCH(F1238,Metas!$A$5:$A$54,0)),"⚠ ID de meta no existe"))</f>
        <v/>
      </c>
      <c r="H1238" s="16" t="str">
        <f aca="false">IF(OR(C1238="",D1238=""),"",ROUND(MOD(D1238-C1238,1)*24,2))</f>
        <v/>
      </c>
      <c r="I1238" s="18"/>
      <c r="J1238" s="18"/>
      <c r="K1238" s="18"/>
    </row>
    <row r="1239" customFormat="false" ht="15" hidden="false" customHeight="false" outlineLevel="0" collapsed="false">
      <c r="A1239" s="17"/>
      <c r="B1239" s="18"/>
      <c r="C1239" s="19"/>
      <c r="D1239" s="19"/>
      <c r="E1239" s="18"/>
      <c r="F1239" s="18"/>
      <c r="G1239" s="13" t="str">
        <f aca="false">IF(F1239="","",IFERROR(INDEX(Metas!$B$5:$B$54,MATCH(F1239,Metas!$A$5:$A$54,0)),"⚠ ID de meta no existe"))</f>
        <v/>
      </c>
      <c r="H1239" s="16" t="str">
        <f aca="false">IF(OR(C1239="",D1239=""),"",ROUND(MOD(D1239-C1239,1)*24,2))</f>
        <v/>
      </c>
      <c r="I1239" s="18"/>
      <c r="J1239" s="18"/>
      <c r="K1239" s="18"/>
    </row>
    <row r="1240" customFormat="false" ht="15" hidden="false" customHeight="false" outlineLevel="0" collapsed="false">
      <c r="A1240" s="17"/>
      <c r="B1240" s="18"/>
      <c r="C1240" s="19"/>
      <c r="D1240" s="19"/>
      <c r="E1240" s="18"/>
      <c r="F1240" s="18"/>
      <c r="G1240" s="13" t="str">
        <f aca="false">IF(F1240="","",IFERROR(INDEX(Metas!$B$5:$B$54,MATCH(F1240,Metas!$A$5:$A$54,0)),"⚠ ID de meta no existe"))</f>
        <v/>
      </c>
      <c r="H1240" s="16" t="str">
        <f aca="false">IF(OR(C1240="",D1240=""),"",ROUND(MOD(D1240-C1240,1)*24,2))</f>
        <v/>
      </c>
      <c r="I1240" s="18"/>
      <c r="J1240" s="18"/>
      <c r="K1240" s="18"/>
    </row>
    <row r="1241" customFormat="false" ht="15" hidden="false" customHeight="false" outlineLevel="0" collapsed="false">
      <c r="A1241" s="17"/>
      <c r="B1241" s="18"/>
      <c r="C1241" s="19"/>
      <c r="D1241" s="19"/>
      <c r="E1241" s="18"/>
      <c r="F1241" s="18"/>
      <c r="G1241" s="13" t="str">
        <f aca="false">IF(F1241="","",IFERROR(INDEX(Metas!$B$5:$B$54,MATCH(F1241,Metas!$A$5:$A$54,0)),"⚠ ID de meta no existe"))</f>
        <v/>
      </c>
      <c r="H1241" s="16" t="str">
        <f aca="false">IF(OR(C1241="",D1241=""),"",ROUND(MOD(D1241-C1241,1)*24,2))</f>
        <v/>
      </c>
      <c r="I1241" s="18"/>
      <c r="J1241" s="18"/>
      <c r="K1241" s="18"/>
    </row>
    <row r="1242" customFormat="false" ht="15" hidden="false" customHeight="false" outlineLevel="0" collapsed="false">
      <c r="A1242" s="17"/>
      <c r="B1242" s="18"/>
      <c r="C1242" s="19"/>
      <c r="D1242" s="19"/>
      <c r="E1242" s="18"/>
      <c r="F1242" s="18"/>
      <c r="G1242" s="13" t="str">
        <f aca="false">IF(F1242="","",IFERROR(INDEX(Metas!$B$5:$B$54,MATCH(F1242,Metas!$A$5:$A$54,0)),"⚠ ID de meta no existe"))</f>
        <v/>
      </c>
      <c r="H1242" s="16" t="str">
        <f aca="false">IF(OR(C1242="",D1242=""),"",ROUND(MOD(D1242-C1242,1)*24,2))</f>
        <v/>
      </c>
      <c r="I1242" s="18"/>
      <c r="J1242" s="18"/>
      <c r="K1242" s="18"/>
    </row>
    <row r="1243" customFormat="false" ht="15" hidden="false" customHeight="false" outlineLevel="0" collapsed="false">
      <c r="A1243" s="17"/>
      <c r="B1243" s="18"/>
      <c r="C1243" s="19"/>
      <c r="D1243" s="19"/>
      <c r="E1243" s="18"/>
      <c r="F1243" s="18"/>
      <c r="G1243" s="13" t="str">
        <f aca="false">IF(F1243="","",IFERROR(INDEX(Metas!$B$5:$B$54,MATCH(F1243,Metas!$A$5:$A$54,0)),"⚠ ID de meta no existe"))</f>
        <v/>
      </c>
      <c r="H1243" s="16" t="str">
        <f aca="false">IF(OR(C1243="",D1243=""),"",ROUND(MOD(D1243-C1243,1)*24,2))</f>
        <v/>
      </c>
      <c r="I1243" s="18"/>
      <c r="J1243" s="18"/>
      <c r="K1243" s="18"/>
    </row>
    <row r="1244" customFormat="false" ht="15" hidden="false" customHeight="false" outlineLevel="0" collapsed="false">
      <c r="A1244" s="17"/>
      <c r="B1244" s="18"/>
      <c r="C1244" s="19"/>
      <c r="D1244" s="19"/>
      <c r="E1244" s="18"/>
      <c r="F1244" s="18"/>
      <c r="G1244" s="13" t="str">
        <f aca="false">IF(F1244="","",IFERROR(INDEX(Metas!$B$5:$B$54,MATCH(F1244,Metas!$A$5:$A$54,0)),"⚠ ID de meta no existe"))</f>
        <v/>
      </c>
      <c r="H1244" s="16" t="str">
        <f aca="false">IF(OR(C1244="",D1244=""),"",ROUND(MOD(D1244-C1244,1)*24,2))</f>
        <v/>
      </c>
      <c r="I1244" s="18"/>
      <c r="J1244" s="18"/>
      <c r="K1244" s="18"/>
    </row>
    <row r="1245" customFormat="false" ht="15" hidden="false" customHeight="false" outlineLevel="0" collapsed="false">
      <c r="A1245" s="17"/>
      <c r="B1245" s="18"/>
      <c r="C1245" s="19"/>
      <c r="D1245" s="19"/>
      <c r="E1245" s="18"/>
      <c r="F1245" s="18"/>
      <c r="G1245" s="13" t="str">
        <f aca="false">IF(F1245="","",IFERROR(INDEX(Metas!$B$5:$B$54,MATCH(F1245,Metas!$A$5:$A$54,0)),"⚠ ID de meta no existe"))</f>
        <v/>
      </c>
      <c r="H1245" s="16" t="str">
        <f aca="false">IF(OR(C1245="",D1245=""),"",ROUND(MOD(D1245-C1245,1)*24,2))</f>
        <v/>
      </c>
      <c r="I1245" s="18"/>
      <c r="J1245" s="18"/>
      <c r="K1245" s="18"/>
    </row>
    <row r="1246" customFormat="false" ht="15" hidden="false" customHeight="false" outlineLevel="0" collapsed="false">
      <c r="A1246" s="17"/>
      <c r="B1246" s="18"/>
      <c r="C1246" s="19"/>
      <c r="D1246" s="19"/>
      <c r="E1246" s="18"/>
      <c r="F1246" s="18"/>
      <c r="G1246" s="13" t="str">
        <f aca="false">IF(F1246="","",IFERROR(INDEX(Metas!$B$5:$B$54,MATCH(F1246,Metas!$A$5:$A$54,0)),"⚠ ID de meta no existe"))</f>
        <v/>
      </c>
      <c r="H1246" s="16" t="str">
        <f aca="false">IF(OR(C1246="",D1246=""),"",ROUND(MOD(D1246-C1246,1)*24,2))</f>
        <v/>
      </c>
      <c r="I1246" s="18"/>
      <c r="J1246" s="18"/>
      <c r="K1246" s="18"/>
    </row>
    <row r="1247" customFormat="false" ht="15" hidden="false" customHeight="false" outlineLevel="0" collapsed="false">
      <c r="A1247" s="17"/>
      <c r="B1247" s="18"/>
      <c r="C1247" s="19"/>
      <c r="D1247" s="19"/>
      <c r="E1247" s="18"/>
      <c r="F1247" s="18"/>
      <c r="G1247" s="13" t="str">
        <f aca="false">IF(F1247="","",IFERROR(INDEX(Metas!$B$5:$B$54,MATCH(F1247,Metas!$A$5:$A$54,0)),"⚠ ID de meta no existe"))</f>
        <v/>
      </c>
      <c r="H1247" s="16" t="str">
        <f aca="false">IF(OR(C1247="",D1247=""),"",ROUND(MOD(D1247-C1247,1)*24,2))</f>
        <v/>
      </c>
      <c r="I1247" s="18"/>
      <c r="J1247" s="18"/>
      <c r="K1247" s="18"/>
    </row>
    <row r="1248" customFormat="false" ht="15" hidden="false" customHeight="false" outlineLevel="0" collapsed="false">
      <c r="A1248" s="17"/>
      <c r="B1248" s="18"/>
      <c r="C1248" s="19"/>
      <c r="D1248" s="19"/>
      <c r="E1248" s="18"/>
      <c r="F1248" s="18"/>
      <c r="G1248" s="13" t="str">
        <f aca="false">IF(F1248="","",IFERROR(INDEX(Metas!$B$5:$B$54,MATCH(F1248,Metas!$A$5:$A$54,0)),"⚠ ID de meta no existe"))</f>
        <v/>
      </c>
      <c r="H1248" s="16" t="str">
        <f aca="false">IF(OR(C1248="",D1248=""),"",ROUND(MOD(D1248-C1248,1)*24,2))</f>
        <v/>
      </c>
      <c r="I1248" s="18"/>
      <c r="J1248" s="18"/>
      <c r="K1248" s="18"/>
    </row>
    <row r="1249" customFormat="false" ht="15" hidden="false" customHeight="false" outlineLevel="0" collapsed="false">
      <c r="A1249" s="17"/>
      <c r="B1249" s="18"/>
      <c r="C1249" s="19"/>
      <c r="D1249" s="19"/>
      <c r="E1249" s="18"/>
      <c r="F1249" s="18"/>
      <c r="G1249" s="13" t="str">
        <f aca="false">IF(F1249="","",IFERROR(INDEX(Metas!$B$5:$B$54,MATCH(F1249,Metas!$A$5:$A$54,0)),"⚠ ID de meta no existe"))</f>
        <v/>
      </c>
      <c r="H1249" s="16" t="str">
        <f aca="false">IF(OR(C1249="",D1249=""),"",ROUND(MOD(D1249-C1249,1)*24,2))</f>
        <v/>
      </c>
      <c r="I1249" s="18"/>
      <c r="J1249" s="18"/>
      <c r="K1249" s="18"/>
    </row>
    <row r="1250" customFormat="false" ht="15" hidden="false" customHeight="false" outlineLevel="0" collapsed="false">
      <c r="A1250" s="17"/>
      <c r="B1250" s="18"/>
      <c r="C1250" s="19"/>
      <c r="D1250" s="19"/>
      <c r="E1250" s="18"/>
      <c r="F1250" s="18"/>
      <c r="G1250" s="13" t="str">
        <f aca="false">IF(F1250="","",IFERROR(INDEX(Metas!$B$5:$B$54,MATCH(F1250,Metas!$A$5:$A$54,0)),"⚠ ID de meta no existe"))</f>
        <v/>
      </c>
      <c r="H1250" s="16" t="str">
        <f aca="false">IF(OR(C1250="",D1250=""),"",ROUND(MOD(D1250-C1250,1)*24,2))</f>
        <v/>
      </c>
      <c r="I1250" s="18"/>
      <c r="J1250" s="18"/>
      <c r="K1250" s="18"/>
    </row>
    <row r="1251" customFormat="false" ht="15" hidden="false" customHeight="false" outlineLevel="0" collapsed="false">
      <c r="A1251" s="17"/>
      <c r="B1251" s="18"/>
      <c r="C1251" s="19"/>
      <c r="D1251" s="19"/>
      <c r="E1251" s="18"/>
      <c r="F1251" s="18"/>
      <c r="G1251" s="13" t="str">
        <f aca="false">IF(F1251="","",IFERROR(INDEX(Metas!$B$5:$B$54,MATCH(F1251,Metas!$A$5:$A$54,0)),"⚠ ID de meta no existe"))</f>
        <v/>
      </c>
      <c r="H1251" s="16" t="str">
        <f aca="false">IF(OR(C1251="",D1251=""),"",ROUND(MOD(D1251-C1251,1)*24,2))</f>
        <v/>
      </c>
      <c r="I1251" s="18"/>
      <c r="J1251" s="18"/>
      <c r="K1251" s="18"/>
    </row>
    <row r="1252" customFormat="false" ht="15" hidden="false" customHeight="false" outlineLevel="0" collapsed="false">
      <c r="A1252" s="17"/>
      <c r="B1252" s="18"/>
      <c r="C1252" s="19"/>
      <c r="D1252" s="19"/>
      <c r="E1252" s="18"/>
      <c r="F1252" s="18"/>
      <c r="G1252" s="13" t="str">
        <f aca="false">IF(F1252="","",IFERROR(INDEX(Metas!$B$5:$B$54,MATCH(F1252,Metas!$A$5:$A$54,0)),"⚠ ID de meta no existe"))</f>
        <v/>
      </c>
      <c r="H1252" s="16" t="str">
        <f aca="false">IF(OR(C1252="",D1252=""),"",ROUND(MOD(D1252-C1252,1)*24,2))</f>
        <v/>
      </c>
      <c r="I1252" s="18"/>
      <c r="J1252" s="18"/>
      <c r="K1252" s="18"/>
    </row>
    <row r="1253" customFormat="false" ht="15" hidden="false" customHeight="false" outlineLevel="0" collapsed="false">
      <c r="A1253" s="17"/>
      <c r="B1253" s="18"/>
      <c r="C1253" s="19"/>
      <c r="D1253" s="19"/>
      <c r="E1253" s="18"/>
      <c r="F1253" s="18"/>
      <c r="G1253" s="13" t="str">
        <f aca="false">IF(F1253="","",IFERROR(INDEX(Metas!$B$5:$B$54,MATCH(F1253,Metas!$A$5:$A$54,0)),"⚠ ID de meta no existe"))</f>
        <v/>
      </c>
      <c r="H1253" s="16" t="str">
        <f aca="false">IF(OR(C1253="",D1253=""),"",ROUND(MOD(D1253-C1253,1)*24,2))</f>
        <v/>
      </c>
      <c r="I1253" s="18"/>
      <c r="J1253" s="18"/>
      <c r="K1253" s="18"/>
    </row>
    <row r="1254" customFormat="false" ht="15" hidden="false" customHeight="false" outlineLevel="0" collapsed="false">
      <c r="A1254" s="17"/>
      <c r="B1254" s="18"/>
      <c r="C1254" s="19"/>
      <c r="D1254" s="19"/>
      <c r="E1254" s="18"/>
      <c r="F1254" s="18"/>
      <c r="G1254" s="13" t="str">
        <f aca="false">IF(F1254="","",IFERROR(INDEX(Metas!$B$5:$B$54,MATCH(F1254,Metas!$A$5:$A$54,0)),"⚠ ID de meta no existe"))</f>
        <v/>
      </c>
      <c r="H1254" s="16" t="str">
        <f aca="false">IF(OR(C1254="",D1254=""),"",ROUND(MOD(D1254-C1254,1)*24,2))</f>
        <v/>
      </c>
      <c r="I1254" s="18"/>
      <c r="J1254" s="18"/>
      <c r="K1254" s="18"/>
    </row>
    <row r="1255" customFormat="false" ht="15" hidden="false" customHeight="false" outlineLevel="0" collapsed="false">
      <c r="A1255" s="17"/>
      <c r="B1255" s="18"/>
      <c r="C1255" s="19"/>
      <c r="D1255" s="19"/>
      <c r="E1255" s="18"/>
      <c r="F1255" s="18"/>
      <c r="G1255" s="13" t="str">
        <f aca="false">IF(F1255="","",IFERROR(INDEX(Metas!$B$5:$B$54,MATCH(F1255,Metas!$A$5:$A$54,0)),"⚠ ID de meta no existe"))</f>
        <v/>
      </c>
      <c r="H1255" s="16" t="str">
        <f aca="false">IF(OR(C1255="",D1255=""),"",ROUND(MOD(D1255-C1255,1)*24,2))</f>
        <v/>
      </c>
      <c r="I1255" s="18"/>
      <c r="J1255" s="18"/>
      <c r="K1255" s="18"/>
    </row>
    <row r="1256" customFormat="false" ht="15" hidden="false" customHeight="false" outlineLevel="0" collapsed="false">
      <c r="A1256" s="17"/>
      <c r="B1256" s="18"/>
      <c r="C1256" s="19"/>
      <c r="D1256" s="19"/>
      <c r="E1256" s="18"/>
      <c r="F1256" s="18"/>
      <c r="G1256" s="13" t="str">
        <f aca="false">IF(F1256="","",IFERROR(INDEX(Metas!$B$5:$B$54,MATCH(F1256,Metas!$A$5:$A$54,0)),"⚠ ID de meta no existe"))</f>
        <v/>
      </c>
      <c r="H1256" s="16" t="str">
        <f aca="false">IF(OR(C1256="",D1256=""),"",ROUND(MOD(D1256-C1256,1)*24,2))</f>
        <v/>
      </c>
      <c r="I1256" s="18"/>
      <c r="J1256" s="18"/>
      <c r="K1256" s="18"/>
    </row>
    <row r="1257" customFormat="false" ht="15" hidden="false" customHeight="false" outlineLevel="0" collapsed="false">
      <c r="A1257" s="17"/>
      <c r="B1257" s="18"/>
      <c r="C1257" s="19"/>
      <c r="D1257" s="19"/>
      <c r="E1257" s="18"/>
      <c r="F1257" s="18"/>
      <c r="G1257" s="13" t="str">
        <f aca="false">IF(F1257="","",IFERROR(INDEX(Metas!$B$5:$B$54,MATCH(F1257,Metas!$A$5:$A$54,0)),"⚠ ID de meta no existe"))</f>
        <v/>
      </c>
      <c r="H1257" s="16" t="str">
        <f aca="false">IF(OR(C1257="",D1257=""),"",ROUND(MOD(D1257-C1257,1)*24,2))</f>
        <v/>
      </c>
      <c r="I1257" s="18"/>
      <c r="J1257" s="18"/>
      <c r="K1257" s="18"/>
    </row>
    <row r="1258" customFormat="false" ht="15" hidden="false" customHeight="false" outlineLevel="0" collapsed="false">
      <c r="A1258" s="17"/>
      <c r="B1258" s="18"/>
      <c r="C1258" s="19"/>
      <c r="D1258" s="19"/>
      <c r="E1258" s="18"/>
      <c r="F1258" s="18"/>
      <c r="G1258" s="13" t="str">
        <f aca="false">IF(F1258="","",IFERROR(INDEX(Metas!$B$5:$B$54,MATCH(F1258,Metas!$A$5:$A$54,0)),"⚠ ID de meta no existe"))</f>
        <v/>
      </c>
      <c r="H1258" s="16" t="str">
        <f aca="false">IF(OR(C1258="",D1258=""),"",ROUND(MOD(D1258-C1258,1)*24,2))</f>
        <v/>
      </c>
      <c r="I1258" s="18"/>
      <c r="J1258" s="18"/>
      <c r="K1258" s="18"/>
    </row>
    <row r="1259" customFormat="false" ht="15" hidden="false" customHeight="false" outlineLevel="0" collapsed="false">
      <c r="A1259" s="17"/>
      <c r="B1259" s="18"/>
      <c r="C1259" s="19"/>
      <c r="D1259" s="19"/>
      <c r="E1259" s="18"/>
      <c r="F1259" s="18"/>
      <c r="G1259" s="13" t="str">
        <f aca="false">IF(F1259="","",IFERROR(INDEX(Metas!$B$5:$B$54,MATCH(F1259,Metas!$A$5:$A$54,0)),"⚠ ID de meta no existe"))</f>
        <v/>
      </c>
      <c r="H1259" s="16" t="str">
        <f aca="false">IF(OR(C1259="",D1259=""),"",ROUND(MOD(D1259-C1259,1)*24,2))</f>
        <v/>
      </c>
      <c r="I1259" s="18"/>
      <c r="J1259" s="18"/>
      <c r="K1259" s="18"/>
    </row>
    <row r="1260" customFormat="false" ht="15" hidden="false" customHeight="false" outlineLevel="0" collapsed="false">
      <c r="A1260" s="17"/>
      <c r="B1260" s="18"/>
      <c r="C1260" s="19"/>
      <c r="D1260" s="19"/>
      <c r="E1260" s="18"/>
      <c r="F1260" s="18"/>
      <c r="G1260" s="13" t="str">
        <f aca="false">IF(F1260="","",IFERROR(INDEX(Metas!$B$5:$B$54,MATCH(F1260,Metas!$A$5:$A$54,0)),"⚠ ID de meta no existe"))</f>
        <v/>
      </c>
      <c r="H1260" s="16" t="str">
        <f aca="false">IF(OR(C1260="",D1260=""),"",ROUND(MOD(D1260-C1260,1)*24,2))</f>
        <v/>
      </c>
      <c r="I1260" s="18"/>
      <c r="J1260" s="18"/>
      <c r="K1260" s="18"/>
    </row>
    <row r="1261" customFormat="false" ht="15" hidden="false" customHeight="false" outlineLevel="0" collapsed="false">
      <c r="A1261" s="17"/>
      <c r="B1261" s="18"/>
      <c r="C1261" s="19"/>
      <c r="D1261" s="19"/>
      <c r="E1261" s="18"/>
      <c r="F1261" s="18"/>
      <c r="G1261" s="13" t="str">
        <f aca="false">IF(F1261="","",IFERROR(INDEX(Metas!$B$5:$B$54,MATCH(F1261,Metas!$A$5:$A$54,0)),"⚠ ID de meta no existe"))</f>
        <v/>
      </c>
      <c r="H1261" s="16" t="str">
        <f aca="false">IF(OR(C1261="",D1261=""),"",ROUND(MOD(D1261-C1261,1)*24,2))</f>
        <v/>
      </c>
      <c r="I1261" s="18"/>
      <c r="J1261" s="18"/>
      <c r="K1261" s="18"/>
    </row>
    <row r="1262" customFormat="false" ht="15" hidden="false" customHeight="false" outlineLevel="0" collapsed="false">
      <c r="A1262" s="17"/>
      <c r="B1262" s="18"/>
      <c r="C1262" s="19"/>
      <c r="D1262" s="19"/>
      <c r="E1262" s="18"/>
      <c r="F1262" s="18"/>
      <c r="G1262" s="13" t="str">
        <f aca="false">IF(F1262="","",IFERROR(INDEX(Metas!$B$5:$B$54,MATCH(F1262,Metas!$A$5:$A$54,0)),"⚠ ID de meta no existe"))</f>
        <v/>
      </c>
      <c r="H1262" s="16" t="str">
        <f aca="false">IF(OR(C1262="",D1262=""),"",ROUND(MOD(D1262-C1262,1)*24,2))</f>
        <v/>
      </c>
      <c r="I1262" s="18"/>
      <c r="J1262" s="18"/>
      <c r="K1262" s="18"/>
    </row>
    <row r="1263" customFormat="false" ht="15" hidden="false" customHeight="false" outlineLevel="0" collapsed="false">
      <c r="A1263" s="17"/>
      <c r="B1263" s="18"/>
      <c r="C1263" s="19"/>
      <c r="D1263" s="19"/>
      <c r="E1263" s="18"/>
      <c r="F1263" s="18"/>
      <c r="G1263" s="13" t="str">
        <f aca="false">IF(F1263="","",IFERROR(INDEX(Metas!$B$5:$B$54,MATCH(F1263,Metas!$A$5:$A$54,0)),"⚠ ID de meta no existe"))</f>
        <v/>
      </c>
      <c r="H1263" s="16" t="str">
        <f aca="false">IF(OR(C1263="",D1263=""),"",ROUND(MOD(D1263-C1263,1)*24,2))</f>
        <v/>
      </c>
      <c r="I1263" s="18"/>
      <c r="J1263" s="18"/>
      <c r="K1263" s="18"/>
    </row>
    <row r="1264" customFormat="false" ht="15" hidden="false" customHeight="false" outlineLevel="0" collapsed="false">
      <c r="A1264" s="17"/>
      <c r="B1264" s="18"/>
      <c r="C1264" s="19"/>
      <c r="D1264" s="19"/>
      <c r="E1264" s="18"/>
      <c r="F1264" s="18"/>
      <c r="G1264" s="13" t="str">
        <f aca="false">IF(F1264="","",IFERROR(INDEX(Metas!$B$5:$B$54,MATCH(F1264,Metas!$A$5:$A$54,0)),"⚠ ID de meta no existe"))</f>
        <v/>
      </c>
      <c r="H1264" s="16" t="str">
        <f aca="false">IF(OR(C1264="",D1264=""),"",ROUND(MOD(D1264-C1264,1)*24,2))</f>
        <v/>
      </c>
      <c r="I1264" s="18"/>
      <c r="J1264" s="18"/>
      <c r="K1264" s="18"/>
    </row>
    <row r="1265" customFormat="false" ht="15" hidden="false" customHeight="false" outlineLevel="0" collapsed="false">
      <c r="A1265" s="17"/>
      <c r="B1265" s="18"/>
      <c r="C1265" s="19"/>
      <c r="D1265" s="19"/>
      <c r="E1265" s="18"/>
      <c r="F1265" s="18"/>
      <c r="G1265" s="13" t="str">
        <f aca="false">IF(F1265="","",IFERROR(INDEX(Metas!$B$5:$B$54,MATCH(F1265,Metas!$A$5:$A$54,0)),"⚠ ID de meta no existe"))</f>
        <v/>
      </c>
      <c r="H1265" s="16" t="str">
        <f aca="false">IF(OR(C1265="",D1265=""),"",ROUND(MOD(D1265-C1265,1)*24,2))</f>
        <v/>
      </c>
      <c r="I1265" s="18"/>
      <c r="J1265" s="18"/>
      <c r="K1265" s="18"/>
    </row>
    <row r="1266" customFormat="false" ht="15" hidden="false" customHeight="false" outlineLevel="0" collapsed="false">
      <c r="A1266" s="17"/>
      <c r="B1266" s="18"/>
      <c r="C1266" s="19"/>
      <c r="D1266" s="19"/>
      <c r="E1266" s="18"/>
      <c r="F1266" s="18"/>
      <c r="G1266" s="13" t="str">
        <f aca="false">IF(F1266="","",IFERROR(INDEX(Metas!$B$5:$B$54,MATCH(F1266,Metas!$A$5:$A$54,0)),"⚠ ID de meta no existe"))</f>
        <v/>
      </c>
      <c r="H1266" s="16" t="str">
        <f aca="false">IF(OR(C1266="",D1266=""),"",ROUND(MOD(D1266-C1266,1)*24,2))</f>
        <v/>
      </c>
      <c r="I1266" s="18"/>
      <c r="J1266" s="18"/>
      <c r="K1266" s="18"/>
    </row>
    <row r="1267" customFormat="false" ht="15" hidden="false" customHeight="false" outlineLevel="0" collapsed="false">
      <c r="A1267" s="17"/>
      <c r="B1267" s="18"/>
      <c r="C1267" s="19"/>
      <c r="D1267" s="19"/>
      <c r="E1267" s="18"/>
      <c r="F1267" s="18"/>
      <c r="G1267" s="13" t="str">
        <f aca="false">IF(F1267="","",IFERROR(INDEX(Metas!$B$5:$B$54,MATCH(F1267,Metas!$A$5:$A$54,0)),"⚠ ID de meta no existe"))</f>
        <v/>
      </c>
      <c r="H1267" s="16" t="str">
        <f aca="false">IF(OR(C1267="",D1267=""),"",ROUND(MOD(D1267-C1267,1)*24,2))</f>
        <v/>
      </c>
      <c r="I1267" s="18"/>
      <c r="J1267" s="18"/>
      <c r="K1267" s="18"/>
    </row>
    <row r="1268" customFormat="false" ht="15" hidden="false" customHeight="false" outlineLevel="0" collapsed="false">
      <c r="A1268" s="17"/>
      <c r="B1268" s="18"/>
      <c r="C1268" s="19"/>
      <c r="D1268" s="19"/>
      <c r="E1268" s="18"/>
      <c r="F1268" s="18"/>
      <c r="G1268" s="13" t="str">
        <f aca="false">IF(F1268="","",IFERROR(INDEX(Metas!$B$5:$B$54,MATCH(F1268,Metas!$A$5:$A$54,0)),"⚠ ID de meta no existe"))</f>
        <v/>
      </c>
      <c r="H1268" s="16" t="str">
        <f aca="false">IF(OR(C1268="",D1268=""),"",ROUND(MOD(D1268-C1268,1)*24,2))</f>
        <v/>
      </c>
      <c r="I1268" s="18"/>
      <c r="J1268" s="18"/>
      <c r="K1268" s="18"/>
    </row>
    <row r="1269" customFormat="false" ht="15" hidden="false" customHeight="false" outlineLevel="0" collapsed="false">
      <c r="A1269" s="17"/>
      <c r="B1269" s="18"/>
      <c r="C1269" s="19"/>
      <c r="D1269" s="19"/>
      <c r="E1269" s="18"/>
      <c r="F1269" s="18"/>
      <c r="G1269" s="13" t="str">
        <f aca="false">IF(F1269="","",IFERROR(INDEX(Metas!$B$5:$B$54,MATCH(F1269,Metas!$A$5:$A$54,0)),"⚠ ID de meta no existe"))</f>
        <v/>
      </c>
      <c r="H1269" s="16" t="str">
        <f aca="false">IF(OR(C1269="",D1269=""),"",ROUND(MOD(D1269-C1269,1)*24,2))</f>
        <v/>
      </c>
      <c r="I1269" s="18"/>
      <c r="J1269" s="18"/>
      <c r="K1269" s="18"/>
    </row>
    <row r="1270" customFormat="false" ht="15" hidden="false" customHeight="false" outlineLevel="0" collapsed="false">
      <c r="A1270" s="17"/>
      <c r="B1270" s="18"/>
      <c r="C1270" s="19"/>
      <c r="D1270" s="19"/>
      <c r="E1270" s="18"/>
      <c r="F1270" s="18"/>
      <c r="G1270" s="13" t="str">
        <f aca="false">IF(F1270="","",IFERROR(INDEX(Metas!$B$5:$B$54,MATCH(F1270,Metas!$A$5:$A$54,0)),"⚠ ID de meta no existe"))</f>
        <v/>
      </c>
      <c r="H1270" s="16" t="str">
        <f aca="false">IF(OR(C1270="",D1270=""),"",ROUND(MOD(D1270-C1270,1)*24,2))</f>
        <v/>
      </c>
      <c r="I1270" s="18"/>
      <c r="J1270" s="18"/>
      <c r="K1270" s="18"/>
    </row>
    <row r="1271" customFormat="false" ht="15" hidden="false" customHeight="false" outlineLevel="0" collapsed="false">
      <c r="A1271" s="17"/>
      <c r="B1271" s="18"/>
      <c r="C1271" s="19"/>
      <c r="D1271" s="19"/>
      <c r="E1271" s="18"/>
      <c r="F1271" s="18"/>
      <c r="G1271" s="13" t="str">
        <f aca="false">IF(F1271="","",IFERROR(INDEX(Metas!$B$5:$B$54,MATCH(F1271,Metas!$A$5:$A$54,0)),"⚠ ID de meta no existe"))</f>
        <v/>
      </c>
      <c r="H1271" s="16" t="str">
        <f aca="false">IF(OR(C1271="",D1271=""),"",ROUND(MOD(D1271-C1271,1)*24,2))</f>
        <v/>
      </c>
      <c r="I1271" s="18"/>
      <c r="J1271" s="18"/>
      <c r="K1271" s="18"/>
    </row>
    <row r="1272" customFormat="false" ht="15" hidden="false" customHeight="false" outlineLevel="0" collapsed="false">
      <c r="A1272" s="17"/>
      <c r="B1272" s="18"/>
      <c r="C1272" s="19"/>
      <c r="D1272" s="19"/>
      <c r="E1272" s="18"/>
      <c r="F1272" s="18"/>
      <c r="G1272" s="13" t="str">
        <f aca="false">IF(F1272="","",IFERROR(INDEX(Metas!$B$5:$B$54,MATCH(F1272,Metas!$A$5:$A$54,0)),"⚠ ID de meta no existe"))</f>
        <v/>
      </c>
      <c r="H1272" s="16" t="str">
        <f aca="false">IF(OR(C1272="",D1272=""),"",ROUND(MOD(D1272-C1272,1)*24,2))</f>
        <v/>
      </c>
      <c r="I1272" s="18"/>
      <c r="J1272" s="18"/>
      <c r="K1272" s="18"/>
    </row>
    <row r="1273" customFormat="false" ht="15" hidden="false" customHeight="false" outlineLevel="0" collapsed="false">
      <c r="A1273" s="17"/>
      <c r="B1273" s="18"/>
      <c r="C1273" s="19"/>
      <c r="D1273" s="19"/>
      <c r="E1273" s="18"/>
      <c r="F1273" s="18"/>
      <c r="G1273" s="13" t="str">
        <f aca="false">IF(F1273="","",IFERROR(INDEX(Metas!$B$5:$B$54,MATCH(F1273,Metas!$A$5:$A$54,0)),"⚠ ID de meta no existe"))</f>
        <v/>
      </c>
      <c r="H1273" s="16" t="str">
        <f aca="false">IF(OR(C1273="",D1273=""),"",ROUND(MOD(D1273-C1273,1)*24,2))</f>
        <v/>
      </c>
      <c r="I1273" s="18"/>
      <c r="J1273" s="18"/>
      <c r="K1273" s="18"/>
    </row>
    <row r="1274" customFormat="false" ht="15" hidden="false" customHeight="false" outlineLevel="0" collapsed="false">
      <c r="A1274" s="17"/>
      <c r="B1274" s="18"/>
      <c r="C1274" s="19"/>
      <c r="D1274" s="19"/>
      <c r="E1274" s="18"/>
      <c r="F1274" s="18"/>
      <c r="G1274" s="13" t="str">
        <f aca="false">IF(F1274="","",IFERROR(INDEX(Metas!$B$5:$B$54,MATCH(F1274,Metas!$A$5:$A$54,0)),"⚠ ID de meta no existe"))</f>
        <v/>
      </c>
      <c r="H1274" s="16" t="str">
        <f aca="false">IF(OR(C1274="",D1274=""),"",ROUND(MOD(D1274-C1274,1)*24,2))</f>
        <v/>
      </c>
      <c r="I1274" s="18"/>
      <c r="J1274" s="18"/>
      <c r="K1274" s="18"/>
    </row>
    <row r="1275" customFormat="false" ht="15" hidden="false" customHeight="false" outlineLevel="0" collapsed="false">
      <c r="A1275" s="17"/>
      <c r="B1275" s="18"/>
      <c r="C1275" s="19"/>
      <c r="D1275" s="19"/>
      <c r="E1275" s="18"/>
      <c r="F1275" s="18"/>
      <c r="G1275" s="13" t="str">
        <f aca="false">IF(F1275="","",IFERROR(INDEX(Metas!$B$5:$B$54,MATCH(F1275,Metas!$A$5:$A$54,0)),"⚠ ID de meta no existe"))</f>
        <v/>
      </c>
      <c r="H1275" s="16" t="str">
        <f aca="false">IF(OR(C1275="",D1275=""),"",ROUND(MOD(D1275-C1275,1)*24,2))</f>
        <v/>
      </c>
      <c r="I1275" s="18"/>
      <c r="J1275" s="18"/>
      <c r="K1275" s="18"/>
    </row>
    <row r="1276" customFormat="false" ht="15" hidden="false" customHeight="false" outlineLevel="0" collapsed="false">
      <c r="A1276" s="17"/>
      <c r="B1276" s="18"/>
      <c r="C1276" s="19"/>
      <c r="D1276" s="19"/>
      <c r="E1276" s="18"/>
      <c r="F1276" s="18"/>
      <c r="G1276" s="13" t="str">
        <f aca="false">IF(F1276="","",IFERROR(INDEX(Metas!$B$5:$B$54,MATCH(F1276,Metas!$A$5:$A$54,0)),"⚠ ID de meta no existe"))</f>
        <v/>
      </c>
      <c r="H1276" s="16" t="str">
        <f aca="false">IF(OR(C1276="",D1276=""),"",ROUND(MOD(D1276-C1276,1)*24,2))</f>
        <v/>
      </c>
      <c r="I1276" s="18"/>
      <c r="J1276" s="18"/>
      <c r="K1276" s="18"/>
    </row>
    <row r="1277" customFormat="false" ht="15" hidden="false" customHeight="false" outlineLevel="0" collapsed="false">
      <c r="A1277" s="17"/>
      <c r="B1277" s="18"/>
      <c r="C1277" s="19"/>
      <c r="D1277" s="19"/>
      <c r="E1277" s="18"/>
      <c r="F1277" s="18"/>
      <c r="G1277" s="13" t="str">
        <f aca="false">IF(F1277="","",IFERROR(INDEX(Metas!$B$5:$B$54,MATCH(F1277,Metas!$A$5:$A$54,0)),"⚠ ID de meta no existe"))</f>
        <v/>
      </c>
      <c r="H1277" s="16" t="str">
        <f aca="false">IF(OR(C1277="",D1277=""),"",ROUND(MOD(D1277-C1277,1)*24,2))</f>
        <v/>
      </c>
      <c r="I1277" s="18"/>
      <c r="J1277" s="18"/>
      <c r="K1277" s="18"/>
    </row>
    <row r="1278" customFormat="false" ht="15" hidden="false" customHeight="false" outlineLevel="0" collapsed="false">
      <c r="A1278" s="17"/>
      <c r="B1278" s="18"/>
      <c r="C1278" s="19"/>
      <c r="D1278" s="19"/>
      <c r="E1278" s="18"/>
      <c r="F1278" s="18"/>
      <c r="G1278" s="13" t="str">
        <f aca="false">IF(F1278="","",IFERROR(INDEX(Metas!$B$5:$B$54,MATCH(F1278,Metas!$A$5:$A$54,0)),"⚠ ID de meta no existe"))</f>
        <v/>
      </c>
      <c r="H1278" s="16" t="str">
        <f aca="false">IF(OR(C1278="",D1278=""),"",ROUND(MOD(D1278-C1278,1)*24,2))</f>
        <v/>
      </c>
      <c r="I1278" s="18"/>
      <c r="J1278" s="18"/>
      <c r="K1278" s="18"/>
    </row>
    <row r="1279" customFormat="false" ht="15" hidden="false" customHeight="false" outlineLevel="0" collapsed="false">
      <c r="A1279" s="17"/>
      <c r="B1279" s="18"/>
      <c r="C1279" s="19"/>
      <c r="D1279" s="19"/>
      <c r="E1279" s="18"/>
      <c r="F1279" s="18"/>
      <c r="G1279" s="13" t="str">
        <f aca="false">IF(F1279="","",IFERROR(INDEX(Metas!$B$5:$B$54,MATCH(F1279,Metas!$A$5:$A$54,0)),"⚠ ID de meta no existe"))</f>
        <v/>
      </c>
      <c r="H1279" s="16" t="str">
        <f aca="false">IF(OR(C1279="",D1279=""),"",ROUND(MOD(D1279-C1279,1)*24,2))</f>
        <v/>
      </c>
      <c r="I1279" s="18"/>
      <c r="J1279" s="18"/>
      <c r="K1279" s="18"/>
    </row>
    <row r="1280" customFormat="false" ht="15" hidden="false" customHeight="false" outlineLevel="0" collapsed="false">
      <c r="A1280" s="17"/>
      <c r="B1280" s="18"/>
      <c r="C1280" s="19"/>
      <c r="D1280" s="19"/>
      <c r="E1280" s="18"/>
      <c r="F1280" s="18"/>
      <c r="G1280" s="13" t="str">
        <f aca="false">IF(F1280="","",IFERROR(INDEX(Metas!$B$5:$B$54,MATCH(F1280,Metas!$A$5:$A$54,0)),"⚠ ID de meta no existe"))</f>
        <v/>
      </c>
      <c r="H1280" s="16" t="str">
        <f aca="false">IF(OR(C1280="",D1280=""),"",ROUND(MOD(D1280-C1280,1)*24,2))</f>
        <v/>
      </c>
      <c r="I1280" s="18"/>
      <c r="J1280" s="18"/>
      <c r="K1280" s="18"/>
    </row>
    <row r="1281" customFormat="false" ht="15" hidden="false" customHeight="false" outlineLevel="0" collapsed="false">
      <c r="A1281" s="17"/>
      <c r="B1281" s="18"/>
      <c r="C1281" s="19"/>
      <c r="D1281" s="19"/>
      <c r="E1281" s="18"/>
      <c r="F1281" s="18"/>
      <c r="G1281" s="13" t="str">
        <f aca="false">IF(F1281="","",IFERROR(INDEX(Metas!$B$5:$B$54,MATCH(F1281,Metas!$A$5:$A$54,0)),"⚠ ID de meta no existe"))</f>
        <v/>
      </c>
      <c r="H1281" s="16" t="str">
        <f aca="false">IF(OR(C1281="",D1281=""),"",ROUND(MOD(D1281-C1281,1)*24,2))</f>
        <v/>
      </c>
      <c r="I1281" s="18"/>
      <c r="J1281" s="18"/>
      <c r="K1281" s="18"/>
    </row>
    <row r="1282" customFormat="false" ht="15" hidden="false" customHeight="false" outlineLevel="0" collapsed="false">
      <c r="A1282" s="17"/>
      <c r="B1282" s="18"/>
      <c r="C1282" s="19"/>
      <c r="D1282" s="19"/>
      <c r="E1282" s="18"/>
      <c r="F1282" s="18"/>
      <c r="G1282" s="13" t="str">
        <f aca="false">IF(F1282="","",IFERROR(INDEX(Metas!$B$5:$B$54,MATCH(F1282,Metas!$A$5:$A$54,0)),"⚠ ID de meta no existe"))</f>
        <v/>
      </c>
      <c r="H1282" s="16" t="str">
        <f aca="false">IF(OR(C1282="",D1282=""),"",ROUND(MOD(D1282-C1282,1)*24,2))</f>
        <v/>
      </c>
      <c r="I1282" s="18"/>
      <c r="J1282" s="18"/>
      <c r="K1282" s="18"/>
    </row>
    <row r="1283" customFormat="false" ht="15" hidden="false" customHeight="false" outlineLevel="0" collapsed="false">
      <c r="A1283" s="17"/>
      <c r="B1283" s="18"/>
      <c r="C1283" s="19"/>
      <c r="D1283" s="19"/>
      <c r="E1283" s="18"/>
      <c r="F1283" s="18"/>
      <c r="G1283" s="13" t="str">
        <f aca="false">IF(F1283="","",IFERROR(INDEX(Metas!$B$5:$B$54,MATCH(F1283,Metas!$A$5:$A$54,0)),"⚠ ID de meta no existe"))</f>
        <v/>
      </c>
      <c r="H1283" s="16" t="str">
        <f aca="false">IF(OR(C1283="",D1283=""),"",ROUND(MOD(D1283-C1283,1)*24,2))</f>
        <v/>
      </c>
      <c r="I1283" s="18"/>
      <c r="J1283" s="18"/>
      <c r="K1283" s="18"/>
    </row>
    <row r="1284" customFormat="false" ht="15" hidden="false" customHeight="false" outlineLevel="0" collapsed="false">
      <c r="A1284" s="17"/>
      <c r="B1284" s="18"/>
      <c r="C1284" s="19"/>
      <c r="D1284" s="19"/>
      <c r="E1284" s="18"/>
      <c r="F1284" s="18"/>
      <c r="G1284" s="13" t="str">
        <f aca="false">IF(F1284="","",IFERROR(INDEX(Metas!$B$5:$B$54,MATCH(F1284,Metas!$A$5:$A$54,0)),"⚠ ID de meta no existe"))</f>
        <v/>
      </c>
      <c r="H1284" s="16" t="str">
        <f aca="false">IF(OR(C1284="",D1284=""),"",ROUND(MOD(D1284-C1284,1)*24,2))</f>
        <v/>
      </c>
      <c r="I1284" s="18"/>
      <c r="J1284" s="18"/>
      <c r="K1284" s="18"/>
    </row>
    <row r="1285" customFormat="false" ht="15" hidden="false" customHeight="false" outlineLevel="0" collapsed="false">
      <c r="A1285" s="17"/>
      <c r="B1285" s="18"/>
      <c r="C1285" s="19"/>
      <c r="D1285" s="19"/>
      <c r="E1285" s="18"/>
      <c r="F1285" s="18"/>
      <c r="G1285" s="13" t="str">
        <f aca="false">IF(F1285="","",IFERROR(INDEX(Metas!$B$5:$B$54,MATCH(F1285,Metas!$A$5:$A$54,0)),"⚠ ID de meta no existe"))</f>
        <v/>
      </c>
      <c r="H1285" s="16" t="str">
        <f aca="false">IF(OR(C1285="",D1285=""),"",ROUND(MOD(D1285-C1285,1)*24,2))</f>
        <v/>
      </c>
      <c r="I1285" s="18"/>
      <c r="J1285" s="18"/>
      <c r="K1285" s="18"/>
    </row>
    <row r="1286" customFormat="false" ht="15" hidden="false" customHeight="false" outlineLevel="0" collapsed="false">
      <c r="A1286" s="17"/>
      <c r="B1286" s="18"/>
      <c r="C1286" s="19"/>
      <c r="D1286" s="19"/>
      <c r="E1286" s="18"/>
      <c r="F1286" s="18"/>
      <c r="G1286" s="13" t="str">
        <f aca="false">IF(F1286="","",IFERROR(INDEX(Metas!$B$5:$B$54,MATCH(F1286,Metas!$A$5:$A$54,0)),"⚠ ID de meta no existe"))</f>
        <v/>
      </c>
      <c r="H1286" s="16" t="str">
        <f aca="false">IF(OR(C1286="",D1286=""),"",ROUND(MOD(D1286-C1286,1)*24,2))</f>
        <v/>
      </c>
      <c r="I1286" s="18"/>
      <c r="J1286" s="18"/>
      <c r="K1286" s="18"/>
    </row>
    <row r="1287" customFormat="false" ht="15" hidden="false" customHeight="false" outlineLevel="0" collapsed="false">
      <c r="A1287" s="17"/>
      <c r="B1287" s="18"/>
      <c r="C1287" s="19"/>
      <c r="D1287" s="19"/>
      <c r="E1287" s="18"/>
      <c r="F1287" s="18"/>
      <c r="G1287" s="13" t="str">
        <f aca="false">IF(F1287="","",IFERROR(INDEX(Metas!$B$5:$B$54,MATCH(F1287,Metas!$A$5:$A$54,0)),"⚠ ID de meta no existe"))</f>
        <v/>
      </c>
      <c r="H1287" s="16" t="str">
        <f aca="false">IF(OR(C1287="",D1287=""),"",ROUND(MOD(D1287-C1287,1)*24,2))</f>
        <v/>
      </c>
      <c r="I1287" s="18"/>
      <c r="J1287" s="18"/>
      <c r="K1287" s="18"/>
    </row>
    <row r="1288" customFormat="false" ht="15" hidden="false" customHeight="false" outlineLevel="0" collapsed="false">
      <c r="A1288" s="17"/>
      <c r="B1288" s="18"/>
      <c r="C1288" s="19"/>
      <c r="D1288" s="19"/>
      <c r="E1288" s="18"/>
      <c r="F1288" s="18"/>
      <c r="G1288" s="13" t="str">
        <f aca="false">IF(F1288="","",IFERROR(INDEX(Metas!$B$5:$B$54,MATCH(F1288,Metas!$A$5:$A$54,0)),"⚠ ID de meta no existe"))</f>
        <v/>
      </c>
      <c r="H1288" s="16" t="str">
        <f aca="false">IF(OR(C1288="",D1288=""),"",ROUND(MOD(D1288-C1288,1)*24,2))</f>
        <v/>
      </c>
      <c r="I1288" s="18"/>
      <c r="J1288" s="18"/>
      <c r="K1288" s="18"/>
    </row>
    <row r="1289" customFormat="false" ht="15" hidden="false" customHeight="false" outlineLevel="0" collapsed="false">
      <c r="A1289" s="17"/>
      <c r="B1289" s="18"/>
      <c r="C1289" s="19"/>
      <c r="D1289" s="19"/>
      <c r="E1289" s="18"/>
      <c r="F1289" s="18"/>
      <c r="G1289" s="13" t="str">
        <f aca="false">IF(F1289="","",IFERROR(INDEX(Metas!$B$5:$B$54,MATCH(F1289,Metas!$A$5:$A$54,0)),"⚠ ID de meta no existe"))</f>
        <v/>
      </c>
      <c r="H1289" s="16" t="str">
        <f aca="false">IF(OR(C1289="",D1289=""),"",ROUND(MOD(D1289-C1289,1)*24,2))</f>
        <v/>
      </c>
      <c r="I1289" s="18"/>
      <c r="J1289" s="18"/>
      <c r="K1289" s="18"/>
    </row>
    <row r="1290" customFormat="false" ht="15" hidden="false" customHeight="false" outlineLevel="0" collapsed="false">
      <c r="A1290" s="17"/>
      <c r="B1290" s="18"/>
      <c r="C1290" s="19"/>
      <c r="D1290" s="19"/>
      <c r="E1290" s="18"/>
      <c r="F1290" s="18"/>
      <c r="G1290" s="13" t="str">
        <f aca="false">IF(F1290="","",IFERROR(INDEX(Metas!$B$5:$B$54,MATCH(F1290,Metas!$A$5:$A$54,0)),"⚠ ID de meta no existe"))</f>
        <v/>
      </c>
      <c r="H1290" s="16" t="str">
        <f aca="false">IF(OR(C1290="",D1290=""),"",ROUND(MOD(D1290-C1290,1)*24,2))</f>
        <v/>
      </c>
      <c r="I1290" s="18"/>
      <c r="J1290" s="18"/>
      <c r="K1290" s="18"/>
    </row>
    <row r="1291" customFormat="false" ht="15" hidden="false" customHeight="false" outlineLevel="0" collapsed="false">
      <c r="A1291" s="17"/>
      <c r="B1291" s="18"/>
      <c r="C1291" s="19"/>
      <c r="D1291" s="19"/>
      <c r="E1291" s="18"/>
      <c r="F1291" s="18"/>
      <c r="G1291" s="13" t="str">
        <f aca="false">IF(F1291="","",IFERROR(INDEX(Metas!$B$5:$B$54,MATCH(F1291,Metas!$A$5:$A$54,0)),"⚠ ID de meta no existe"))</f>
        <v/>
      </c>
      <c r="H1291" s="16" t="str">
        <f aca="false">IF(OR(C1291="",D1291=""),"",ROUND(MOD(D1291-C1291,1)*24,2))</f>
        <v/>
      </c>
      <c r="I1291" s="18"/>
      <c r="J1291" s="18"/>
      <c r="K1291" s="18"/>
    </row>
    <row r="1292" customFormat="false" ht="15" hidden="false" customHeight="false" outlineLevel="0" collapsed="false">
      <c r="A1292" s="17"/>
      <c r="B1292" s="18"/>
      <c r="C1292" s="19"/>
      <c r="D1292" s="19"/>
      <c r="E1292" s="18"/>
      <c r="F1292" s="18"/>
      <c r="G1292" s="13" t="str">
        <f aca="false">IF(F1292="","",IFERROR(INDEX(Metas!$B$5:$B$54,MATCH(F1292,Metas!$A$5:$A$54,0)),"⚠ ID de meta no existe"))</f>
        <v/>
      </c>
      <c r="H1292" s="16" t="str">
        <f aca="false">IF(OR(C1292="",D1292=""),"",ROUND(MOD(D1292-C1292,1)*24,2))</f>
        <v/>
      </c>
      <c r="I1292" s="18"/>
      <c r="J1292" s="18"/>
      <c r="K1292" s="18"/>
    </row>
    <row r="1293" customFormat="false" ht="15" hidden="false" customHeight="false" outlineLevel="0" collapsed="false">
      <c r="A1293" s="17"/>
      <c r="B1293" s="18"/>
      <c r="C1293" s="19"/>
      <c r="D1293" s="19"/>
      <c r="E1293" s="18"/>
      <c r="F1293" s="18"/>
      <c r="G1293" s="13" t="str">
        <f aca="false">IF(F1293="","",IFERROR(INDEX(Metas!$B$5:$B$54,MATCH(F1293,Metas!$A$5:$A$54,0)),"⚠ ID de meta no existe"))</f>
        <v/>
      </c>
      <c r="H1293" s="16" t="str">
        <f aca="false">IF(OR(C1293="",D1293=""),"",ROUND(MOD(D1293-C1293,1)*24,2))</f>
        <v/>
      </c>
      <c r="I1293" s="18"/>
      <c r="J1293" s="18"/>
      <c r="K1293" s="18"/>
    </row>
    <row r="1294" customFormat="false" ht="15" hidden="false" customHeight="false" outlineLevel="0" collapsed="false">
      <c r="A1294" s="17"/>
      <c r="B1294" s="18"/>
      <c r="C1294" s="19"/>
      <c r="D1294" s="19"/>
      <c r="E1294" s="18"/>
      <c r="F1294" s="18"/>
      <c r="G1294" s="13" t="str">
        <f aca="false">IF(F1294="","",IFERROR(INDEX(Metas!$B$5:$B$54,MATCH(F1294,Metas!$A$5:$A$54,0)),"⚠ ID de meta no existe"))</f>
        <v/>
      </c>
      <c r="H1294" s="16" t="str">
        <f aca="false">IF(OR(C1294="",D1294=""),"",ROUND(MOD(D1294-C1294,1)*24,2))</f>
        <v/>
      </c>
      <c r="I1294" s="18"/>
      <c r="J1294" s="18"/>
      <c r="K1294" s="18"/>
    </row>
    <row r="1295" customFormat="false" ht="15" hidden="false" customHeight="false" outlineLevel="0" collapsed="false">
      <c r="A1295" s="17"/>
      <c r="B1295" s="18"/>
      <c r="C1295" s="19"/>
      <c r="D1295" s="19"/>
      <c r="E1295" s="18"/>
      <c r="F1295" s="18"/>
      <c r="G1295" s="13" t="str">
        <f aca="false">IF(F1295="","",IFERROR(INDEX(Metas!$B$5:$B$54,MATCH(F1295,Metas!$A$5:$A$54,0)),"⚠ ID de meta no existe"))</f>
        <v/>
      </c>
      <c r="H1295" s="16" t="str">
        <f aca="false">IF(OR(C1295="",D1295=""),"",ROUND(MOD(D1295-C1295,1)*24,2))</f>
        <v/>
      </c>
      <c r="I1295" s="18"/>
      <c r="J1295" s="18"/>
      <c r="K1295" s="18"/>
    </row>
    <row r="1296" customFormat="false" ht="15" hidden="false" customHeight="false" outlineLevel="0" collapsed="false">
      <c r="A1296" s="17"/>
      <c r="B1296" s="18"/>
      <c r="C1296" s="19"/>
      <c r="D1296" s="19"/>
      <c r="E1296" s="18"/>
      <c r="F1296" s="18"/>
      <c r="G1296" s="13" t="str">
        <f aca="false">IF(F1296="","",IFERROR(INDEX(Metas!$B$5:$B$54,MATCH(F1296,Metas!$A$5:$A$54,0)),"⚠ ID de meta no existe"))</f>
        <v/>
      </c>
      <c r="H1296" s="16" t="str">
        <f aca="false">IF(OR(C1296="",D1296=""),"",ROUND(MOD(D1296-C1296,1)*24,2))</f>
        <v/>
      </c>
      <c r="I1296" s="18"/>
      <c r="J1296" s="18"/>
      <c r="K1296" s="18"/>
    </row>
    <row r="1297" customFormat="false" ht="15" hidden="false" customHeight="false" outlineLevel="0" collapsed="false">
      <c r="A1297" s="17"/>
      <c r="B1297" s="18"/>
      <c r="C1297" s="19"/>
      <c r="D1297" s="19"/>
      <c r="E1297" s="18"/>
      <c r="F1297" s="18"/>
      <c r="G1297" s="13" t="str">
        <f aca="false">IF(F1297="","",IFERROR(INDEX(Metas!$B$5:$B$54,MATCH(F1297,Metas!$A$5:$A$54,0)),"⚠ ID de meta no existe"))</f>
        <v/>
      </c>
      <c r="H1297" s="16" t="str">
        <f aca="false">IF(OR(C1297="",D1297=""),"",ROUND(MOD(D1297-C1297,1)*24,2))</f>
        <v/>
      </c>
      <c r="I1297" s="18"/>
      <c r="J1297" s="18"/>
      <c r="K1297" s="18"/>
    </row>
    <row r="1298" customFormat="false" ht="15" hidden="false" customHeight="false" outlineLevel="0" collapsed="false">
      <c r="A1298" s="17"/>
      <c r="B1298" s="18"/>
      <c r="C1298" s="19"/>
      <c r="D1298" s="19"/>
      <c r="E1298" s="18"/>
      <c r="F1298" s="18"/>
      <c r="G1298" s="13" t="str">
        <f aca="false">IF(F1298="","",IFERROR(INDEX(Metas!$B$5:$B$54,MATCH(F1298,Metas!$A$5:$A$54,0)),"⚠ ID de meta no existe"))</f>
        <v/>
      </c>
      <c r="H1298" s="16" t="str">
        <f aca="false">IF(OR(C1298="",D1298=""),"",ROUND(MOD(D1298-C1298,1)*24,2))</f>
        <v/>
      </c>
      <c r="I1298" s="18"/>
      <c r="J1298" s="18"/>
      <c r="K1298" s="18"/>
    </row>
    <row r="1299" customFormat="false" ht="15" hidden="false" customHeight="false" outlineLevel="0" collapsed="false">
      <c r="A1299" s="17"/>
      <c r="B1299" s="18"/>
      <c r="C1299" s="19"/>
      <c r="D1299" s="19"/>
      <c r="E1299" s="18"/>
      <c r="F1299" s="18"/>
      <c r="G1299" s="13" t="str">
        <f aca="false">IF(F1299="","",IFERROR(INDEX(Metas!$B$5:$B$54,MATCH(F1299,Metas!$A$5:$A$54,0)),"⚠ ID de meta no existe"))</f>
        <v/>
      </c>
      <c r="H1299" s="16" t="str">
        <f aca="false">IF(OR(C1299="",D1299=""),"",ROUND(MOD(D1299-C1299,1)*24,2))</f>
        <v/>
      </c>
      <c r="I1299" s="18"/>
      <c r="J1299" s="18"/>
      <c r="K1299" s="18"/>
    </row>
    <row r="1300" customFormat="false" ht="15" hidden="false" customHeight="false" outlineLevel="0" collapsed="false">
      <c r="A1300" s="17"/>
      <c r="B1300" s="18"/>
      <c r="C1300" s="19"/>
      <c r="D1300" s="19"/>
      <c r="E1300" s="18"/>
      <c r="F1300" s="18"/>
      <c r="G1300" s="13" t="str">
        <f aca="false">IF(F1300="","",IFERROR(INDEX(Metas!$B$5:$B$54,MATCH(F1300,Metas!$A$5:$A$54,0)),"⚠ ID de meta no existe"))</f>
        <v/>
      </c>
      <c r="H1300" s="16" t="str">
        <f aca="false">IF(OR(C1300="",D1300=""),"",ROUND(MOD(D1300-C1300,1)*24,2))</f>
        <v/>
      </c>
      <c r="I1300" s="18"/>
      <c r="J1300" s="18"/>
      <c r="K1300" s="18"/>
    </row>
    <row r="1301" customFormat="false" ht="15" hidden="false" customHeight="false" outlineLevel="0" collapsed="false">
      <c r="A1301" s="17"/>
      <c r="B1301" s="18"/>
      <c r="C1301" s="19"/>
      <c r="D1301" s="19"/>
      <c r="E1301" s="18"/>
      <c r="F1301" s="18"/>
      <c r="G1301" s="13" t="str">
        <f aca="false">IF(F1301="","",IFERROR(INDEX(Metas!$B$5:$B$54,MATCH(F1301,Metas!$A$5:$A$54,0)),"⚠ ID de meta no existe"))</f>
        <v/>
      </c>
      <c r="H1301" s="16" t="str">
        <f aca="false">IF(OR(C1301="",D1301=""),"",ROUND(MOD(D1301-C1301,1)*24,2))</f>
        <v/>
      </c>
      <c r="I1301" s="18"/>
      <c r="J1301" s="18"/>
      <c r="K1301" s="18"/>
    </row>
    <row r="1302" customFormat="false" ht="15" hidden="false" customHeight="false" outlineLevel="0" collapsed="false">
      <c r="A1302" s="17"/>
      <c r="B1302" s="18"/>
      <c r="C1302" s="19"/>
      <c r="D1302" s="19"/>
      <c r="E1302" s="18"/>
      <c r="F1302" s="18"/>
      <c r="G1302" s="13" t="str">
        <f aca="false">IF(F1302="","",IFERROR(INDEX(Metas!$B$5:$B$54,MATCH(F1302,Metas!$A$5:$A$54,0)),"⚠ ID de meta no existe"))</f>
        <v/>
      </c>
      <c r="H1302" s="16" t="str">
        <f aca="false">IF(OR(C1302="",D1302=""),"",ROUND(MOD(D1302-C1302,1)*24,2))</f>
        <v/>
      </c>
      <c r="I1302" s="18"/>
      <c r="J1302" s="18"/>
      <c r="K1302" s="18"/>
    </row>
    <row r="1303" customFormat="false" ht="15" hidden="false" customHeight="false" outlineLevel="0" collapsed="false">
      <c r="A1303" s="17"/>
      <c r="B1303" s="18"/>
      <c r="C1303" s="19"/>
      <c r="D1303" s="19"/>
      <c r="E1303" s="18"/>
      <c r="F1303" s="18"/>
      <c r="G1303" s="13" t="str">
        <f aca="false">IF(F1303="","",IFERROR(INDEX(Metas!$B$5:$B$54,MATCH(F1303,Metas!$A$5:$A$54,0)),"⚠ ID de meta no existe"))</f>
        <v/>
      </c>
      <c r="H1303" s="16" t="str">
        <f aca="false">IF(OR(C1303="",D1303=""),"",ROUND(MOD(D1303-C1303,1)*24,2))</f>
        <v/>
      </c>
      <c r="I1303" s="18"/>
      <c r="J1303" s="18"/>
      <c r="K1303" s="18"/>
    </row>
    <row r="1304" customFormat="false" ht="15" hidden="false" customHeight="false" outlineLevel="0" collapsed="false">
      <c r="A1304" s="17"/>
      <c r="B1304" s="18"/>
      <c r="C1304" s="19"/>
      <c r="D1304" s="19"/>
      <c r="E1304" s="18"/>
      <c r="F1304" s="18"/>
      <c r="G1304" s="13" t="str">
        <f aca="false">IF(F1304="","",IFERROR(INDEX(Metas!$B$5:$B$54,MATCH(F1304,Metas!$A$5:$A$54,0)),"⚠ ID de meta no existe"))</f>
        <v/>
      </c>
      <c r="H1304" s="16" t="str">
        <f aca="false">IF(OR(C1304="",D1304=""),"",ROUND(MOD(D1304-C1304,1)*24,2))</f>
        <v/>
      </c>
      <c r="I1304" s="18"/>
      <c r="J1304" s="18"/>
      <c r="K1304" s="18"/>
    </row>
    <row r="1305" customFormat="false" ht="15" hidden="false" customHeight="false" outlineLevel="0" collapsed="false">
      <c r="A1305" s="17"/>
      <c r="B1305" s="18"/>
      <c r="C1305" s="19"/>
      <c r="D1305" s="19"/>
      <c r="E1305" s="18"/>
      <c r="F1305" s="18"/>
      <c r="G1305" s="13" t="str">
        <f aca="false">IF(F1305="","",IFERROR(INDEX(Metas!$B$5:$B$54,MATCH(F1305,Metas!$A$5:$A$54,0)),"⚠ ID de meta no existe"))</f>
        <v/>
      </c>
      <c r="H1305" s="16" t="str">
        <f aca="false">IF(OR(C1305="",D1305=""),"",ROUND(MOD(D1305-C1305,1)*24,2))</f>
        <v/>
      </c>
      <c r="I1305" s="18"/>
      <c r="J1305" s="18"/>
      <c r="K1305" s="18"/>
    </row>
    <row r="1306" customFormat="false" ht="15" hidden="false" customHeight="false" outlineLevel="0" collapsed="false">
      <c r="A1306" s="17"/>
      <c r="B1306" s="18"/>
      <c r="C1306" s="19"/>
      <c r="D1306" s="19"/>
      <c r="E1306" s="18"/>
      <c r="F1306" s="18"/>
      <c r="G1306" s="13" t="str">
        <f aca="false">IF(F1306="","",IFERROR(INDEX(Metas!$B$5:$B$54,MATCH(F1306,Metas!$A$5:$A$54,0)),"⚠ ID de meta no existe"))</f>
        <v/>
      </c>
      <c r="H1306" s="16" t="str">
        <f aca="false">IF(OR(C1306="",D1306=""),"",ROUND(MOD(D1306-C1306,1)*24,2))</f>
        <v/>
      </c>
      <c r="I1306" s="18"/>
      <c r="J1306" s="18"/>
      <c r="K1306" s="18"/>
    </row>
    <row r="1307" customFormat="false" ht="15" hidden="false" customHeight="false" outlineLevel="0" collapsed="false">
      <c r="A1307" s="17"/>
      <c r="B1307" s="18"/>
      <c r="C1307" s="19"/>
      <c r="D1307" s="19"/>
      <c r="E1307" s="18"/>
      <c r="F1307" s="18"/>
      <c r="G1307" s="13" t="str">
        <f aca="false">IF(F1307="","",IFERROR(INDEX(Metas!$B$5:$B$54,MATCH(F1307,Metas!$A$5:$A$54,0)),"⚠ ID de meta no existe"))</f>
        <v/>
      </c>
      <c r="H1307" s="16" t="str">
        <f aca="false">IF(OR(C1307="",D1307=""),"",ROUND(MOD(D1307-C1307,1)*24,2))</f>
        <v/>
      </c>
      <c r="I1307" s="18"/>
      <c r="J1307" s="18"/>
      <c r="K1307" s="18"/>
    </row>
    <row r="1308" customFormat="false" ht="15" hidden="false" customHeight="false" outlineLevel="0" collapsed="false">
      <c r="A1308" s="17"/>
      <c r="B1308" s="18"/>
      <c r="C1308" s="19"/>
      <c r="D1308" s="19"/>
      <c r="E1308" s="18"/>
      <c r="F1308" s="18"/>
      <c r="G1308" s="13" t="str">
        <f aca="false">IF(F1308="","",IFERROR(INDEX(Metas!$B$5:$B$54,MATCH(F1308,Metas!$A$5:$A$54,0)),"⚠ ID de meta no existe"))</f>
        <v/>
      </c>
      <c r="H1308" s="16" t="str">
        <f aca="false">IF(OR(C1308="",D1308=""),"",ROUND(MOD(D1308-C1308,1)*24,2))</f>
        <v/>
      </c>
      <c r="I1308" s="18"/>
      <c r="J1308" s="18"/>
      <c r="K1308" s="18"/>
    </row>
    <row r="1309" customFormat="false" ht="15" hidden="false" customHeight="false" outlineLevel="0" collapsed="false">
      <c r="A1309" s="17"/>
      <c r="B1309" s="18"/>
      <c r="C1309" s="19"/>
      <c r="D1309" s="19"/>
      <c r="E1309" s="18"/>
      <c r="F1309" s="18"/>
      <c r="G1309" s="13" t="str">
        <f aca="false">IF(F1309="","",IFERROR(INDEX(Metas!$B$5:$B$54,MATCH(F1309,Metas!$A$5:$A$54,0)),"⚠ ID de meta no existe"))</f>
        <v/>
      </c>
      <c r="H1309" s="16" t="str">
        <f aca="false">IF(OR(C1309="",D1309=""),"",ROUND(MOD(D1309-C1309,1)*24,2))</f>
        <v/>
      </c>
      <c r="I1309" s="18"/>
      <c r="J1309" s="18"/>
      <c r="K1309" s="18"/>
    </row>
    <row r="1310" customFormat="false" ht="15" hidden="false" customHeight="false" outlineLevel="0" collapsed="false">
      <c r="A1310" s="17"/>
      <c r="B1310" s="18"/>
      <c r="C1310" s="19"/>
      <c r="D1310" s="19"/>
      <c r="E1310" s="18"/>
      <c r="F1310" s="18"/>
      <c r="G1310" s="13" t="str">
        <f aca="false">IF(F1310="","",IFERROR(INDEX(Metas!$B$5:$B$54,MATCH(F1310,Metas!$A$5:$A$54,0)),"⚠ ID de meta no existe"))</f>
        <v/>
      </c>
      <c r="H1310" s="16" t="str">
        <f aca="false">IF(OR(C1310="",D1310=""),"",ROUND(MOD(D1310-C1310,1)*24,2))</f>
        <v/>
      </c>
      <c r="I1310" s="18"/>
      <c r="J1310" s="18"/>
      <c r="K1310" s="18"/>
    </row>
    <row r="1311" customFormat="false" ht="15" hidden="false" customHeight="false" outlineLevel="0" collapsed="false">
      <c r="A1311" s="17"/>
      <c r="B1311" s="18"/>
      <c r="C1311" s="19"/>
      <c r="D1311" s="19"/>
      <c r="E1311" s="18"/>
      <c r="F1311" s="18"/>
      <c r="G1311" s="13" t="str">
        <f aca="false">IF(F1311="","",IFERROR(INDEX(Metas!$B$5:$B$54,MATCH(F1311,Metas!$A$5:$A$54,0)),"⚠ ID de meta no existe"))</f>
        <v/>
      </c>
      <c r="H1311" s="16" t="str">
        <f aca="false">IF(OR(C1311="",D1311=""),"",ROUND(MOD(D1311-C1311,1)*24,2))</f>
        <v/>
      </c>
      <c r="I1311" s="18"/>
      <c r="J1311" s="18"/>
      <c r="K1311" s="18"/>
    </row>
    <row r="1312" customFormat="false" ht="15" hidden="false" customHeight="false" outlineLevel="0" collapsed="false">
      <c r="A1312" s="17"/>
      <c r="B1312" s="18"/>
      <c r="C1312" s="19"/>
      <c r="D1312" s="19"/>
      <c r="E1312" s="18"/>
      <c r="F1312" s="18"/>
      <c r="G1312" s="13" t="str">
        <f aca="false">IF(F1312="","",IFERROR(INDEX(Metas!$B$5:$B$54,MATCH(F1312,Metas!$A$5:$A$54,0)),"⚠ ID de meta no existe"))</f>
        <v/>
      </c>
      <c r="H1312" s="16" t="str">
        <f aca="false">IF(OR(C1312="",D1312=""),"",ROUND(MOD(D1312-C1312,1)*24,2))</f>
        <v/>
      </c>
      <c r="I1312" s="18"/>
      <c r="J1312" s="18"/>
      <c r="K1312" s="18"/>
    </row>
    <row r="1313" customFormat="false" ht="15" hidden="false" customHeight="false" outlineLevel="0" collapsed="false">
      <c r="A1313" s="17"/>
      <c r="B1313" s="18"/>
      <c r="C1313" s="19"/>
      <c r="D1313" s="19"/>
      <c r="E1313" s="18"/>
      <c r="F1313" s="18"/>
      <c r="G1313" s="13" t="str">
        <f aca="false">IF(F1313="","",IFERROR(INDEX(Metas!$B$5:$B$54,MATCH(F1313,Metas!$A$5:$A$54,0)),"⚠ ID de meta no existe"))</f>
        <v/>
      </c>
      <c r="H1313" s="16" t="str">
        <f aca="false">IF(OR(C1313="",D1313=""),"",ROUND(MOD(D1313-C1313,1)*24,2))</f>
        <v/>
      </c>
      <c r="I1313" s="18"/>
      <c r="J1313" s="18"/>
      <c r="K1313" s="18"/>
    </row>
    <row r="1314" customFormat="false" ht="15" hidden="false" customHeight="false" outlineLevel="0" collapsed="false">
      <c r="A1314" s="17"/>
      <c r="B1314" s="18"/>
      <c r="C1314" s="19"/>
      <c r="D1314" s="19"/>
      <c r="E1314" s="18"/>
      <c r="F1314" s="18"/>
      <c r="G1314" s="13" t="str">
        <f aca="false">IF(F1314="","",IFERROR(INDEX(Metas!$B$5:$B$54,MATCH(F1314,Metas!$A$5:$A$54,0)),"⚠ ID de meta no existe"))</f>
        <v/>
      </c>
      <c r="H1314" s="16" t="str">
        <f aca="false">IF(OR(C1314="",D1314=""),"",ROUND(MOD(D1314-C1314,1)*24,2))</f>
        <v/>
      </c>
      <c r="I1314" s="18"/>
      <c r="J1314" s="18"/>
      <c r="K1314" s="18"/>
    </row>
    <row r="1315" customFormat="false" ht="15" hidden="false" customHeight="false" outlineLevel="0" collapsed="false">
      <c r="A1315" s="17"/>
      <c r="B1315" s="18"/>
      <c r="C1315" s="19"/>
      <c r="D1315" s="19"/>
      <c r="E1315" s="18"/>
      <c r="F1315" s="18"/>
      <c r="G1315" s="13" t="str">
        <f aca="false">IF(F1315="","",IFERROR(INDEX(Metas!$B$5:$B$54,MATCH(F1315,Metas!$A$5:$A$54,0)),"⚠ ID de meta no existe"))</f>
        <v/>
      </c>
      <c r="H1315" s="16" t="str">
        <f aca="false">IF(OR(C1315="",D1315=""),"",ROUND(MOD(D1315-C1315,1)*24,2))</f>
        <v/>
      </c>
      <c r="I1315" s="18"/>
      <c r="J1315" s="18"/>
      <c r="K1315" s="18"/>
    </row>
    <row r="1316" customFormat="false" ht="15" hidden="false" customHeight="false" outlineLevel="0" collapsed="false">
      <c r="A1316" s="17"/>
      <c r="B1316" s="18"/>
      <c r="C1316" s="19"/>
      <c r="D1316" s="19"/>
      <c r="E1316" s="18"/>
      <c r="F1316" s="18"/>
      <c r="G1316" s="13" t="str">
        <f aca="false">IF(F1316="","",IFERROR(INDEX(Metas!$B$5:$B$54,MATCH(F1316,Metas!$A$5:$A$54,0)),"⚠ ID de meta no existe"))</f>
        <v/>
      </c>
      <c r="H1316" s="16" t="str">
        <f aca="false">IF(OR(C1316="",D1316=""),"",ROUND(MOD(D1316-C1316,1)*24,2))</f>
        <v/>
      </c>
      <c r="I1316" s="18"/>
      <c r="J1316" s="18"/>
      <c r="K1316" s="18"/>
    </row>
    <row r="1317" customFormat="false" ht="15" hidden="false" customHeight="false" outlineLevel="0" collapsed="false">
      <c r="A1317" s="17"/>
      <c r="B1317" s="18"/>
      <c r="C1317" s="19"/>
      <c r="D1317" s="19"/>
      <c r="E1317" s="18"/>
      <c r="F1317" s="18"/>
      <c r="G1317" s="13" t="str">
        <f aca="false">IF(F1317="","",IFERROR(INDEX(Metas!$B$5:$B$54,MATCH(F1317,Metas!$A$5:$A$54,0)),"⚠ ID de meta no existe"))</f>
        <v/>
      </c>
      <c r="H1317" s="16" t="str">
        <f aca="false">IF(OR(C1317="",D1317=""),"",ROUND(MOD(D1317-C1317,1)*24,2))</f>
        <v/>
      </c>
      <c r="I1317" s="18"/>
      <c r="J1317" s="18"/>
      <c r="K1317" s="18"/>
    </row>
    <row r="1318" customFormat="false" ht="15" hidden="false" customHeight="false" outlineLevel="0" collapsed="false">
      <c r="A1318" s="17"/>
      <c r="B1318" s="18"/>
      <c r="C1318" s="19"/>
      <c r="D1318" s="19"/>
      <c r="E1318" s="18"/>
      <c r="F1318" s="18"/>
      <c r="G1318" s="13" t="str">
        <f aca="false">IF(F1318="","",IFERROR(INDEX(Metas!$B$5:$B$54,MATCH(F1318,Metas!$A$5:$A$54,0)),"⚠ ID de meta no existe"))</f>
        <v/>
      </c>
      <c r="H1318" s="16" t="str">
        <f aca="false">IF(OR(C1318="",D1318=""),"",ROUND(MOD(D1318-C1318,1)*24,2))</f>
        <v/>
      </c>
      <c r="I1318" s="18"/>
      <c r="J1318" s="18"/>
      <c r="K1318" s="18"/>
    </row>
    <row r="1319" customFormat="false" ht="15" hidden="false" customHeight="false" outlineLevel="0" collapsed="false">
      <c r="A1319" s="17"/>
      <c r="B1319" s="18"/>
      <c r="C1319" s="19"/>
      <c r="D1319" s="19"/>
      <c r="E1319" s="18"/>
      <c r="F1319" s="18"/>
      <c r="G1319" s="13" t="str">
        <f aca="false">IF(F1319="","",IFERROR(INDEX(Metas!$B$5:$B$54,MATCH(F1319,Metas!$A$5:$A$54,0)),"⚠ ID de meta no existe"))</f>
        <v/>
      </c>
      <c r="H1319" s="16" t="str">
        <f aca="false">IF(OR(C1319="",D1319=""),"",ROUND(MOD(D1319-C1319,1)*24,2))</f>
        <v/>
      </c>
      <c r="I1319" s="18"/>
      <c r="J1319" s="18"/>
      <c r="K1319" s="18"/>
    </row>
    <row r="1320" customFormat="false" ht="15" hidden="false" customHeight="false" outlineLevel="0" collapsed="false">
      <c r="A1320" s="17"/>
      <c r="B1320" s="18"/>
      <c r="C1320" s="19"/>
      <c r="D1320" s="19"/>
      <c r="E1320" s="18"/>
      <c r="F1320" s="18"/>
      <c r="G1320" s="13" t="str">
        <f aca="false">IF(F1320="","",IFERROR(INDEX(Metas!$B$5:$B$54,MATCH(F1320,Metas!$A$5:$A$54,0)),"⚠ ID de meta no existe"))</f>
        <v/>
      </c>
      <c r="H1320" s="16" t="str">
        <f aca="false">IF(OR(C1320="",D1320=""),"",ROUND(MOD(D1320-C1320,1)*24,2))</f>
        <v/>
      </c>
      <c r="I1320" s="18"/>
      <c r="J1320" s="18"/>
      <c r="K1320" s="18"/>
    </row>
    <row r="1321" customFormat="false" ht="15" hidden="false" customHeight="false" outlineLevel="0" collapsed="false">
      <c r="A1321" s="17"/>
      <c r="B1321" s="18"/>
      <c r="C1321" s="19"/>
      <c r="D1321" s="19"/>
      <c r="E1321" s="18"/>
      <c r="F1321" s="18"/>
      <c r="G1321" s="13" t="str">
        <f aca="false">IF(F1321="","",IFERROR(INDEX(Metas!$B$5:$B$54,MATCH(F1321,Metas!$A$5:$A$54,0)),"⚠ ID de meta no existe"))</f>
        <v/>
      </c>
      <c r="H1321" s="16" t="str">
        <f aca="false">IF(OR(C1321="",D1321=""),"",ROUND(MOD(D1321-C1321,1)*24,2))</f>
        <v/>
      </c>
      <c r="I1321" s="18"/>
      <c r="J1321" s="18"/>
      <c r="K1321" s="18"/>
    </row>
    <row r="1322" customFormat="false" ht="15" hidden="false" customHeight="false" outlineLevel="0" collapsed="false">
      <c r="A1322" s="17"/>
      <c r="B1322" s="18"/>
      <c r="C1322" s="19"/>
      <c r="D1322" s="19"/>
      <c r="E1322" s="18"/>
      <c r="F1322" s="18"/>
      <c r="G1322" s="13" t="str">
        <f aca="false">IF(F1322="","",IFERROR(INDEX(Metas!$B$5:$B$54,MATCH(F1322,Metas!$A$5:$A$54,0)),"⚠ ID de meta no existe"))</f>
        <v/>
      </c>
      <c r="H1322" s="16" t="str">
        <f aca="false">IF(OR(C1322="",D1322=""),"",ROUND(MOD(D1322-C1322,1)*24,2))</f>
        <v/>
      </c>
      <c r="I1322" s="18"/>
      <c r="J1322" s="18"/>
      <c r="K1322" s="18"/>
    </row>
    <row r="1323" customFormat="false" ht="15" hidden="false" customHeight="false" outlineLevel="0" collapsed="false">
      <c r="A1323" s="17"/>
      <c r="B1323" s="18"/>
      <c r="C1323" s="19"/>
      <c r="D1323" s="19"/>
      <c r="E1323" s="18"/>
      <c r="F1323" s="18"/>
      <c r="G1323" s="13" t="str">
        <f aca="false">IF(F1323="","",IFERROR(INDEX(Metas!$B$5:$B$54,MATCH(F1323,Metas!$A$5:$A$54,0)),"⚠ ID de meta no existe"))</f>
        <v/>
      </c>
      <c r="H1323" s="16" t="str">
        <f aca="false">IF(OR(C1323="",D1323=""),"",ROUND(MOD(D1323-C1323,1)*24,2))</f>
        <v/>
      </c>
      <c r="I1323" s="18"/>
      <c r="J1323" s="18"/>
      <c r="K1323" s="18"/>
    </row>
    <row r="1324" customFormat="false" ht="15" hidden="false" customHeight="false" outlineLevel="0" collapsed="false">
      <c r="A1324" s="17"/>
      <c r="B1324" s="18"/>
      <c r="C1324" s="19"/>
      <c r="D1324" s="19"/>
      <c r="E1324" s="18"/>
      <c r="F1324" s="18"/>
      <c r="G1324" s="13" t="str">
        <f aca="false">IF(F1324="","",IFERROR(INDEX(Metas!$B$5:$B$54,MATCH(F1324,Metas!$A$5:$A$54,0)),"⚠ ID de meta no existe"))</f>
        <v/>
      </c>
      <c r="H1324" s="16" t="str">
        <f aca="false">IF(OR(C1324="",D1324=""),"",ROUND(MOD(D1324-C1324,1)*24,2))</f>
        <v/>
      </c>
      <c r="I1324" s="18"/>
      <c r="J1324" s="18"/>
      <c r="K1324" s="18"/>
    </row>
    <row r="1325" customFormat="false" ht="15" hidden="false" customHeight="false" outlineLevel="0" collapsed="false">
      <c r="A1325" s="17"/>
      <c r="B1325" s="18"/>
      <c r="C1325" s="19"/>
      <c r="D1325" s="19"/>
      <c r="E1325" s="18"/>
      <c r="F1325" s="18"/>
      <c r="G1325" s="13" t="str">
        <f aca="false">IF(F1325="","",IFERROR(INDEX(Metas!$B$5:$B$54,MATCH(F1325,Metas!$A$5:$A$54,0)),"⚠ ID de meta no existe"))</f>
        <v/>
      </c>
      <c r="H1325" s="16" t="str">
        <f aca="false">IF(OR(C1325="",D1325=""),"",ROUND(MOD(D1325-C1325,1)*24,2))</f>
        <v/>
      </c>
      <c r="I1325" s="18"/>
      <c r="J1325" s="18"/>
      <c r="K1325" s="18"/>
    </row>
    <row r="1326" customFormat="false" ht="15" hidden="false" customHeight="false" outlineLevel="0" collapsed="false">
      <c r="A1326" s="17"/>
      <c r="B1326" s="18"/>
      <c r="C1326" s="19"/>
      <c r="D1326" s="19"/>
      <c r="E1326" s="18"/>
      <c r="F1326" s="18"/>
      <c r="G1326" s="13" t="str">
        <f aca="false">IF(F1326="","",IFERROR(INDEX(Metas!$B$5:$B$54,MATCH(F1326,Metas!$A$5:$A$54,0)),"⚠ ID de meta no existe"))</f>
        <v/>
      </c>
      <c r="H1326" s="16" t="str">
        <f aca="false">IF(OR(C1326="",D1326=""),"",ROUND(MOD(D1326-C1326,1)*24,2))</f>
        <v/>
      </c>
      <c r="I1326" s="18"/>
      <c r="J1326" s="18"/>
      <c r="K1326" s="18"/>
    </row>
    <row r="1327" customFormat="false" ht="15" hidden="false" customHeight="false" outlineLevel="0" collapsed="false">
      <c r="A1327" s="17"/>
      <c r="B1327" s="18"/>
      <c r="C1327" s="19"/>
      <c r="D1327" s="19"/>
      <c r="E1327" s="18"/>
      <c r="F1327" s="18"/>
      <c r="G1327" s="13" t="str">
        <f aca="false">IF(F1327="","",IFERROR(INDEX(Metas!$B$5:$B$54,MATCH(F1327,Metas!$A$5:$A$54,0)),"⚠ ID de meta no existe"))</f>
        <v/>
      </c>
      <c r="H1327" s="16" t="str">
        <f aca="false">IF(OR(C1327="",D1327=""),"",ROUND(MOD(D1327-C1327,1)*24,2))</f>
        <v/>
      </c>
      <c r="I1327" s="18"/>
      <c r="J1327" s="18"/>
      <c r="K1327" s="18"/>
    </row>
    <row r="1328" customFormat="false" ht="15" hidden="false" customHeight="false" outlineLevel="0" collapsed="false">
      <c r="A1328" s="17"/>
      <c r="B1328" s="18"/>
      <c r="C1328" s="19"/>
      <c r="D1328" s="19"/>
      <c r="E1328" s="18"/>
      <c r="F1328" s="18"/>
      <c r="G1328" s="13" t="str">
        <f aca="false">IF(F1328="","",IFERROR(INDEX(Metas!$B$5:$B$54,MATCH(F1328,Metas!$A$5:$A$54,0)),"⚠ ID de meta no existe"))</f>
        <v/>
      </c>
      <c r="H1328" s="16" t="str">
        <f aca="false">IF(OR(C1328="",D1328=""),"",ROUND(MOD(D1328-C1328,1)*24,2))</f>
        <v/>
      </c>
      <c r="I1328" s="18"/>
      <c r="J1328" s="18"/>
      <c r="K1328" s="18"/>
    </row>
    <row r="1329" customFormat="false" ht="15" hidden="false" customHeight="false" outlineLevel="0" collapsed="false">
      <c r="A1329" s="17"/>
      <c r="B1329" s="18"/>
      <c r="C1329" s="19"/>
      <c r="D1329" s="19"/>
      <c r="E1329" s="18"/>
      <c r="F1329" s="18"/>
      <c r="G1329" s="13" t="str">
        <f aca="false">IF(F1329="","",IFERROR(INDEX(Metas!$B$5:$B$54,MATCH(F1329,Metas!$A$5:$A$54,0)),"⚠ ID de meta no existe"))</f>
        <v/>
      </c>
      <c r="H1329" s="16" t="str">
        <f aca="false">IF(OR(C1329="",D1329=""),"",ROUND(MOD(D1329-C1329,1)*24,2))</f>
        <v/>
      </c>
      <c r="I1329" s="18"/>
      <c r="J1329" s="18"/>
      <c r="K1329" s="18"/>
    </row>
    <row r="1330" customFormat="false" ht="15" hidden="false" customHeight="false" outlineLevel="0" collapsed="false">
      <c r="A1330" s="17"/>
      <c r="B1330" s="18"/>
      <c r="C1330" s="19"/>
      <c r="D1330" s="19"/>
      <c r="E1330" s="18"/>
      <c r="F1330" s="18"/>
      <c r="G1330" s="13" t="str">
        <f aca="false">IF(F1330="","",IFERROR(INDEX(Metas!$B$5:$B$54,MATCH(F1330,Metas!$A$5:$A$54,0)),"⚠ ID de meta no existe"))</f>
        <v/>
      </c>
      <c r="H1330" s="16" t="str">
        <f aca="false">IF(OR(C1330="",D1330=""),"",ROUND(MOD(D1330-C1330,1)*24,2))</f>
        <v/>
      </c>
      <c r="I1330" s="18"/>
      <c r="J1330" s="18"/>
      <c r="K1330" s="18"/>
    </row>
    <row r="1331" customFormat="false" ht="15" hidden="false" customHeight="false" outlineLevel="0" collapsed="false">
      <c r="A1331" s="17"/>
      <c r="B1331" s="18"/>
      <c r="C1331" s="19"/>
      <c r="D1331" s="19"/>
      <c r="E1331" s="18"/>
      <c r="F1331" s="18"/>
      <c r="G1331" s="13" t="str">
        <f aca="false">IF(F1331="","",IFERROR(INDEX(Metas!$B$5:$B$54,MATCH(F1331,Metas!$A$5:$A$54,0)),"⚠ ID de meta no existe"))</f>
        <v/>
      </c>
      <c r="H1331" s="16" t="str">
        <f aca="false">IF(OR(C1331="",D1331=""),"",ROUND(MOD(D1331-C1331,1)*24,2))</f>
        <v/>
      </c>
      <c r="I1331" s="18"/>
      <c r="J1331" s="18"/>
      <c r="K1331" s="18"/>
    </row>
    <row r="1332" customFormat="false" ht="15" hidden="false" customHeight="false" outlineLevel="0" collapsed="false">
      <c r="A1332" s="17"/>
      <c r="B1332" s="18"/>
      <c r="C1332" s="19"/>
      <c r="D1332" s="19"/>
      <c r="E1332" s="18"/>
      <c r="F1332" s="18"/>
      <c r="G1332" s="13" t="str">
        <f aca="false">IF(F1332="","",IFERROR(INDEX(Metas!$B$5:$B$54,MATCH(F1332,Metas!$A$5:$A$54,0)),"⚠ ID de meta no existe"))</f>
        <v/>
      </c>
      <c r="H1332" s="16" t="str">
        <f aca="false">IF(OR(C1332="",D1332=""),"",ROUND(MOD(D1332-C1332,1)*24,2))</f>
        <v/>
      </c>
      <c r="I1332" s="18"/>
      <c r="J1332" s="18"/>
      <c r="K1332" s="18"/>
    </row>
    <row r="1333" customFormat="false" ht="15" hidden="false" customHeight="false" outlineLevel="0" collapsed="false">
      <c r="A1333" s="17"/>
      <c r="B1333" s="18"/>
      <c r="C1333" s="19"/>
      <c r="D1333" s="19"/>
      <c r="E1333" s="18"/>
      <c r="F1333" s="18"/>
      <c r="G1333" s="13" t="str">
        <f aca="false">IF(F1333="","",IFERROR(INDEX(Metas!$B$5:$B$54,MATCH(F1333,Metas!$A$5:$A$54,0)),"⚠ ID de meta no existe"))</f>
        <v/>
      </c>
      <c r="H1333" s="16" t="str">
        <f aca="false">IF(OR(C1333="",D1333=""),"",ROUND(MOD(D1333-C1333,1)*24,2))</f>
        <v/>
      </c>
      <c r="I1333" s="18"/>
      <c r="J1333" s="18"/>
      <c r="K1333" s="18"/>
    </row>
    <row r="1334" customFormat="false" ht="15" hidden="false" customHeight="false" outlineLevel="0" collapsed="false">
      <c r="A1334" s="17"/>
      <c r="B1334" s="18"/>
      <c r="C1334" s="19"/>
      <c r="D1334" s="19"/>
      <c r="E1334" s="18"/>
      <c r="F1334" s="18"/>
      <c r="G1334" s="13" t="str">
        <f aca="false">IF(F1334="","",IFERROR(INDEX(Metas!$B$5:$B$54,MATCH(F1334,Metas!$A$5:$A$54,0)),"⚠ ID de meta no existe"))</f>
        <v/>
      </c>
      <c r="H1334" s="16" t="str">
        <f aca="false">IF(OR(C1334="",D1334=""),"",ROUND(MOD(D1334-C1334,1)*24,2))</f>
        <v/>
      </c>
      <c r="I1334" s="18"/>
      <c r="J1334" s="18"/>
      <c r="K1334" s="18"/>
    </row>
    <row r="1335" customFormat="false" ht="15" hidden="false" customHeight="false" outlineLevel="0" collapsed="false">
      <c r="A1335" s="17"/>
      <c r="B1335" s="18"/>
      <c r="C1335" s="19"/>
      <c r="D1335" s="19"/>
      <c r="E1335" s="18"/>
      <c r="F1335" s="18"/>
      <c r="G1335" s="13" t="str">
        <f aca="false">IF(F1335="","",IFERROR(INDEX(Metas!$B$5:$B$54,MATCH(F1335,Metas!$A$5:$A$54,0)),"⚠ ID de meta no existe"))</f>
        <v/>
      </c>
      <c r="H1335" s="16" t="str">
        <f aca="false">IF(OR(C1335="",D1335=""),"",ROUND(MOD(D1335-C1335,1)*24,2))</f>
        <v/>
      </c>
      <c r="I1335" s="18"/>
      <c r="J1335" s="18"/>
      <c r="K1335" s="18"/>
    </row>
    <row r="1336" customFormat="false" ht="15" hidden="false" customHeight="false" outlineLevel="0" collapsed="false">
      <c r="A1336" s="17"/>
      <c r="B1336" s="18"/>
      <c r="C1336" s="19"/>
      <c r="D1336" s="19"/>
      <c r="E1336" s="18"/>
      <c r="F1336" s="18"/>
      <c r="G1336" s="13" t="str">
        <f aca="false">IF(F1336="","",IFERROR(INDEX(Metas!$B$5:$B$54,MATCH(F1336,Metas!$A$5:$A$54,0)),"⚠ ID de meta no existe"))</f>
        <v/>
      </c>
      <c r="H1336" s="16" t="str">
        <f aca="false">IF(OR(C1336="",D1336=""),"",ROUND(MOD(D1336-C1336,1)*24,2))</f>
        <v/>
      </c>
      <c r="I1336" s="18"/>
      <c r="J1336" s="18"/>
      <c r="K1336" s="18"/>
    </row>
    <row r="1337" customFormat="false" ht="15" hidden="false" customHeight="false" outlineLevel="0" collapsed="false">
      <c r="A1337" s="17"/>
      <c r="B1337" s="18"/>
      <c r="C1337" s="19"/>
      <c r="D1337" s="19"/>
      <c r="E1337" s="18"/>
      <c r="F1337" s="18"/>
      <c r="G1337" s="13" t="str">
        <f aca="false">IF(F1337="","",IFERROR(INDEX(Metas!$B$5:$B$54,MATCH(F1337,Metas!$A$5:$A$54,0)),"⚠ ID de meta no existe"))</f>
        <v/>
      </c>
      <c r="H1337" s="16" t="str">
        <f aca="false">IF(OR(C1337="",D1337=""),"",ROUND(MOD(D1337-C1337,1)*24,2))</f>
        <v/>
      </c>
      <c r="I1337" s="18"/>
      <c r="J1337" s="18"/>
      <c r="K1337" s="18"/>
    </row>
    <row r="1338" customFormat="false" ht="15" hidden="false" customHeight="false" outlineLevel="0" collapsed="false">
      <c r="A1338" s="17"/>
      <c r="B1338" s="18"/>
      <c r="C1338" s="19"/>
      <c r="D1338" s="19"/>
      <c r="E1338" s="18"/>
      <c r="F1338" s="18"/>
      <c r="G1338" s="13" t="str">
        <f aca="false">IF(F1338="","",IFERROR(INDEX(Metas!$B$5:$B$54,MATCH(F1338,Metas!$A$5:$A$54,0)),"⚠ ID de meta no existe"))</f>
        <v/>
      </c>
      <c r="H1338" s="16" t="str">
        <f aca="false">IF(OR(C1338="",D1338=""),"",ROUND(MOD(D1338-C1338,1)*24,2))</f>
        <v/>
      </c>
      <c r="I1338" s="18"/>
      <c r="J1338" s="18"/>
      <c r="K1338" s="18"/>
    </row>
    <row r="1339" customFormat="false" ht="15" hidden="false" customHeight="false" outlineLevel="0" collapsed="false">
      <c r="A1339" s="17"/>
      <c r="B1339" s="18"/>
      <c r="C1339" s="19"/>
      <c r="D1339" s="19"/>
      <c r="E1339" s="18"/>
      <c r="F1339" s="18"/>
      <c r="G1339" s="13" t="str">
        <f aca="false">IF(F1339="","",IFERROR(INDEX(Metas!$B$5:$B$54,MATCH(F1339,Metas!$A$5:$A$54,0)),"⚠ ID de meta no existe"))</f>
        <v/>
      </c>
      <c r="H1339" s="16" t="str">
        <f aca="false">IF(OR(C1339="",D1339=""),"",ROUND(MOD(D1339-C1339,1)*24,2))</f>
        <v/>
      </c>
      <c r="I1339" s="18"/>
      <c r="J1339" s="18"/>
      <c r="K1339" s="18"/>
    </row>
    <row r="1340" customFormat="false" ht="15" hidden="false" customHeight="false" outlineLevel="0" collapsed="false">
      <c r="A1340" s="17"/>
      <c r="B1340" s="18"/>
      <c r="C1340" s="19"/>
      <c r="D1340" s="19"/>
      <c r="E1340" s="18"/>
      <c r="F1340" s="18"/>
      <c r="G1340" s="13" t="str">
        <f aca="false">IF(F1340="","",IFERROR(INDEX(Metas!$B$5:$B$54,MATCH(F1340,Metas!$A$5:$A$54,0)),"⚠ ID de meta no existe"))</f>
        <v/>
      </c>
      <c r="H1340" s="16" t="str">
        <f aca="false">IF(OR(C1340="",D1340=""),"",ROUND(MOD(D1340-C1340,1)*24,2))</f>
        <v/>
      </c>
      <c r="I1340" s="18"/>
      <c r="J1340" s="18"/>
      <c r="K1340" s="18"/>
    </row>
    <row r="1341" customFormat="false" ht="15" hidden="false" customHeight="false" outlineLevel="0" collapsed="false">
      <c r="A1341" s="17"/>
      <c r="B1341" s="18"/>
      <c r="C1341" s="19"/>
      <c r="D1341" s="19"/>
      <c r="E1341" s="18"/>
      <c r="F1341" s="18"/>
      <c r="G1341" s="13" t="str">
        <f aca="false">IF(F1341="","",IFERROR(INDEX(Metas!$B$5:$B$54,MATCH(F1341,Metas!$A$5:$A$54,0)),"⚠ ID de meta no existe"))</f>
        <v/>
      </c>
      <c r="H1341" s="16" t="str">
        <f aca="false">IF(OR(C1341="",D1341=""),"",ROUND(MOD(D1341-C1341,1)*24,2))</f>
        <v/>
      </c>
      <c r="I1341" s="18"/>
      <c r="J1341" s="18"/>
      <c r="K1341" s="18"/>
    </row>
    <row r="1342" customFormat="false" ht="15" hidden="false" customHeight="false" outlineLevel="0" collapsed="false">
      <c r="A1342" s="17"/>
      <c r="B1342" s="18"/>
      <c r="C1342" s="19"/>
      <c r="D1342" s="19"/>
      <c r="E1342" s="18"/>
      <c r="F1342" s="18"/>
      <c r="G1342" s="13" t="str">
        <f aca="false">IF(F1342="","",IFERROR(INDEX(Metas!$B$5:$B$54,MATCH(F1342,Metas!$A$5:$A$54,0)),"⚠ ID de meta no existe"))</f>
        <v/>
      </c>
      <c r="H1342" s="16" t="str">
        <f aca="false">IF(OR(C1342="",D1342=""),"",ROUND(MOD(D1342-C1342,1)*24,2))</f>
        <v/>
      </c>
      <c r="I1342" s="18"/>
      <c r="J1342" s="18"/>
      <c r="K1342" s="18"/>
    </row>
    <row r="1343" customFormat="false" ht="15" hidden="false" customHeight="false" outlineLevel="0" collapsed="false">
      <c r="A1343" s="17"/>
      <c r="B1343" s="18"/>
      <c r="C1343" s="19"/>
      <c r="D1343" s="19"/>
      <c r="E1343" s="18"/>
      <c r="F1343" s="18"/>
      <c r="G1343" s="13" t="str">
        <f aca="false">IF(F1343="","",IFERROR(INDEX(Metas!$B$5:$B$54,MATCH(F1343,Metas!$A$5:$A$54,0)),"⚠ ID de meta no existe"))</f>
        <v/>
      </c>
      <c r="H1343" s="16" t="str">
        <f aca="false">IF(OR(C1343="",D1343=""),"",ROUND(MOD(D1343-C1343,1)*24,2))</f>
        <v/>
      </c>
      <c r="I1343" s="18"/>
      <c r="J1343" s="18"/>
      <c r="K1343" s="18"/>
    </row>
    <row r="1344" customFormat="false" ht="15" hidden="false" customHeight="false" outlineLevel="0" collapsed="false">
      <c r="A1344" s="17"/>
      <c r="B1344" s="18"/>
      <c r="C1344" s="19"/>
      <c r="D1344" s="19"/>
      <c r="E1344" s="18"/>
      <c r="F1344" s="18"/>
      <c r="G1344" s="13" t="str">
        <f aca="false">IF(F1344="","",IFERROR(INDEX(Metas!$B$5:$B$54,MATCH(F1344,Metas!$A$5:$A$54,0)),"⚠ ID de meta no existe"))</f>
        <v/>
      </c>
      <c r="H1344" s="16" t="str">
        <f aca="false">IF(OR(C1344="",D1344=""),"",ROUND(MOD(D1344-C1344,1)*24,2))</f>
        <v/>
      </c>
      <c r="I1344" s="18"/>
      <c r="J1344" s="18"/>
      <c r="K1344" s="18"/>
    </row>
    <row r="1345" customFormat="false" ht="15" hidden="false" customHeight="false" outlineLevel="0" collapsed="false">
      <c r="A1345" s="17"/>
      <c r="B1345" s="18"/>
      <c r="C1345" s="19"/>
      <c r="D1345" s="19"/>
      <c r="E1345" s="18"/>
      <c r="F1345" s="18"/>
      <c r="G1345" s="13" t="str">
        <f aca="false">IF(F1345="","",IFERROR(INDEX(Metas!$B$5:$B$54,MATCH(F1345,Metas!$A$5:$A$54,0)),"⚠ ID de meta no existe"))</f>
        <v/>
      </c>
      <c r="H1345" s="16" t="str">
        <f aca="false">IF(OR(C1345="",D1345=""),"",ROUND(MOD(D1345-C1345,1)*24,2))</f>
        <v/>
      </c>
      <c r="I1345" s="18"/>
      <c r="J1345" s="18"/>
      <c r="K1345" s="18"/>
    </row>
    <row r="1346" customFormat="false" ht="15" hidden="false" customHeight="false" outlineLevel="0" collapsed="false">
      <c r="A1346" s="17"/>
      <c r="B1346" s="18"/>
      <c r="C1346" s="19"/>
      <c r="D1346" s="19"/>
      <c r="E1346" s="18"/>
      <c r="F1346" s="18"/>
      <c r="G1346" s="13" t="str">
        <f aca="false">IF(F1346="","",IFERROR(INDEX(Metas!$B$5:$B$54,MATCH(F1346,Metas!$A$5:$A$54,0)),"⚠ ID de meta no existe"))</f>
        <v/>
      </c>
      <c r="H1346" s="16" t="str">
        <f aca="false">IF(OR(C1346="",D1346=""),"",ROUND(MOD(D1346-C1346,1)*24,2))</f>
        <v/>
      </c>
      <c r="I1346" s="18"/>
      <c r="J1346" s="18"/>
      <c r="K1346" s="18"/>
    </row>
    <row r="1347" customFormat="false" ht="15" hidden="false" customHeight="false" outlineLevel="0" collapsed="false">
      <c r="A1347" s="17"/>
      <c r="B1347" s="18"/>
      <c r="C1347" s="19"/>
      <c r="D1347" s="19"/>
      <c r="E1347" s="18"/>
      <c r="F1347" s="18"/>
      <c r="G1347" s="13" t="str">
        <f aca="false">IF(F1347="","",IFERROR(INDEX(Metas!$B$5:$B$54,MATCH(F1347,Metas!$A$5:$A$54,0)),"⚠ ID de meta no existe"))</f>
        <v/>
      </c>
      <c r="H1347" s="16" t="str">
        <f aca="false">IF(OR(C1347="",D1347=""),"",ROUND(MOD(D1347-C1347,1)*24,2))</f>
        <v/>
      </c>
      <c r="I1347" s="18"/>
      <c r="J1347" s="18"/>
      <c r="K1347" s="18"/>
    </row>
    <row r="1348" customFormat="false" ht="15" hidden="false" customHeight="false" outlineLevel="0" collapsed="false">
      <c r="A1348" s="17"/>
      <c r="B1348" s="18"/>
      <c r="C1348" s="19"/>
      <c r="D1348" s="19"/>
      <c r="E1348" s="18"/>
      <c r="F1348" s="18"/>
      <c r="G1348" s="13" t="str">
        <f aca="false">IF(F1348="","",IFERROR(INDEX(Metas!$B$5:$B$54,MATCH(F1348,Metas!$A$5:$A$54,0)),"⚠ ID de meta no existe"))</f>
        <v/>
      </c>
      <c r="H1348" s="16" t="str">
        <f aca="false">IF(OR(C1348="",D1348=""),"",ROUND(MOD(D1348-C1348,1)*24,2))</f>
        <v/>
      </c>
      <c r="I1348" s="18"/>
      <c r="J1348" s="18"/>
      <c r="K1348" s="18"/>
    </row>
    <row r="1349" customFormat="false" ht="15" hidden="false" customHeight="false" outlineLevel="0" collapsed="false">
      <c r="A1349" s="17"/>
      <c r="B1349" s="18"/>
      <c r="C1349" s="19"/>
      <c r="D1349" s="19"/>
      <c r="E1349" s="18"/>
      <c r="F1349" s="18"/>
      <c r="G1349" s="13" t="str">
        <f aca="false">IF(F1349="","",IFERROR(INDEX(Metas!$B$5:$B$54,MATCH(F1349,Metas!$A$5:$A$54,0)),"⚠ ID de meta no existe"))</f>
        <v/>
      </c>
      <c r="H1349" s="16" t="str">
        <f aca="false">IF(OR(C1349="",D1349=""),"",ROUND(MOD(D1349-C1349,1)*24,2))</f>
        <v/>
      </c>
      <c r="I1349" s="18"/>
      <c r="J1349" s="18"/>
      <c r="K1349" s="18"/>
    </row>
    <row r="1350" customFormat="false" ht="15" hidden="false" customHeight="false" outlineLevel="0" collapsed="false">
      <c r="A1350" s="17"/>
      <c r="B1350" s="18"/>
      <c r="C1350" s="19"/>
      <c r="D1350" s="19"/>
      <c r="E1350" s="18"/>
      <c r="F1350" s="18"/>
      <c r="G1350" s="13" t="str">
        <f aca="false">IF(F1350="","",IFERROR(INDEX(Metas!$B$5:$B$54,MATCH(F1350,Metas!$A$5:$A$54,0)),"⚠ ID de meta no existe"))</f>
        <v/>
      </c>
      <c r="H1350" s="16" t="str">
        <f aca="false">IF(OR(C1350="",D1350=""),"",ROUND(MOD(D1350-C1350,1)*24,2))</f>
        <v/>
      </c>
      <c r="I1350" s="18"/>
      <c r="J1350" s="18"/>
      <c r="K1350" s="18"/>
    </row>
    <row r="1351" customFormat="false" ht="15" hidden="false" customHeight="false" outlineLevel="0" collapsed="false">
      <c r="A1351" s="17"/>
      <c r="B1351" s="18"/>
      <c r="C1351" s="19"/>
      <c r="D1351" s="19"/>
      <c r="E1351" s="18"/>
      <c r="F1351" s="18"/>
      <c r="G1351" s="13" t="str">
        <f aca="false">IF(F1351="","",IFERROR(INDEX(Metas!$B$5:$B$54,MATCH(F1351,Metas!$A$5:$A$54,0)),"⚠ ID de meta no existe"))</f>
        <v/>
      </c>
      <c r="H1351" s="16" t="str">
        <f aca="false">IF(OR(C1351="",D1351=""),"",ROUND(MOD(D1351-C1351,1)*24,2))</f>
        <v/>
      </c>
      <c r="I1351" s="18"/>
      <c r="J1351" s="18"/>
      <c r="K1351" s="18"/>
    </row>
    <row r="1352" customFormat="false" ht="15" hidden="false" customHeight="false" outlineLevel="0" collapsed="false">
      <c r="A1352" s="17"/>
      <c r="B1352" s="18"/>
      <c r="C1352" s="19"/>
      <c r="D1352" s="19"/>
      <c r="E1352" s="18"/>
      <c r="F1352" s="18"/>
      <c r="G1352" s="13" t="str">
        <f aca="false">IF(F1352="","",IFERROR(INDEX(Metas!$B$5:$B$54,MATCH(F1352,Metas!$A$5:$A$54,0)),"⚠ ID de meta no existe"))</f>
        <v/>
      </c>
      <c r="H1352" s="16" t="str">
        <f aca="false">IF(OR(C1352="",D1352=""),"",ROUND(MOD(D1352-C1352,1)*24,2))</f>
        <v/>
      </c>
      <c r="I1352" s="18"/>
      <c r="J1352" s="18"/>
      <c r="K1352" s="18"/>
    </row>
    <row r="1353" customFormat="false" ht="15" hidden="false" customHeight="false" outlineLevel="0" collapsed="false">
      <c r="A1353" s="17"/>
      <c r="B1353" s="18"/>
      <c r="C1353" s="19"/>
      <c r="D1353" s="19"/>
      <c r="E1353" s="18"/>
      <c r="F1353" s="18"/>
      <c r="G1353" s="13" t="str">
        <f aca="false">IF(F1353="","",IFERROR(INDEX(Metas!$B$5:$B$54,MATCH(F1353,Metas!$A$5:$A$54,0)),"⚠ ID de meta no existe"))</f>
        <v/>
      </c>
      <c r="H1353" s="16" t="str">
        <f aca="false">IF(OR(C1353="",D1353=""),"",ROUND(MOD(D1353-C1353,1)*24,2))</f>
        <v/>
      </c>
      <c r="I1353" s="18"/>
      <c r="J1353" s="18"/>
      <c r="K1353" s="18"/>
    </row>
    <row r="1354" customFormat="false" ht="15" hidden="false" customHeight="false" outlineLevel="0" collapsed="false">
      <c r="A1354" s="17"/>
      <c r="B1354" s="18"/>
      <c r="C1354" s="19"/>
      <c r="D1354" s="19"/>
      <c r="E1354" s="18"/>
      <c r="F1354" s="18"/>
      <c r="G1354" s="13" t="str">
        <f aca="false">IF(F1354="","",IFERROR(INDEX(Metas!$B$5:$B$54,MATCH(F1354,Metas!$A$5:$A$54,0)),"⚠ ID de meta no existe"))</f>
        <v/>
      </c>
      <c r="H1354" s="16" t="str">
        <f aca="false">IF(OR(C1354="",D1354=""),"",ROUND(MOD(D1354-C1354,1)*24,2))</f>
        <v/>
      </c>
      <c r="I1354" s="18"/>
      <c r="J1354" s="18"/>
      <c r="K1354" s="18"/>
    </row>
    <row r="1355" customFormat="false" ht="15" hidden="false" customHeight="false" outlineLevel="0" collapsed="false">
      <c r="A1355" s="17"/>
      <c r="B1355" s="18"/>
      <c r="C1355" s="19"/>
      <c r="D1355" s="19"/>
      <c r="E1355" s="18"/>
      <c r="F1355" s="18"/>
      <c r="G1355" s="13" t="str">
        <f aca="false">IF(F1355="","",IFERROR(INDEX(Metas!$B$5:$B$54,MATCH(F1355,Metas!$A$5:$A$54,0)),"⚠ ID de meta no existe"))</f>
        <v/>
      </c>
      <c r="H1355" s="16" t="str">
        <f aca="false">IF(OR(C1355="",D1355=""),"",ROUND(MOD(D1355-C1355,1)*24,2))</f>
        <v/>
      </c>
      <c r="I1355" s="18"/>
      <c r="J1355" s="18"/>
      <c r="K1355" s="18"/>
    </row>
    <row r="1356" customFormat="false" ht="15" hidden="false" customHeight="false" outlineLevel="0" collapsed="false">
      <c r="A1356" s="17"/>
      <c r="B1356" s="18"/>
      <c r="C1356" s="19"/>
      <c r="D1356" s="19"/>
      <c r="E1356" s="18"/>
      <c r="F1356" s="18"/>
      <c r="G1356" s="13" t="str">
        <f aca="false">IF(F1356="","",IFERROR(INDEX(Metas!$B$5:$B$54,MATCH(F1356,Metas!$A$5:$A$54,0)),"⚠ ID de meta no existe"))</f>
        <v/>
      </c>
      <c r="H1356" s="16" t="str">
        <f aca="false">IF(OR(C1356="",D1356=""),"",ROUND(MOD(D1356-C1356,1)*24,2))</f>
        <v/>
      </c>
      <c r="I1356" s="18"/>
      <c r="J1356" s="18"/>
      <c r="K1356" s="18"/>
    </row>
    <row r="1357" customFormat="false" ht="15" hidden="false" customHeight="false" outlineLevel="0" collapsed="false">
      <c r="A1357" s="17"/>
      <c r="B1357" s="18"/>
      <c r="C1357" s="19"/>
      <c r="D1357" s="19"/>
      <c r="E1357" s="18"/>
      <c r="F1357" s="18"/>
      <c r="G1357" s="13" t="str">
        <f aca="false">IF(F1357="","",IFERROR(INDEX(Metas!$B$5:$B$54,MATCH(F1357,Metas!$A$5:$A$54,0)),"⚠ ID de meta no existe"))</f>
        <v/>
      </c>
      <c r="H1357" s="16" t="str">
        <f aca="false">IF(OR(C1357="",D1357=""),"",ROUND(MOD(D1357-C1357,1)*24,2))</f>
        <v/>
      </c>
      <c r="I1357" s="18"/>
      <c r="J1357" s="18"/>
      <c r="K1357" s="18"/>
    </row>
    <row r="1358" customFormat="false" ht="15" hidden="false" customHeight="false" outlineLevel="0" collapsed="false">
      <c r="A1358" s="17"/>
      <c r="B1358" s="18"/>
      <c r="C1358" s="19"/>
      <c r="D1358" s="19"/>
      <c r="E1358" s="18"/>
      <c r="F1358" s="18"/>
      <c r="G1358" s="13" t="str">
        <f aca="false">IF(F1358="","",IFERROR(INDEX(Metas!$B$5:$B$54,MATCH(F1358,Metas!$A$5:$A$54,0)),"⚠ ID de meta no existe"))</f>
        <v/>
      </c>
      <c r="H1358" s="16" t="str">
        <f aca="false">IF(OR(C1358="",D1358=""),"",ROUND(MOD(D1358-C1358,1)*24,2))</f>
        <v/>
      </c>
      <c r="I1358" s="18"/>
      <c r="J1358" s="18"/>
      <c r="K1358" s="18"/>
    </row>
    <row r="1359" customFormat="false" ht="15" hidden="false" customHeight="false" outlineLevel="0" collapsed="false">
      <c r="A1359" s="17"/>
      <c r="B1359" s="18"/>
      <c r="C1359" s="19"/>
      <c r="D1359" s="19"/>
      <c r="E1359" s="18"/>
      <c r="F1359" s="18"/>
      <c r="G1359" s="13" t="str">
        <f aca="false">IF(F1359="","",IFERROR(INDEX(Metas!$B$5:$B$54,MATCH(F1359,Metas!$A$5:$A$54,0)),"⚠ ID de meta no existe"))</f>
        <v/>
      </c>
      <c r="H1359" s="16" t="str">
        <f aca="false">IF(OR(C1359="",D1359=""),"",ROUND(MOD(D1359-C1359,1)*24,2))</f>
        <v/>
      </c>
      <c r="I1359" s="18"/>
      <c r="J1359" s="18"/>
      <c r="K1359" s="18"/>
    </row>
    <row r="1360" customFormat="false" ht="15" hidden="false" customHeight="false" outlineLevel="0" collapsed="false">
      <c r="A1360" s="17"/>
      <c r="B1360" s="18"/>
      <c r="C1360" s="19"/>
      <c r="D1360" s="19"/>
      <c r="E1360" s="18"/>
      <c r="F1360" s="18"/>
      <c r="G1360" s="13" t="str">
        <f aca="false">IF(F1360="","",IFERROR(INDEX(Metas!$B$5:$B$54,MATCH(F1360,Metas!$A$5:$A$54,0)),"⚠ ID de meta no existe"))</f>
        <v/>
      </c>
      <c r="H1360" s="16" t="str">
        <f aca="false">IF(OR(C1360="",D1360=""),"",ROUND(MOD(D1360-C1360,1)*24,2))</f>
        <v/>
      </c>
      <c r="I1360" s="18"/>
      <c r="J1360" s="18"/>
      <c r="K1360" s="18"/>
    </row>
    <row r="1361" customFormat="false" ht="15" hidden="false" customHeight="false" outlineLevel="0" collapsed="false">
      <c r="A1361" s="17"/>
      <c r="B1361" s="18"/>
      <c r="C1361" s="19"/>
      <c r="D1361" s="19"/>
      <c r="E1361" s="18"/>
      <c r="F1361" s="18"/>
      <c r="G1361" s="13" t="str">
        <f aca="false">IF(F1361="","",IFERROR(INDEX(Metas!$B$5:$B$54,MATCH(F1361,Metas!$A$5:$A$54,0)),"⚠ ID de meta no existe"))</f>
        <v/>
      </c>
      <c r="H1361" s="16" t="str">
        <f aca="false">IF(OR(C1361="",D1361=""),"",ROUND(MOD(D1361-C1361,1)*24,2))</f>
        <v/>
      </c>
      <c r="I1361" s="18"/>
      <c r="J1361" s="18"/>
      <c r="K1361" s="18"/>
    </row>
    <row r="1362" customFormat="false" ht="15" hidden="false" customHeight="false" outlineLevel="0" collapsed="false">
      <c r="A1362" s="17"/>
      <c r="B1362" s="18"/>
      <c r="C1362" s="19"/>
      <c r="D1362" s="19"/>
      <c r="E1362" s="18"/>
      <c r="F1362" s="18"/>
      <c r="G1362" s="13" t="str">
        <f aca="false">IF(F1362="","",IFERROR(INDEX(Metas!$B$5:$B$54,MATCH(F1362,Metas!$A$5:$A$54,0)),"⚠ ID de meta no existe"))</f>
        <v/>
      </c>
      <c r="H1362" s="16" t="str">
        <f aca="false">IF(OR(C1362="",D1362=""),"",ROUND(MOD(D1362-C1362,1)*24,2))</f>
        <v/>
      </c>
      <c r="I1362" s="18"/>
      <c r="J1362" s="18"/>
      <c r="K1362" s="18"/>
    </row>
    <row r="1363" customFormat="false" ht="15" hidden="false" customHeight="false" outlineLevel="0" collapsed="false">
      <c r="A1363" s="17"/>
      <c r="B1363" s="18"/>
      <c r="C1363" s="19"/>
      <c r="D1363" s="19"/>
      <c r="E1363" s="18"/>
      <c r="F1363" s="18"/>
      <c r="G1363" s="13" t="str">
        <f aca="false">IF(F1363="","",IFERROR(INDEX(Metas!$B$5:$B$54,MATCH(F1363,Metas!$A$5:$A$54,0)),"⚠ ID de meta no existe"))</f>
        <v/>
      </c>
      <c r="H1363" s="16" t="str">
        <f aca="false">IF(OR(C1363="",D1363=""),"",ROUND(MOD(D1363-C1363,1)*24,2))</f>
        <v/>
      </c>
      <c r="I1363" s="18"/>
      <c r="J1363" s="18"/>
      <c r="K1363" s="18"/>
    </row>
    <row r="1364" customFormat="false" ht="15" hidden="false" customHeight="false" outlineLevel="0" collapsed="false">
      <c r="A1364" s="17"/>
      <c r="B1364" s="18"/>
      <c r="C1364" s="19"/>
      <c r="D1364" s="19"/>
      <c r="E1364" s="18"/>
      <c r="F1364" s="18"/>
      <c r="G1364" s="13" t="str">
        <f aca="false">IF(F1364="","",IFERROR(INDEX(Metas!$B$5:$B$54,MATCH(F1364,Metas!$A$5:$A$54,0)),"⚠ ID de meta no existe"))</f>
        <v/>
      </c>
      <c r="H1364" s="16" t="str">
        <f aca="false">IF(OR(C1364="",D1364=""),"",ROUND(MOD(D1364-C1364,1)*24,2))</f>
        <v/>
      </c>
      <c r="I1364" s="18"/>
      <c r="J1364" s="18"/>
      <c r="K1364" s="18"/>
    </row>
    <row r="1365" customFormat="false" ht="15" hidden="false" customHeight="false" outlineLevel="0" collapsed="false">
      <c r="A1365" s="17"/>
      <c r="B1365" s="18"/>
      <c r="C1365" s="19"/>
      <c r="D1365" s="19"/>
      <c r="E1365" s="18"/>
      <c r="F1365" s="18"/>
      <c r="G1365" s="13" t="str">
        <f aca="false">IF(F1365="","",IFERROR(INDEX(Metas!$B$5:$B$54,MATCH(F1365,Metas!$A$5:$A$54,0)),"⚠ ID de meta no existe"))</f>
        <v/>
      </c>
      <c r="H1365" s="16" t="str">
        <f aca="false">IF(OR(C1365="",D1365=""),"",ROUND(MOD(D1365-C1365,1)*24,2))</f>
        <v/>
      </c>
      <c r="I1365" s="18"/>
      <c r="J1365" s="18"/>
      <c r="K1365" s="18"/>
    </row>
    <row r="1366" customFormat="false" ht="15" hidden="false" customHeight="false" outlineLevel="0" collapsed="false">
      <c r="A1366" s="17"/>
      <c r="B1366" s="18"/>
      <c r="C1366" s="19"/>
      <c r="D1366" s="19"/>
      <c r="E1366" s="18"/>
      <c r="F1366" s="18"/>
      <c r="G1366" s="13" t="str">
        <f aca="false">IF(F1366="","",IFERROR(INDEX(Metas!$B$5:$B$54,MATCH(F1366,Metas!$A$5:$A$54,0)),"⚠ ID de meta no existe"))</f>
        <v/>
      </c>
      <c r="H1366" s="16" t="str">
        <f aca="false">IF(OR(C1366="",D1366=""),"",ROUND(MOD(D1366-C1366,1)*24,2))</f>
        <v/>
      </c>
      <c r="I1366" s="18"/>
      <c r="J1366" s="18"/>
      <c r="K1366" s="18"/>
    </row>
    <row r="1367" customFormat="false" ht="15" hidden="false" customHeight="false" outlineLevel="0" collapsed="false">
      <c r="A1367" s="17"/>
      <c r="B1367" s="18"/>
      <c r="C1367" s="19"/>
      <c r="D1367" s="19"/>
      <c r="E1367" s="18"/>
      <c r="F1367" s="18"/>
      <c r="G1367" s="13" t="str">
        <f aca="false">IF(F1367="","",IFERROR(INDEX(Metas!$B$5:$B$54,MATCH(F1367,Metas!$A$5:$A$54,0)),"⚠ ID de meta no existe"))</f>
        <v/>
      </c>
      <c r="H1367" s="16" t="str">
        <f aca="false">IF(OR(C1367="",D1367=""),"",ROUND(MOD(D1367-C1367,1)*24,2))</f>
        <v/>
      </c>
      <c r="I1367" s="18"/>
      <c r="J1367" s="18"/>
      <c r="K1367" s="18"/>
    </row>
    <row r="1368" customFormat="false" ht="15" hidden="false" customHeight="false" outlineLevel="0" collapsed="false">
      <c r="A1368" s="17"/>
      <c r="B1368" s="18"/>
      <c r="C1368" s="19"/>
      <c r="D1368" s="19"/>
      <c r="E1368" s="18"/>
      <c r="F1368" s="18"/>
      <c r="G1368" s="13" t="str">
        <f aca="false">IF(F1368="","",IFERROR(INDEX(Metas!$B$5:$B$54,MATCH(F1368,Metas!$A$5:$A$54,0)),"⚠ ID de meta no existe"))</f>
        <v/>
      </c>
      <c r="H1368" s="16" t="str">
        <f aca="false">IF(OR(C1368="",D1368=""),"",ROUND(MOD(D1368-C1368,1)*24,2))</f>
        <v/>
      </c>
      <c r="I1368" s="18"/>
      <c r="J1368" s="18"/>
      <c r="K1368" s="18"/>
    </row>
    <row r="1369" customFormat="false" ht="15" hidden="false" customHeight="false" outlineLevel="0" collapsed="false">
      <c r="A1369" s="17"/>
      <c r="B1369" s="18"/>
      <c r="C1369" s="19"/>
      <c r="D1369" s="19"/>
      <c r="E1369" s="18"/>
      <c r="F1369" s="18"/>
      <c r="G1369" s="13" t="str">
        <f aca="false">IF(F1369="","",IFERROR(INDEX(Metas!$B$5:$B$54,MATCH(F1369,Metas!$A$5:$A$54,0)),"⚠ ID de meta no existe"))</f>
        <v/>
      </c>
      <c r="H1369" s="16" t="str">
        <f aca="false">IF(OR(C1369="",D1369=""),"",ROUND(MOD(D1369-C1369,1)*24,2))</f>
        <v/>
      </c>
      <c r="I1369" s="18"/>
      <c r="J1369" s="18"/>
      <c r="K1369" s="18"/>
    </row>
    <row r="1370" customFormat="false" ht="15" hidden="false" customHeight="false" outlineLevel="0" collapsed="false">
      <c r="A1370" s="17"/>
      <c r="B1370" s="18"/>
      <c r="C1370" s="19"/>
      <c r="D1370" s="19"/>
      <c r="E1370" s="18"/>
      <c r="F1370" s="18"/>
      <c r="G1370" s="13" t="str">
        <f aca="false">IF(F1370="","",IFERROR(INDEX(Metas!$B$5:$B$54,MATCH(F1370,Metas!$A$5:$A$54,0)),"⚠ ID de meta no existe"))</f>
        <v/>
      </c>
      <c r="H1370" s="16" t="str">
        <f aca="false">IF(OR(C1370="",D1370=""),"",ROUND(MOD(D1370-C1370,1)*24,2))</f>
        <v/>
      </c>
      <c r="I1370" s="18"/>
      <c r="J1370" s="18"/>
      <c r="K1370" s="18"/>
    </row>
    <row r="1371" customFormat="false" ht="15" hidden="false" customHeight="false" outlineLevel="0" collapsed="false">
      <c r="A1371" s="17"/>
      <c r="B1371" s="18"/>
      <c r="C1371" s="19"/>
      <c r="D1371" s="19"/>
      <c r="E1371" s="18"/>
      <c r="F1371" s="18"/>
      <c r="G1371" s="13" t="str">
        <f aca="false">IF(F1371="","",IFERROR(INDEX(Metas!$B$5:$B$54,MATCH(F1371,Metas!$A$5:$A$54,0)),"⚠ ID de meta no existe"))</f>
        <v/>
      </c>
      <c r="H1371" s="16" t="str">
        <f aca="false">IF(OR(C1371="",D1371=""),"",ROUND(MOD(D1371-C1371,1)*24,2))</f>
        <v/>
      </c>
      <c r="I1371" s="18"/>
      <c r="J1371" s="18"/>
      <c r="K1371" s="18"/>
    </row>
    <row r="1372" customFormat="false" ht="15" hidden="false" customHeight="false" outlineLevel="0" collapsed="false">
      <c r="A1372" s="17"/>
      <c r="B1372" s="18"/>
      <c r="C1372" s="19"/>
      <c r="D1372" s="19"/>
      <c r="E1372" s="18"/>
      <c r="F1372" s="18"/>
      <c r="G1372" s="13" t="str">
        <f aca="false">IF(F1372="","",IFERROR(INDEX(Metas!$B$5:$B$54,MATCH(F1372,Metas!$A$5:$A$54,0)),"⚠ ID de meta no existe"))</f>
        <v/>
      </c>
      <c r="H1372" s="16" t="str">
        <f aca="false">IF(OR(C1372="",D1372=""),"",ROUND(MOD(D1372-C1372,1)*24,2))</f>
        <v/>
      </c>
      <c r="I1372" s="18"/>
      <c r="J1372" s="18"/>
      <c r="K1372" s="18"/>
    </row>
    <row r="1373" customFormat="false" ht="15" hidden="false" customHeight="false" outlineLevel="0" collapsed="false">
      <c r="A1373" s="17"/>
      <c r="B1373" s="18"/>
      <c r="C1373" s="19"/>
      <c r="D1373" s="19"/>
      <c r="E1373" s="18"/>
      <c r="F1373" s="18"/>
      <c r="G1373" s="13" t="str">
        <f aca="false">IF(F1373="","",IFERROR(INDEX(Metas!$B$5:$B$54,MATCH(F1373,Metas!$A$5:$A$54,0)),"⚠ ID de meta no existe"))</f>
        <v/>
      </c>
      <c r="H1373" s="16" t="str">
        <f aca="false">IF(OR(C1373="",D1373=""),"",ROUND(MOD(D1373-C1373,1)*24,2))</f>
        <v/>
      </c>
      <c r="I1373" s="18"/>
      <c r="J1373" s="18"/>
      <c r="K1373" s="18"/>
    </row>
    <row r="1374" customFormat="false" ht="15" hidden="false" customHeight="false" outlineLevel="0" collapsed="false">
      <c r="A1374" s="17"/>
      <c r="B1374" s="18"/>
      <c r="C1374" s="19"/>
      <c r="D1374" s="19"/>
      <c r="E1374" s="18"/>
      <c r="F1374" s="18"/>
      <c r="G1374" s="13" t="str">
        <f aca="false">IF(F1374="","",IFERROR(INDEX(Metas!$B$5:$B$54,MATCH(F1374,Metas!$A$5:$A$54,0)),"⚠ ID de meta no existe"))</f>
        <v/>
      </c>
      <c r="H1374" s="16" t="str">
        <f aca="false">IF(OR(C1374="",D1374=""),"",ROUND(MOD(D1374-C1374,1)*24,2))</f>
        <v/>
      </c>
      <c r="I1374" s="18"/>
      <c r="J1374" s="18"/>
      <c r="K1374" s="18"/>
    </row>
    <row r="1375" customFormat="false" ht="15" hidden="false" customHeight="false" outlineLevel="0" collapsed="false">
      <c r="A1375" s="17"/>
      <c r="B1375" s="18"/>
      <c r="C1375" s="19"/>
      <c r="D1375" s="19"/>
      <c r="E1375" s="18"/>
      <c r="F1375" s="18"/>
      <c r="G1375" s="13" t="str">
        <f aca="false">IF(F1375="","",IFERROR(INDEX(Metas!$B$5:$B$54,MATCH(F1375,Metas!$A$5:$A$54,0)),"⚠ ID de meta no existe"))</f>
        <v/>
      </c>
      <c r="H1375" s="16" t="str">
        <f aca="false">IF(OR(C1375="",D1375=""),"",ROUND(MOD(D1375-C1375,1)*24,2))</f>
        <v/>
      </c>
      <c r="I1375" s="18"/>
      <c r="J1375" s="18"/>
      <c r="K1375" s="18"/>
    </row>
    <row r="1376" customFormat="false" ht="15" hidden="false" customHeight="false" outlineLevel="0" collapsed="false">
      <c r="A1376" s="17"/>
      <c r="B1376" s="18"/>
      <c r="C1376" s="19"/>
      <c r="D1376" s="19"/>
      <c r="E1376" s="18"/>
      <c r="F1376" s="18"/>
      <c r="G1376" s="13" t="str">
        <f aca="false">IF(F1376="","",IFERROR(INDEX(Metas!$B$5:$B$54,MATCH(F1376,Metas!$A$5:$A$54,0)),"⚠ ID de meta no existe"))</f>
        <v/>
      </c>
      <c r="H1376" s="16" t="str">
        <f aca="false">IF(OR(C1376="",D1376=""),"",ROUND(MOD(D1376-C1376,1)*24,2))</f>
        <v/>
      </c>
      <c r="I1376" s="18"/>
      <c r="J1376" s="18"/>
      <c r="K1376" s="18"/>
    </row>
    <row r="1377" customFormat="false" ht="15" hidden="false" customHeight="false" outlineLevel="0" collapsed="false">
      <c r="A1377" s="17"/>
      <c r="B1377" s="18"/>
      <c r="C1377" s="19"/>
      <c r="D1377" s="19"/>
      <c r="E1377" s="18"/>
      <c r="F1377" s="18"/>
      <c r="G1377" s="13" t="str">
        <f aca="false">IF(F1377="","",IFERROR(INDEX(Metas!$B$5:$B$54,MATCH(F1377,Metas!$A$5:$A$54,0)),"⚠ ID de meta no existe"))</f>
        <v/>
      </c>
      <c r="H1377" s="16" t="str">
        <f aca="false">IF(OR(C1377="",D1377=""),"",ROUND(MOD(D1377-C1377,1)*24,2))</f>
        <v/>
      </c>
      <c r="I1377" s="18"/>
      <c r="J1377" s="18"/>
      <c r="K1377" s="18"/>
    </row>
    <row r="1378" customFormat="false" ht="15" hidden="false" customHeight="false" outlineLevel="0" collapsed="false">
      <c r="A1378" s="17"/>
      <c r="B1378" s="18"/>
      <c r="C1378" s="19"/>
      <c r="D1378" s="19"/>
      <c r="E1378" s="18"/>
      <c r="F1378" s="18"/>
      <c r="G1378" s="13" t="str">
        <f aca="false">IF(F1378="","",IFERROR(INDEX(Metas!$B$5:$B$54,MATCH(F1378,Metas!$A$5:$A$54,0)),"⚠ ID de meta no existe"))</f>
        <v/>
      </c>
      <c r="H1378" s="16" t="str">
        <f aca="false">IF(OR(C1378="",D1378=""),"",ROUND(MOD(D1378-C1378,1)*24,2))</f>
        <v/>
      </c>
      <c r="I1378" s="18"/>
      <c r="J1378" s="18"/>
      <c r="K1378" s="18"/>
    </row>
    <row r="1379" customFormat="false" ht="15" hidden="false" customHeight="false" outlineLevel="0" collapsed="false">
      <c r="A1379" s="17"/>
      <c r="B1379" s="18"/>
      <c r="C1379" s="19"/>
      <c r="D1379" s="19"/>
      <c r="E1379" s="18"/>
      <c r="F1379" s="18"/>
      <c r="G1379" s="13" t="str">
        <f aca="false">IF(F1379="","",IFERROR(INDEX(Metas!$B$5:$B$54,MATCH(F1379,Metas!$A$5:$A$54,0)),"⚠ ID de meta no existe"))</f>
        <v/>
      </c>
      <c r="H1379" s="16" t="str">
        <f aca="false">IF(OR(C1379="",D1379=""),"",ROUND(MOD(D1379-C1379,1)*24,2))</f>
        <v/>
      </c>
      <c r="I1379" s="18"/>
      <c r="J1379" s="18"/>
      <c r="K1379" s="18"/>
    </row>
    <row r="1380" customFormat="false" ht="15" hidden="false" customHeight="false" outlineLevel="0" collapsed="false">
      <c r="A1380" s="17"/>
      <c r="B1380" s="18"/>
      <c r="C1380" s="19"/>
      <c r="D1380" s="19"/>
      <c r="E1380" s="18"/>
      <c r="F1380" s="18"/>
      <c r="G1380" s="13" t="str">
        <f aca="false">IF(F1380="","",IFERROR(INDEX(Metas!$B$5:$B$54,MATCH(F1380,Metas!$A$5:$A$54,0)),"⚠ ID de meta no existe"))</f>
        <v/>
      </c>
      <c r="H1380" s="16" t="str">
        <f aca="false">IF(OR(C1380="",D1380=""),"",ROUND(MOD(D1380-C1380,1)*24,2))</f>
        <v/>
      </c>
      <c r="I1380" s="18"/>
      <c r="J1380" s="18"/>
      <c r="K1380" s="18"/>
    </row>
    <row r="1381" customFormat="false" ht="15" hidden="false" customHeight="false" outlineLevel="0" collapsed="false">
      <c r="A1381" s="17"/>
      <c r="B1381" s="18"/>
      <c r="C1381" s="19"/>
      <c r="D1381" s="19"/>
      <c r="E1381" s="18"/>
      <c r="F1381" s="18"/>
      <c r="G1381" s="13" t="str">
        <f aca="false">IF(F1381="","",IFERROR(INDEX(Metas!$B$5:$B$54,MATCH(F1381,Metas!$A$5:$A$54,0)),"⚠ ID de meta no existe"))</f>
        <v/>
      </c>
      <c r="H1381" s="16" t="str">
        <f aca="false">IF(OR(C1381="",D1381=""),"",ROUND(MOD(D1381-C1381,1)*24,2))</f>
        <v/>
      </c>
      <c r="I1381" s="18"/>
      <c r="J1381" s="18"/>
      <c r="K1381" s="18"/>
    </row>
    <row r="1382" customFormat="false" ht="15" hidden="false" customHeight="false" outlineLevel="0" collapsed="false">
      <c r="A1382" s="17"/>
      <c r="B1382" s="18"/>
      <c r="C1382" s="19"/>
      <c r="D1382" s="19"/>
      <c r="E1382" s="18"/>
      <c r="F1382" s="18"/>
      <c r="G1382" s="13" t="str">
        <f aca="false">IF(F1382="","",IFERROR(INDEX(Metas!$B$5:$B$54,MATCH(F1382,Metas!$A$5:$A$54,0)),"⚠ ID de meta no existe"))</f>
        <v/>
      </c>
      <c r="H1382" s="16" t="str">
        <f aca="false">IF(OR(C1382="",D1382=""),"",ROUND(MOD(D1382-C1382,1)*24,2))</f>
        <v/>
      </c>
      <c r="I1382" s="18"/>
      <c r="J1382" s="18"/>
      <c r="K1382" s="18"/>
    </row>
    <row r="1383" customFormat="false" ht="15" hidden="false" customHeight="false" outlineLevel="0" collapsed="false">
      <c r="A1383" s="17"/>
      <c r="B1383" s="18"/>
      <c r="C1383" s="19"/>
      <c r="D1383" s="19"/>
      <c r="E1383" s="18"/>
      <c r="F1383" s="18"/>
      <c r="G1383" s="13" t="str">
        <f aca="false">IF(F1383="","",IFERROR(INDEX(Metas!$B$5:$B$54,MATCH(F1383,Metas!$A$5:$A$54,0)),"⚠ ID de meta no existe"))</f>
        <v/>
      </c>
      <c r="H1383" s="16" t="str">
        <f aca="false">IF(OR(C1383="",D1383=""),"",ROUND(MOD(D1383-C1383,1)*24,2))</f>
        <v/>
      </c>
      <c r="I1383" s="18"/>
      <c r="J1383" s="18"/>
      <c r="K1383" s="18"/>
    </row>
    <row r="1384" customFormat="false" ht="15" hidden="false" customHeight="false" outlineLevel="0" collapsed="false">
      <c r="A1384" s="17"/>
      <c r="B1384" s="18"/>
      <c r="C1384" s="19"/>
      <c r="D1384" s="19"/>
      <c r="E1384" s="18"/>
      <c r="F1384" s="18"/>
      <c r="G1384" s="13" t="str">
        <f aca="false">IF(F1384="","",IFERROR(INDEX(Metas!$B$5:$B$54,MATCH(F1384,Metas!$A$5:$A$54,0)),"⚠ ID de meta no existe"))</f>
        <v/>
      </c>
      <c r="H1384" s="16" t="str">
        <f aca="false">IF(OR(C1384="",D1384=""),"",ROUND(MOD(D1384-C1384,1)*24,2))</f>
        <v/>
      </c>
      <c r="I1384" s="18"/>
      <c r="J1384" s="18"/>
      <c r="K1384" s="18"/>
    </row>
    <row r="1385" customFormat="false" ht="15" hidden="false" customHeight="false" outlineLevel="0" collapsed="false">
      <c r="A1385" s="17"/>
      <c r="B1385" s="18"/>
      <c r="C1385" s="19"/>
      <c r="D1385" s="19"/>
      <c r="E1385" s="18"/>
      <c r="F1385" s="18"/>
      <c r="G1385" s="13" t="str">
        <f aca="false">IF(F1385="","",IFERROR(INDEX(Metas!$B$5:$B$54,MATCH(F1385,Metas!$A$5:$A$54,0)),"⚠ ID de meta no existe"))</f>
        <v/>
      </c>
      <c r="H1385" s="16" t="str">
        <f aca="false">IF(OR(C1385="",D1385=""),"",ROUND(MOD(D1385-C1385,1)*24,2))</f>
        <v/>
      </c>
      <c r="I1385" s="18"/>
      <c r="J1385" s="18"/>
      <c r="K1385" s="18"/>
    </row>
    <row r="1386" customFormat="false" ht="15" hidden="false" customHeight="false" outlineLevel="0" collapsed="false">
      <c r="A1386" s="17"/>
      <c r="B1386" s="18"/>
      <c r="C1386" s="19"/>
      <c r="D1386" s="19"/>
      <c r="E1386" s="18"/>
      <c r="F1386" s="18"/>
      <c r="G1386" s="13" t="str">
        <f aca="false">IF(F1386="","",IFERROR(INDEX(Metas!$B$5:$B$54,MATCH(F1386,Metas!$A$5:$A$54,0)),"⚠ ID de meta no existe"))</f>
        <v/>
      </c>
      <c r="H1386" s="16" t="str">
        <f aca="false">IF(OR(C1386="",D1386=""),"",ROUND(MOD(D1386-C1386,1)*24,2))</f>
        <v/>
      </c>
      <c r="I1386" s="18"/>
      <c r="J1386" s="18"/>
      <c r="K1386" s="18"/>
    </row>
    <row r="1387" customFormat="false" ht="15" hidden="false" customHeight="false" outlineLevel="0" collapsed="false">
      <c r="A1387" s="17"/>
      <c r="B1387" s="18"/>
      <c r="C1387" s="19"/>
      <c r="D1387" s="19"/>
      <c r="E1387" s="18"/>
      <c r="F1387" s="18"/>
      <c r="G1387" s="13" t="str">
        <f aca="false">IF(F1387="","",IFERROR(INDEX(Metas!$B$5:$B$54,MATCH(F1387,Metas!$A$5:$A$54,0)),"⚠ ID de meta no existe"))</f>
        <v/>
      </c>
      <c r="H1387" s="16" t="str">
        <f aca="false">IF(OR(C1387="",D1387=""),"",ROUND(MOD(D1387-C1387,1)*24,2))</f>
        <v/>
      </c>
      <c r="I1387" s="18"/>
      <c r="J1387" s="18"/>
      <c r="K1387" s="18"/>
    </row>
    <row r="1388" customFormat="false" ht="15" hidden="false" customHeight="false" outlineLevel="0" collapsed="false">
      <c r="A1388" s="17"/>
      <c r="B1388" s="18"/>
      <c r="C1388" s="19"/>
      <c r="D1388" s="19"/>
      <c r="E1388" s="18"/>
      <c r="F1388" s="18"/>
      <c r="G1388" s="13" t="str">
        <f aca="false">IF(F1388="","",IFERROR(INDEX(Metas!$B$5:$B$54,MATCH(F1388,Metas!$A$5:$A$54,0)),"⚠ ID de meta no existe"))</f>
        <v/>
      </c>
      <c r="H1388" s="16" t="str">
        <f aca="false">IF(OR(C1388="",D1388=""),"",ROUND(MOD(D1388-C1388,1)*24,2))</f>
        <v/>
      </c>
      <c r="I1388" s="18"/>
      <c r="J1388" s="18"/>
      <c r="K1388" s="18"/>
    </row>
    <row r="1389" customFormat="false" ht="15" hidden="false" customHeight="false" outlineLevel="0" collapsed="false">
      <c r="A1389" s="17"/>
      <c r="B1389" s="18"/>
      <c r="C1389" s="19"/>
      <c r="D1389" s="19"/>
      <c r="E1389" s="18"/>
      <c r="F1389" s="18"/>
      <c r="G1389" s="13" t="str">
        <f aca="false">IF(F1389="","",IFERROR(INDEX(Metas!$B$5:$B$54,MATCH(F1389,Metas!$A$5:$A$54,0)),"⚠ ID de meta no existe"))</f>
        <v/>
      </c>
      <c r="H1389" s="16" t="str">
        <f aca="false">IF(OR(C1389="",D1389=""),"",ROUND(MOD(D1389-C1389,1)*24,2))</f>
        <v/>
      </c>
      <c r="I1389" s="18"/>
      <c r="J1389" s="18"/>
      <c r="K1389" s="18"/>
    </row>
    <row r="1390" customFormat="false" ht="15" hidden="false" customHeight="false" outlineLevel="0" collapsed="false">
      <c r="A1390" s="17"/>
      <c r="B1390" s="18"/>
      <c r="C1390" s="19"/>
      <c r="D1390" s="19"/>
      <c r="E1390" s="18"/>
      <c r="F1390" s="18"/>
      <c r="G1390" s="13" t="str">
        <f aca="false">IF(F1390="","",IFERROR(INDEX(Metas!$B$5:$B$54,MATCH(F1390,Metas!$A$5:$A$54,0)),"⚠ ID de meta no existe"))</f>
        <v/>
      </c>
      <c r="H1390" s="16" t="str">
        <f aca="false">IF(OR(C1390="",D1390=""),"",ROUND(MOD(D1390-C1390,1)*24,2))</f>
        <v/>
      </c>
      <c r="I1390" s="18"/>
      <c r="J1390" s="18"/>
      <c r="K1390" s="18"/>
    </row>
    <row r="1391" customFormat="false" ht="15" hidden="false" customHeight="false" outlineLevel="0" collapsed="false">
      <c r="A1391" s="17"/>
      <c r="B1391" s="18"/>
      <c r="C1391" s="19"/>
      <c r="D1391" s="19"/>
      <c r="E1391" s="18"/>
      <c r="F1391" s="18"/>
      <c r="G1391" s="13" t="str">
        <f aca="false">IF(F1391="","",IFERROR(INDEX(Metas!$B$5:$B$54,MATCH(F1391,Metas!$A$5:$A$54,0)),"⚠ ID de meta no existe"))</f>
        <v/>
      </c>
      <c r="H1391" s="16" t="str">
        <f aca="false">IF(OR(C1391="",D1391=""),"",ROUND(MOD(D1391-C1391,1)*24,2))</f>
        <v/>
      </c>
      <c r="I1391" s="18"/>
      <c r="J1391" s="18"/>
      <c r="K1391" s="18"/>
    </row>
    <row r="1392" customFormat="false" ht="15" hidden="false" customHeight="false" outlineLevel="0" collapsed="false">
      <c r="A1392" s="17"/>
      <c r="B1392" s="18"/>
      <c r="C1392" s="19"/>
      <c r="D1392" s="19"/>
      <c r="E1392" s="18"/>
      <c r="F1392" s="18"/>
      <c r="G1392" s="13" t="str">
        <f aca="false">IF(F1392="","",IFERROR(INDEX(Metas!$B$5:$B$54,MATCH(F1392,Metas!$A$5:$A$54,0)),"⚠ ID de meta no existe"))</f>
        <v/>
      </c>
      <c r="H1392" s="16" t="str">
        <f aca="false">IF(OR(C1392="",D1392=""),"",ROUND(MOD(D1392-C1392,1)*24,2))</f>
        <v/>
      </c>
      <c r="I1392" s="18"/>
      <c r="J1392" s="18"/>
      <c r="K1392" s="18"/>
    </row>
    <row r="1393" customFormat="false" ht="15" hidden="false" customHeight="false" outlineLevel="0" collapsed="false">
      <c r="A1393" s="17"/>
      <c r="B1393" s="18"/>
      <c r="C1393" s="19"/>
      <c r="D1393" s="19"/>
      <c r="E1393" s="18"/>
      <c r="F1393" s="18"/>
      <c r="G1393" s="13" t="str">
        <f aca="false">IF(F1393="","",IFERROR(INDEX(Metas!$B$5:$B$54,MATCH(F1393,Metas!$A$5:$A$54,0)),"⚠ ID de meta no existe"))</f>
        <v/>
      </c>
      <c r="H1393" s="16" t="str">
        <f aca="false">IF(OR(C1393="",D1393=""),"",ROUND(MOD(D1393-C1393,1)*24,2))</f>
        <v/>
      </c>
      <c r="I1393" s="18"/>
      <c r="J1393" s="18"/>
      <c r="K1393" s="18"/>
    </row>
    <row r="1394" customFormat="false" ht="15" hidden="false" customHeight="false" outlineLevel="0" collapsed="false">
      <c r="A1394" s="17"/>
      <c r="B1394" s="18"/>
      <c r="C1394" s="19"/>
      <c r="D1394" s="19"/>
      <c r="E1394" s="18"/>
      <c r="F1394" s="18"/>
      <c r="G1394" s="13" t="str">
        <f aca="false">IF(F1394="","",IFERROR(INDEX(Metas!$B$5:$B$54,MATCH(F1394,Metas!$A$5:$A$54,0)),"⚠ ID de meta no existe"))</f>
        <v/>
      </c>
      <c r="H1394" s="16" t="str">
        <f aca="false">IF(OR(C1394="",D1394=""),"",ROUND(MOD(D1394-C1394,1)*24,2))</f>
        <v/>
      </c>
      <c r="I1394" s="18"/>
      <c r="J1394" s="18"/>
      <c r="K1394" s="18"/>
    </row>
    <row r="1395" customFormat="false" ht="15" hidden="false" customHeight="false" outlineLevel="0" collapsed="false">
      <c r="A1395" s="17"/>
      <c r="B1395" s="18"/>
      <c r="C1395" s="19"/>
      <c r="D1395" s="19"/>
      <c r="E1395" s="18"/>
      <c r="F1395" s="18"/>
      <c r="G1395" s="13" t="str">
        <f aca="false">IF(F1395="","",IFERROR(INDEX(Metas!$B$5:$B$54,MATCH(F1395,Metas!$A$5:$A$54,0)),"⚠ ID de meta no existe"))</f>
        <v/>
      </c>
      <c r="H1395" s="16" t="str">
        <f aca="false">IF(OR(C1395="",D1395=""),"",ROUND(MOD(D1395-C1395,1)*24,2))</f>
        <v/>
      </c>
      <c r="I1395" s="18"/>
      <c r="J1395" s="18"/>
      <c r="K1395" s="18"/>
    </row>
    <row r="1396" customFormat="false" ht="15" hidden="false" customHeight="false" outlineLevel="0" collapsed="false">
      <c r="A1396" s="17"/>
      <c r="B1396" s="18"/>
      <c r="C1396" s="19"/>
      <c r="D1396" s="19"/>
      <c r="E1396" s="18"/>
      <c r="F1396" s="18"/>
      <c r="G1396" s="13" t="str">
        <f aca="false">IF(F1396="","",IFERROR(INDEX(Metas!$B$5:$B$54,MATCH(F1396,Metas!$A$5:$A$54,0)),"⚠ ID de meta no existe"))</f>
        <v/>
      </c>
      <c r="H1396" s="16" t="str">
        <f aca="false">IF(OR(C1396="",D1396=""),"",ROUND(MOD(D1396-C1396,1)*24,2))</f>
        <v/>
      </c>
      <c r="I1396" s="18"/>
      <c r="J1396" s="18"/>
      <c r="K1396" s="18"/>
    </row>
    <row r="1397" customFormat="false" ht="15" hidden="false" customHeight="false" outlineLevel="0" collapsed="false">
      <c r="A1397" s="17"/>
      <c r="B1397" s="18"/>
      <c r="C1397" s="19"/>
      <c r="D1397" s="19"/>
      <c r="E1397" s="18"/>
      <c r="F1397" s="18"/>
      <c r="G1397" s="13" t="str">
        <f aca="false">IF(F1397="","",IFERROR(INDEX(Metas!$B$5:$B$54,MATCH(F1397,Metas!$A$5:$A$54,0)),"⚠ ID de meta no existe"))</f>
        <v/>
      </c>
      <c r="H1397" s="16" t="str">
        <f aca="false">IF(OR(C1397="",D1397=""),"",ROUND(MOD(D1397-C1397,1)*24,2))</f>
        <v/>
      </c>
      <c r="I1397" s="18"/>
      <c r="J1397" s="18"/>
      <c r="K1397" s="18"/>
    </row>
    <row r="1398" customFormat="false" ht="15" hidden="false" customHeight="false" outlineLevel="0" collapsed="false">
      <c r="A1398" s="17"/>
      <c r="B1398" s="18"/>
      <c r="C1398" s="19"/>
      <c r="D1398" s="19"/>
      <c r="E1398" s="18"/>
      <c r="F1398" s="18"/>
      <c r="G1398" s="13" t="str">
        <f aca="false">IF(F1398="","",IFERROR(INDEX(Metas!$B$5:$B$54,MATCH(F1398,Metas!$A$5:$A$54,0)),"⚠ ID de meta no existe"))</f>
        <v/>
      </c>
      <c r="H1398" s="16" t="str">
        <f aca="false">IF(OR(C1398="",D1398=""),"",ROUND(MOD(D1398-C1398,1)*24,2))</f>
        <v/>
      </c>
      <c r="I1398" s="18"/>
      <c r="J1398" s="18"/>
      <c r="K1398" s="18"/>
    </row>
    <row r="1399" customFormat="false" ht="15" hidden="false" customHeight="false" outlineLevel="0" collapsed="false">
      <c r="A1399" s="17"/>
      <c r="B1399" s="18"/>
      <c r="C1399" s="19"/>
      <c r="D1399" s="19"/>
      <c r="E1399" s="18"/>
      <c r="F1399" s="18"/>
      <c r="G1399" s="13" t="str">
        <f aca="false">IF(F1399="","",IFERROR(INDEX(Metas!$B$5:$B$54,MATCH(F1399,Metas!$A$5:$A$54,0)),"⚠ ID de meta no existe"))</f>
        <v/>
      </c>
      <c r="H1399" s="16" t="str">
        <f aca="false">IF(OR(C1399="",D1399=""),"",ROUND(MOD(D1399-C1399,1)*24,2))</f>
        <v/>
      </c>
      <c r="I1399" s="18"/>
      <c r="J1399" s="18"/>
      <c r="K1399" s="18"/>
    </row>
    <row r="1400" customFormat="false" ht="15" hidden="false" customHeight="false" outlineLevel="0" collapsed="false">
      <c r="A1400" s="17"/>
      <c r="B1400" s="18"/>
      <c r="C1400" s="19"/>
      <c r="D1400" s="19"/>
      <c r="E1400" s="18"/>
      <c r="F1400" s="18"/>
      <c r="G1400" s="13" t="str">
        <f aca="false">IF(F1400="","",IFERROR(INDEX(Metas!$B$5:$B$54,MATCH(F1400,Metas!$A$5:$A$54,0)),"⚠ ID de meta no existe"))</f>
        <v/>
      </c>
      <c r="H1400" s="16" t="str">
        <f aca="false">IF(OR(C1400="",D1400=""),"",ROUND(MOD(D1400-C1400,1)*24,2))</f>
        <v/>
      </c>
      <c r="I1400" s="18"/>
      <c r="J1400" s="18"/>
      <c r="K1400" s="18"/>
    </row>
    <row r="1401" customFormat="false" ht="15" hidden="false" customHeight="false" outlineLevel="0" collapsed="false">
      <c r="A1401" s="17"/>
      <c r="B1401" s="18"/>
      <c r="C1401" s="19"/>
      <c r="D1401" s="19"/>
      <c r="E1401" s="18"/>
      <c r="F1401" s="18"/>
      <c r="G1401" s="13" t="str">
        <f aca="false">IF(F1401="","",IFERROR(INDEX(Metas!$B$5:$B$54,MATCH(F1401,Metas!$A$5:$A$54,0)),"⚠ ID de meta no existe"))</f>
        <v/>
      </c>
      <c r="H1401" s="16" t="str">
        <f aca="false">IF(OR(C1401="",D1401=""),"",ROUND(MOD(D1401-C1401,1)*24,2))</f>
        <v/>
      </c>
      <c r="I1401" s="18"/>
      <c r="J1401" s="18"/>
      <c r="K1401" s="18"/>
    </row>
    <row r="1402" customFormat="false" ht="15" hidden="false" customHeight="false" outlineLevel="0" collapsed="false">
      <c r="A1402" s="17"/>
      <c r="B1402" s="18"/>
      <c r="C1402" s="19"/>
      <c r="D1402" s="19"/>
      <c r="E1402" s="18"/>
      <c r="F1402" s="18"/>
      <c r="G1402" s="13" t="str">
        <f aca="false">IF(F1402="","",IFERROR(INDEX(Metas!$B$5:$B$54,MATCH(F1402,Metas!$A$5:$A$54,0)),"⚠ ID de meta no existe"))</f>
        <v/>
      </c>
      <c r="H1402" s="16" t="str">
        <f aca="false">IF(OR(C1402="",D1402=""),"",ROUND(MOD(D1402-C1402,1)*24,2))</f>
        <v/>
      </c>
      <c r="I1402" s="18"/>
      <c r="J1402" s="18"/>
      <c r="K1402" s="18"/>
    </row>
    <row r="1403" customFormat="false" ht="15" hidden="false" customHeight="false" outlineLevel="0" collapsed="false">
      <c r="A1403" s="17"/>
      <c r="B1403" s="18"/>
      <c r="C1403" s="19"/>
      <c r="D1403" s="19"/>
      <c r="E1403" s="18"/>
      <c r="F1403" s="18"/>
      <c r="G1403" s="13" t="str">
        <f aca="false">IF(F1403="","",IFERROR(INDEX(Metas!$B$5:$B$54,MATCH(F1403,Metas!$A$5:$A$54,0)),"⚠ ID de meta no existe"))</f>
        <v/>
      </c>
      <c r="H1403" s="16" t="str">
        <f aca="false">IF(OR(C1403="",D1403=""),"",ROUND(MOD(D1403-C1403,1)*24,2))</f>
        <v/>
      </c>
      <c r="I1403" s="18"/>
      <c r="J1403" s="18"/>
      <c r="K1403" s="18"/>
    </row>
    <row r="1404" customFormat="false" ht="15" hidden="false" customHeight="false" outlineLevel="0" collapsed="false">
      <c r="A1404" s="17"/>
      <c r="B1404" s="18"/>
      <c r="C1404" s="19"/>
      <c r="D1404" s="19"/>
      <c r="E1404" s="18"/>
      <c r="F1404" s="18"/>
      <c r="G1404" s="13" t="str">
        <f aca="false">IF(F1404="","",IFERROR(INDEX(Metas!$B$5:$B$54,MATCH(F1404,Metas!$A$5:$A$54,0)),"⚠ ID de meta no existe"))</f>
        <v/>
      </c>
      <c r="H1404" s="16" t="str">
        <f aca="false">IF(OR(C1404="",D1404=""),"",ROUND(MOD(D1404-C1404,1)*24,2))</f>
        <v/>
      </c>
      <c r="I1404" s="18"/>
      <c r="J1404" s="18"/>
      <c r="K1404" s="18"/>
    </row>
    <row r="1405" customFormat="false" ht="15" hidden="false" customHeight="false" outlineLevel="0" collapsed="false">
      <c r="A1405" s="17"/>
      <c r="B1405" s="18"/>
      <c r="C1405" s="19"/>
      <c r="D1405" s="19"/>
      <c r="E1405" s="18"/>
      <c r="F1405" s="18"/>
      <c r="G1405" s="13" t="str">
        <f aca="false">IF(F1405="","",IFERROR(INDEX(Metas!$B$5:$B$54,MATCH(F1405,Metas!$A$5:$A$54,0)),"⚠ ID de meta no existe"))</f>
        <v/>
      </c>
      <c r="H1405" s="16" t="str">
        <f aca="false">IF(OR(C1405="",D1405=""),"",ROUND(MOD(D1405-C1405,1)*24,2))</f>
        <v/>
      </c>
      <c r="I1405" s="18"/>
      <c r="J1405" s="18"/>
      <c r="K1405" s="18"/>
    </row>
    <row r="1406" customFormat="false" ht="15" hidden="false" customHeight="false" outlineLevel="0" collapsed="false">
      <c r="A1406" s="17"/>
      <c r="B1406" s="18"/>
      <c r="C1406" s="19"/>
      <c r="D1406" s="19"/>
      <c r="E1406" s="18"/>
      <c r="F1406" s="18"/>
      <c r="G1406" s="13" t="str">
        <f aca="false">IF(F1406="","",IFERROR(INDEX(Metas!$B$5:$B$54,MATCH(F1406,Metas!$A$5:$A$54,0)),"⚠ ID de meta no existe"))</f>
        <v/>
      </c>
      <c r="H1406" s="16" t="str">
        <f aca="false">IF(OR(C1406="",D1406=""),"",ROUND(MOD(D1406-C1406,1)*24,2))</f>
        <v/>
      </c>
      <c r="I1406" s="18"/>
      <c r="J1406" s="18"/>
      <c r="K1406" s="18"/>
    </row>
    <row r="1407" customFormat="false" ht="15" hidden="false" customHeight="false" outlineLevel="0" collapsed="false">
      <c r="A1407" s="17"/>
      <c r="B1407" s="18"/>
      <c r="C1407" s="19"/>
      <c r="D1407" s="19"/>
      <c r="E1407" s="18"/>
      <c r="F1407" s="18"/>
      <c r="G1407" s="13" t="str">
        <f aca="false">IF(F1407="","",IFERROR(INDEX(Metas!$B$5:$B$54,MATCH(F1407,Metas!$A$5:$A$54,0)),"⚠ ID de meta no existe"))</f>
        <v/>
      </c>
      <c r="H1407" s="16" t="str">
        <f aca="false">IF(OR(C1407="",D1407=""),"",ROUND(MOD(D1407-C1407,1)*24,2))</f>
        <v/>
      </c>
      <c r="I1407" s="18"/>
      <c r="J1407" s="18"/>
      <c r="K1407" s="18"/>
    </row>
    <row r="1408" customFormat="false" ht="15" hidden="false" customHeight="false" outlineLevel="0" collapsed="false">
      <c r="A1408" s="17"/>
      <c r="B1408" s="18"/>
      <c r="C1408" s="19"/>
      <c r="D1408" s="19"/>
      <c r="E1408" s="18"/>
      <c r="F1408" s="18"/>
      <c r="G1408" s="13" t="str">
        <f aca="false">IF(F1408="","",IFERROR(INDEX(Metas!$B$5:$B$54,MATCH(F1408,Metas!$A$5:$A$54,0)),"⚠ ID de meta no existe"))</f>
        <v/>
      </c>
      <c r="H1408" s="16" t="str">
        <f aca="false">IF(OR(C1408="",D1408=""),"",ROUND(MOD(D1408-C1408,1)*24,2))</f>
        <v/>
      </c>
      <c r="I1408" s="18"/>
      <c r="J1408" s="18"/>
      <c r="K1408" s="18"/>
    </row>
    <row r="1409" customFormat="false" ht="15" hidden="false" customHeight="false" outlineLevel="0" collapsed="false">
      <c r="A1409" s="17"/>
      <c r="B1409" s="18"/>
      <c r="C1409" s="19"/>
      <c r="D1409" s="19"/>
      <c r="E1409" s="18"/>
      <c r="F1409" s="18"/>
      <c r="G1409" s="13" t="str">
        <f aca="false">IF(F1409="","",IFERROR(INDEX(Metas!$B$5:$B$54,MATCH(F1409,Metas!$A$5:$A$54,0)),"⚠ ID de meta no existe"))</f>
        <v/>
      </c>
      <c r="H1409" s="16" t="str">
        <f aca="false">IF(OR(C1409="",D1409=""),"",ROUND(MOD(D1409-C1409,1)*24,2))</f>
        <v/>
      </c>
      <c r="I1409" s="18"/>
      <c r="J1409" s="18"/>
      <c r="K1409" s="18"/>
    </row>
    <row r="1410" customFormat="false" ht="15" hidden="false" customHeight="false" outlineLevel="0" collapsed="false">
      <c r="A1410" s="17"/>
      <c r="B1410" s="18"/>
      <c r="C1410" s="19"/>
      <c r="D1410" s="19"/>
      <c r="E1410" s="18"/>
      <c r="F1410" s="18"/>
      <c r="G1410" s="13" t="str">
        <f aca="false">IF(F1410="","",IFERROR(INDEX(Metas!$B$5:$B$54,MATCH(F1410,Metas!$A$5:$A$54,0)),"⚠ ID de meta no existe"))</f>
        <v/>
      </c>
      <c r="H1410" s="16" t="str">
        <f aca="false">IF(OR(C1410="",D1410=""),"",ROUND(MOD(D1410-C1410,1)*24,2))</f>
        <v/>
      </c>
      <c r="I1410" s="18"/>
      <c r="J1410" s="18"/>
      <c r="K1410" s="18"/>
    </row>
    <row r="1411" customFormat="false" ht="15" hidden="false" customHeight="false" outlineLevel="0" collapsed="false">
      <c r="A1411" s="17"/>
      <c r="B1411" s="18"/>
      <c r="C1411" s="19"/>
      <c r="D1411" s="19"/>
      <c r="E1411" s="18"/>
      <c r="F1411" s="18"/>
      <c r="G1411" s="13" t="str">
        <f aca="false">IF(F1411="","",IFERROR(INDEX(Metas!$B$5:$B$54,MATCH(F1411,Metas!$A$5:$A$54,0)),"⚠ ID de meta no existe"))</f>
        <v/>
      </c>
      <c r="H1411" s="16" t="str">
        <f aca="false">IF(OR(C1411="",D1411=""),"",ROUND(MOD(D1411-C1411,1)*24,2))</f>
        <v/>
      </c>
      <c r="I1411" s="18"/>
      <c r="J1411" s="18"/>
      <c r="K1411" s="18"/>
    </row>
    <row r="1412" customFormat="false" ht="15" hidden="false" customHeight="false" outlineLevel="0" collapsed="false">
      <c r="A1412" s="17"/>
      <c r="B1412" s="18"/>
      <c r="C1412" s="19"/>
      <c r="D1412" s="19"/>
      <c r="E1412" s="18"/>
      <c r="F1412" s="18"/>
      <c r="G1412" s="13" t="str">
        <f aca="false">IF(F1412="","",IFERROR(INDEX(Metas!$B$5:$B$54,MATCH(F1412,Metas!$A$5:$A$54,0)),"⚠ ID de meta no existe"))</f>
        <v/>
      </c>
      <c r="H1412" s="16" t="str">
        <f aca="false">IF(OR(C1412="",D1412=""),"",ROUND(MOD(D1412-C1412,1)*24,2))</f>
        <v/>
      </c>
      <c r="I1412" s="18"/>
      <c r="J1412" s="18"/>
      <c r="K1412" s="18"/>
    </row>
    <row r="1413" customFormat="false" ht="15" hidden="false" customHeight="false" outlineLevel="0" collapsed="false">
      <c r="A1413" s="17"/>
      <c r="B1413" s="18"/>
      <c r="C1413" s="19"/>
      <c r="D1413" s="19"/>
      <c r="E1413" s="18"/>
      <c r="F1413" s="18"/>
      <c r="G1413" s="13" t="str">
        <f aca="false">IF(F1413="","",IFERROR(INDEX(Metas!$B$5:$B$54,MATCH(F1413,Metas!$A$5:$A$54,0)),"⚠ ID de meta no existe"))</f>
        <v/>
      </c>
      <c r="H1413" s="16" t="str">
        <f aca="false">IF(OR(C1413="",D1413=""),"",ROUND(MOD(D1413-C1413,1)*24,2))</f>
        <v/>
      </c>
      <c r="I1413" s="18"/>
      <c r="J1413" s="18"/>
      <c r="K1413" s="18"/>
    </row>
    <row r="1414" customFormat="false" ht="15" hidden="false" customHeight="false" outlineLevel="0" collapsed="false">
      <c r="A1414" s="17"/>
      <c r="B1414" s="18"/>
      <c r="C1414" s="19"/>
      <c r="D1414" s="19"/>
      <c r="E1414" s="18"/>
      <c r="F1414" s="18"/>
      <c r="G1414" s="13" t="str">
        <f aca="false">IF(F1414="","",IFERROR(INDEX(Metas!$B$5:$B$54,MATCH(F1414,Metas!$A$5:$A$54,0)),"⚠ ID de meta no existe"))</f>
        <v/>
      </c>
      <c r="H1414" s="16" t="str">
        <f aca="false">IF(OR(C1414="",D1414=""),"",ROUND(MOD(D1414-C1414,1)*24,2))</f>
        <v/>
      </c>
      <c r="I1414" s="18"/>
      <c r="J1414" s="18"/>
      <c r="K1414" s="18"/>
    </row>
    <row r="1415" customFormat="false" ht="15" hidden="false" customHeight="false" outlineLevel="0" collapsed="false">
      <c r="A1415" s="17"/>
      <c r="B1415" s="18"/>
      <c r="C1415" s="19"/>
      <c r="D1415" s="19"/>
      <c r="E1415" s="18"/>
      <c r="F1415" s="18"/>
      <c r="G1415" s="13" t="str">
        <f aca="false">IF(F1415="","",IFERROR(INDEX(Metas!$B$5:$B$54,MATCH(F1415,Metas!$A$5:$A$54,0)),"⚠ ID de meta no existe"))</f>
        <v/>
      </c>
      <c r="H1415" s="16" t="str">
        <f aca="false">IF(OR(C1415="",D1415=""),"",ROUND(MOD(D1415-C1415,1)*24,2))</f>
        <v/>
      </c>
      <c r="I1415" s="18"/>
      <c r="J1415" s="18"/>
      <c r="K1415" s="18"/>
    </row>
    <row r="1416" customFormat="false" ht="15" hidden="false" customHeight="false" outlineLevel="0" collapsed="false">
      <c r="A1416" s="17"/>
      <c r="B1416" s="18"/>
      <c r="C1416" s="19"/>
      <c r="D1416" s="19"/>
      <c r="E1416" s="18"/>
      <c r="F1416" s="18"/>
      <c r="G1416" s="13" t="str">
        <f aca="false">IF(F1416="","",IFERROR(INDEX(Metas!$B$5:$B$54,MATCH(F1416,Metas!$A$5:$A$54,0)),"⚠ ID de meta no existe"))</f>
        <v/>
      </c>
      <c r="H1416" s="16" t="str">
        <f aca="false">IF(OR(C1416="",D1416=""),"",ROUND(MOD(D1416-C1416,1)*24,2))</f>
        <v/>
      </c>
      <c r="I1416" s="18"/>
      <c r="J1416" s="18"/>
      <c r="K1416" s="18"/>
    </row>
    <row r="1417" customFormat="false" ht="15" hidden="false" customHeight="false" outlineLevel="0" collapsed="false">
      <c r="A1417" s="17"/>
      <c r="B1417" s="18"/>
      <c r="C1417" s="19"/>
      <c r="D1417" s="19"/>
      <c r="E1417" s="18"/>
      <c r="F1417" s="18"/>
      <c r="G1417" s="13" t="str">
        <f aca="false">IF(F1417="","",IFERROR(INDEX(Metas!$B$5:$B$54,MATCH(F1417,Metas!$A$5:$A$54,0)),"⚠ ID de meta no existe"))</f>
        <v/>
      </c>
      <c r="H1417" s="16" t="str">
        <f aca="false">IF(OR(C1417="",D1417=""),"",ROUND(MOD(D1417-C1417,1)*24,2))</f>
        <v/>
      </c>
      <c r="I1417" s="18"/>
      <c r="J1417" s="18"/>
      <c r="K1417" s="18"/>
    </row>
    <row r="1418" customFormat="false" ht="15" hidden="false" customHeight="false" outlineLevel="0" collapsed="false">
      <c r="A1418" s="17"/>
      <c r="B1418" s="18"/>
      <c r="C1418" s="19"/>
      <c r="D1418" s="19"/>
      <c r="E1418" s="18"/>
      <c r="F1418" s="18"/>
      <c r="G1418" s="13" t="str">
        <f aca="false">IF(F1418="","",IFERROR(INDEX(Metas!$B$5:$B$54,MATCH(F1418,Metas!$A$5:$A$54,0)),"⚠ ID de meta no existe"))</f>
        <v/>
      </c>
      <c r="H1418" s="16" t="str">
        <f aca="false">IF(OR(C1418="",D1418=""),"",ROUND(MOD(D1418-C1418,1)*24,2))</f>
        <v/>
      </c>
      <c r="I1418" s="18"/>
      <c r="J1418" s="18"/>
      <c r="K1418" s="18"/>
    </row>
    <row r="1419" customFormat="false" ht="15" hidden="false" customHeight="false" outlineLevel="0" collapsed="false">
      <c r="A1419" s="17"/>
      <c r="B1419" s="18"/>
      <c r="C1419" s="19"/>
      <c r="D1419" s="19"/>
      <c r="E1419" s="18"/>
      <c r="F1419" s="18"/>
      <c r="G1419" s="13" t="str">
        <f aca="false">IF(F1419="","",IFERROR(INDEX(Metas!$B$5:$B$54,MATCH(F1419,Metas!$A$5:$A$54,0)),"⚠ ID de meta no existe"))</f>
        <v/>
      </c>
      <c r="H1419" s="16" t="str">
        <f aca="false">IF(OR(C1419="",D1419=""),"",ROUND(MOD(D1419-C1419,1)*24,2))</f>
        <v/>
      </c>
      <c r="I1419" s="18"/>
      <c r="J1419" s="18"/>
      <c r="K1419" s="18"/>
    </row>
    <row r="1420" customFormat="false" ht="15" hidden="false" customHeight="false" outlineLevel="0" collapsed="false">
      <c r="A1420" s="17"/>
      <c r="B1420" s="18"/>
      <c r="C1420" s="19"/>
      <c r="D1420" s="19"/>
      <c r="E1420" s="18"/>
      <c r="F1420" s="18"/>
      <c r="G1420" s="13" t="str">
        <f aca="false">IF(F1420="","",IFERROR(INDEX(Metas!$B$5:$B$54,MATCH(F1420,Metas!$A$5:$A$54,0)),"⚠ ID de meta no existe"))</f>
        <v/>
      </c>
      <c r="H1420" s="16" t="str">
        <f aca="false">IF(OR(C1420="",D1420=""),"",ROUND(MOD(D1420-C1420,1)*24,2))</f>
        <v/>
      </c>
      <c r="I1420" s="18"/>
      <c r="J1420" s="18"/>
      <c r="K1420" s="18"/>
    </row>
    <row r="1421" customFormat="false" ht="15" hidden="false" customHeight="false" outlineLevel="0" collapsed="false">
      <c r="A1421" s="17"/>
      <c r="B1421" s="18"/>
      <c r="C1421" s="19"/>
      <c r="D1421" s="19"/>
      <c r="E1421" s="18"/>
      <c r="F1421" s="18"/>
      <c r="G1421" s="13" t="str">
        <f aca="false">IF(F1421="","",IFERROR(INDEX(Metas!$B$5:$B$54,MATCH(F1421,Metas!$A$5:$A$54,0)),"⚠ ID de meta no existe"))</f>
        <v/>
      </c>
      <c r="H1421" s="16" t="str">
        <f aca="false">IF(OR(C1421="",D1421=""),"",ROUND(MOD(D1421-C1421,1)*24,2))</f>
        <v/>
      </c>
      <c r="I1421" s="18"/>
      <c r="J1421" s="18"/>
      <c r="K1421" s="18"/>
    </row>
    <row r="1422" customFormat="false" ht="15" hidden="false" customHeight="false" outlineLevel="0" collapsed="false">
      <c r="A1422" s="17"/>
      <c r="B1422" s="18"/>
      <c r="C1422" s="19"/>
      <c r="D1422" s="19"/>
      <c r="E1422" s="18"/>
      <c r="F1422" s="18"/>
      <c r="G1422" s="13" t="str">
        <f aca="false">IF(F1422="","",IFERROR(INDEX(Metas!$B$5:$B$54,MATCH(F1422,Metas!$A$5:$A$54,0)),"⚠ ID de meta no existe"))</f>
        <v/>
      </c>
      <c r="H1422" s="16" t="str">
        <f aca="false">IF(OR(C1422="",D1422=""),"",ROUND(MOD(D1422-C1422,1)*24,2))</f>
        <v/>
      </c>
      <c r="I1422" s="18"/>
      <c r="J1422" s="18"/>
      <c r="K1422" s="18"/>
    </row>
    <row r="1423" customFormat="false" ht="15" hidden="false" customHeight="false" outlineLevel="0" collapsed="false">
      <c r="A1423" s="17"/>
      <c r="B1423" s="18"/>
      <c r="C1423" s="19"/>
      <c r="D1423" s="19"/>
      <c r="E1423" s="18"/>
      <c r="F1423" s="18"/>
      <c r="G1423" s="13" t="str">
        <f aca="false">IF(F1423="","",IFERROR(INDEX(Metas!$B$5:$B$54,MATCH(F1423,Metas!$A$5:$A$54,0)),"⚠ ID de meta no existe"))</f>
        <v/>
      </c>
      <c r="H1423" s="16" t="str">
        <f aca="false">IF(OR(C1423="",D1423=""),"",ROUND(MOD(D1423-C1423,1)*24,2))</f>
        <v/>
      </c>
      <c r="I1423" s="18"/>
      <c r="J1423" s="18"/>
      <c r="K1423" s="18"/>
    </row>
    <row r="1424" customFormat="false" ht="15" hidden="false" customHeight="false" outlineLevel="0" collapsed="false">
      <c r="A1424" s="17"/>
      <c r="B1424" s="18"/>
      <c r="C1424" s="19"/>
      <c r="D1424" s="19"/>
      <c r="E1424" s="18"/>
      <c r="F1424" s="18"/>
      <c r="G1424" s="13" t="str">
        <f aca="false">IF(F1424="","",IFERROR(INDEX(Metas!$B$5:$B$54,MATCH(F1424,Metas!$A$5:$A$54,0)),"⚠ ID de meta no existe"))</f>
        <v/>
      </c>
      <c r="H1424" s="16" t="str">
        <f aca="false">IF(OR(C1424="",D1424=""),"",ROUND(MOD(D1424-C1424,1)*24,2))</f>
        <v/>
      </c>
      <c r="I1424" s="18"/>
      <c r="J1424" s="18"/>
      <c r="K1424" s="18"/>
    </row>
    <row r="1425" customFormat="false" ht="15" hidden="false" customHeight="false" outlineLevel="0" collapsed="false">
      <c r="A1425" s="17"/>
      <c r="B1425" s="18"/>
      <c r="C1425" s="19"/>
      <c r="D1425" s="19"/>
      <c r="E1425" s="18"/>
      <c r="F1425" s="18"/>
      <c r="G1425" s="13" t="str">
        <f aca="false">IF(F1425="","",IFERROR(INDEX(Metas!$B$5:$B$54,MATCH(F1425,Metas!$A$5:$A$54,0)),"⚠ ID de meta no existe"))</f>
        <v/>
      </c>
      <c r="H1425" s="16" t="str">
        <f aca="false">IF(OR(C1425="",D1425=""),"",ROUND(MOD(D1425-C1425,1)*24,2))</f>
        <v/>
      </c>
      <c r="I1425" s="18"/>
      <c r="J1425" s="18"/>
      <c r="K1425" s="18"/>
    </row>
    <row r="1426" customFormat="false" ht="15" hidden="false" customHeight="false" outlineLevel="0" collapsed="false">
      <c r="A1426" s="17"/>
      <c r="B1426" s="18"/>
      <c r="C1426" s="19"/>
      <c r="D1426" s="19"/>
      <c r="E1426" s="18"/>
      <c r="F1426" s="18"/>
      <c r="G1426" s="13" t="str">
        <f aca="false">IF(F1426="","",IFERROR(INDEX(Metas!$B$5:$B$54,MATCH(F1426,Metas!$A$5:$A$54,0)),"⚠ ID de meta no existe"))</f>
        <v/>
      </c>
      <c r="H1426" s="16" t="str">
        <f aca="false">IF(OR(C1426="",D1426=""),"",ROUND(MOD(D1426-C1426,1)*24,2))</f>
        <v/>
      </c>
      <c r="I1426" s="18"/>
      <c r="J1426" s="18"/>
      <c r="K1426" s="18"/>
    </row>
    <row r="1427" customFormat="false" ht="15" hidden="false" customHeight="false" outlineLevel="0" collapsed="false">
      <c r="A1427" s="17"/>
      <c r="B1427" s="18"/>
      <c r="C1427" s="19"/>
      <c r="D1427" s="19"/>
      <c r="E1427" s="18"/>
      <c r="F1427" s="18"/>
      <c r="G1427" s="13" t="str">
        <f aca="false">IF(F1427="","",IFERROR(INDEX(Metas!$B$5:$B$54,MATCH(F1427,Metas!$A$5:$A$54,0)),"⚠ ID de meta no existe"))</f>
        <v/>
      </c>
      <c r="H1427" s="16" t="str">
        <f aca="false">IF(OR(C1427="",D1427=""),"",ROUND(MOD(D1427-C1427,1)*24,2))</f>
        <v/>
      </c>
      <c r="I1427" s="18"/>
      <c r="J1427" s="18"/>
      <c r="K1427" s="18"/>
    </row>
    <row r="1428" customFormat="false" ht="15" hidden="false" customHeight="false" outlineLevel="0" collapsed="false">
      <c r="A1428" s="17"/>
      <c r="B1428" s="18"/>
      <c r="C1428" s="19"/>
      <c r="D1428" s="19"/>
      <c r="E1428" s="18"/>
      <c r="F1428" s="18"/>
      <c r="G1428" s="13" t="str">
        <f aca="false">IF(F1428="","",IFERROR(INDEX(Metas!$B$5:$B$54,MATCH(F1428,Metas!$A$5:$A$54,0)),"⚠ ID de meta no existe"))</f>
        <v/>
      </c>
      <c r="H1428" s="16" t="str">
        <f aca="false">IF(OR(C1428="",D1428=""),"",ROUND(MOD(D1428-C1428,1)*24,2))</f>
        <v/>
      </c>
      <c r="I1428" s="18"/>
      <c r="J1428" s="18"/>
      <c r="K1428" s="18"/>
    </row>
    <row r="1429" customFormat="false" ht="15" hidden="false" customHeight="false" outlineLevel="0" collapsed="false">
      <c r="A1429" s="17"/>
      <c r="B1429" s="18"/>
      <c r="C1429" s="19"/>
      <c r="D1429" s="19"/>
      <c r="E1429" s="18"/>
      <c r="F1429" s="18"/>
      <c r="G1429" s="13" t="str">
        <f aca="false">IF(F1429="","",IFERROR(INDEX(Metas!$B$5:$B$54,MATCH(F1429,Metas!$A$5:$A$54,0)),"⚠ ID de meta no existe"))</f>
        <v/>
      </c>
      <c r="H1429" s="16" t="str">
        <f aca="false">IF(OR(C1429="",D1429=""),"",ROUND(MOD(D1429-C1429,1)*24,2))</f>
        <v/>
      </c>
      <c r="I1429" s="18"/>
      <c r="J1429" s="18"/>
      <c r="K1429" s="18"/>
    </row>
    <row r="1430" customFormat="false" ht="15" hidden="false" customHeight="false" outlineLevel="0" collapsed="false">
      <c r="A1430" s="17"/>
      <c r="B1430" s="18"/>
      <c r="C1430" s="19"/>
      <c r="D1430" s="19"/>
      <c r="E1430" s="18"/>
      <c r="F1430" s="18"/>
      <c r="G1430" s="13" t="str">
        <f aca="false">IF(F1430="","",IFERROR(INDEX(Metas!$B$5:$B$54,MATCH(F1430,Metas!$A$5:$A$54,0)),"⚠ ID de meta no existe"))</f>
        <v/>
      </c>
      <c r="H1430" s="16" t="str">
        <f aca="false">IF(OR(C1430="",D1430=""),"",ROUND(MOD(D1430-C1430,1)*24,2))</f>
        <v/>
      </c>
      <c r="I1430" s="18"/>
      <c r="J1430" s="18"/>
      <c r="K1430" s="18"/>
    </row>
    <row r="1431" customFormat="false" ht="15" hidden="false" customHeight="false" outlineLevel="0" collapsed="false">
      <c r="A1431" s="17"/>
      <c r="B1431" s="18"/>
      <c r="C1431" s="19"/>
      <c r="D1431" s="19"/>
      <c r="E1431" s="18"/>
      <c r="F1431" s="18"/>
      <c r="G1431" s="13" t="str">
        <f aca="false">IF(F1431="","",IFERROR(INDEX(Metas!$B$5:$B$54,MATCH(F1431,Metas!$A$5:$A$54,0)),"⚠ ID de meta no existe"))</f>
        <v/>
      </c>
      <c r="H1431" s="16" t="str">
        <f aca="false">IF(OR(C1431="",D1431=""),"",ROUND(MOD(D1431-C1431,1)*24,2))</f>
        <v/>
      </c>
      <c r="I1431" s="18"/>
      <c r="J1431" s="18"/>
      <c r="K1431" s="18"/>
    </row>
    <row r="1432" customFormat="false" ht="15" hidden="false" customHeight="false" outlineLevel="0" collapsed="false">
      <c r="A1432" s="17"/>
      <c r="B1432" s="18"/>
      <c r="C1432" s="19"/>
      <c r="D1432" s="19"/>
      <c r="E1432" s="18"/>
      <c r="F1432" s="18"/>
      <c r="G1432" s="13" t="str">
        <f aca="false">IF(F1432="","",IFERROR(INDEX(Metas!$B$5:$B$54,MATCH(F1432,Metas!$A$5:$A$54,0)),"⚠ ID de meta no existe"))</f>
        <v/>
      </c>
      <c r="H1432" s="16" t="str">
        <f aca="false">IF(OR(C1432="",D1432=""),"",ROUND(MOD(D1432-C1432,1)*24,2))</f>
        <v/>
      </c>
      <c r="I1432" s="18"/>
      <c r="J1432" s="18"/>
      <c r="K1432" s="18"/>
    </row>
    <row r="1433" customFormat="false" ht="15" hidden="false" customHeight="false" outlineLevel="0" collapsed="false">
      <c r="A1433" s="17"/>
      <c r="B1433" s="18"/>
      <c r="C1433" s="19"/>
      <c r="D1433" s="19"/>
      <c r="E1433" s="18"/>
      <c r="F1433" s="18"/>
      <c r="G1433" s="13" t="str">
        <f aca="false">IF(F1433="","",IFERROR(INDEX(Metas!$B$5:$B$54,MATCH(F1433,Metas!$A$5:$A$54,0)),"⚠ ID de meta no existe"))</f>
        <v/>
      </c>
      <c r="H1433" s="16" t="str">
        <f aca="false">IF(OR(C1433="",D1433=""),"",ROUND(MOD(D1433-C1433,1)*24,2))</f>
        <v/>
      </c>
      <c r="I1433" s="18"/>
      <c r="J1433" s="18"/>
      <c r="K1433" s="18"/>
    </row>
    <row r="1434" customFormat="false" ht="15" hidden="false" customHeight="false" outlineLevel="0" collapsed="false">
      <c r="A1434" s="17"/>
      <c r="B1434" s="18"/>
      <c r="C1434" s="19"/>
      <c r="D1434" s="19"/>
      <c r="E1434" s="18"/>
      <c r="F1434" s="18"/>
      <c r="G1434" s="13" t="str">
        <f aca="false">IF(F1434="","",IFERROR(INDEX(Metas!$B$5:$B$54,MATCH(F1434,Metas!$A$5:$A$54,0)),"⚠ ID de meta no existe"))</f>
        <v/>
      </c>
      <c r="H1434" s="16" t="str">
        <f aca="false">IF(OR(C1434="",D1434=""),"",ROUND(MOD(D1434-C1434,1)*24,2))</f>
        <v/>
      </c>
      <c r="I1434" s="18"/>
      <c r="J1434" s="18"/>
      <c r="K1434" s="18"/>
    </row>
    <row r="1435" customFormat="false" ht="15" hidden="false" customHeight="false" outlineLevel="0" collapsed="false">
      <c r="A1435" s="17"/>
      <c r="B1435" s="18"/>
      <c r="C1435" s="19"/>
      <c r="D1435" s="19"/>
      <c r="E1435" s="18"/>
      <c r="F1435" s="18"/>
      <c r="G1435" s="13" t="str">
        <f aca="false">IF(F1435="","",IFERROR(INDEX(Metas!$B$5:$B$54,MATCH(F1435,Metas!$A$5:$A$54,0)),"⚠ ID de meta no existe"))</f>
        <v/>
      </c>
      <c r="H1435" s="16" t="str">
        <f aca="false">IF(OR(C1435="",D1435=""),"",ROUND(MOD(D1435-C1435,1)*24,2))</f>
        <v/>
      </c>
      <c r="I1435" s="18"/>
      <c r="J1435" s="18"/>
      <c r="K1435" s="18"/>
    </row>
    <row r="1436" customFormat="false" ht="15" hidden="false" customHeight="false" outlineLevel="0" collapsed="false">
      <c r="A1436" s="17"/>
      <c r="B1436" s="18"/>
      <c r="C1436" s="19"/>
      <c r="D1436" s="19"/>
      <c r="E1436" s="18"/>
      <c r="F1436" s="18"/>
      <c r="G1436" s="13" t="str">
        <f aca="false">IF(F1436="","",IFERROR(INDEX(Metas!$B$5:$B$54,MATCH(F1436,Metas!$A$5:$A$54,0)),"⚠ ID de meta no existe"))</f>
        <v/>
      </c>
      <c r="H1436" s="16" t="str">
        <f aca="false">IF(OR(C1436="",D1436=""),"",ROUND(MOD(D1436-C1436,1)*24,2))</f>
        <v/>
      </c>
      <c r="I1436" s="18"/>
      <c r="J1436" s="18"/>
      <c r="K1436" s="18"/>
    </row>
    <row r="1437" customFormat="false" ht="15" hidden="false" customHeight="false" outlineLevel="0" collapsed="false">
      <c r="A1437" s="17"/>
      <c r="B1437" s="18"/>
      <c r="C1437" s="19"/>
      <c r="D1437" s="19"/>
      <c r="E1437" s="18"/>
      <c r="F1437" s="18"/>
      <c r="G1437" s="13" t="str">
        <f aca="false">IF(F1437="","",IFERROR(INDEX(Metas!$B$5:$B$54,MATCH(F1437,Metas!$A$5:$A$54,0)),"⚠ ID de meta no existe"))</f>
        <v/>
      </c>
      <c r="H1437" s="16" t="str">
        <f aca="false">IF(OR(C1437="",D1437=""),"",ROUND(MOD(D1437-C1437,1)*24,2))</f>
        <v/>
      </c>
      <c r="I1437" s="18"/>
      <c r="J1437" s="18"/>
      <c r="K1437" s="18"/>
    </row>
    <row r="1438" customFormat="false" ht="15" hidden="false" customHeight="false" outlineLevel="0" collapsed="false">
      <c r="A1438" s="17"/>
      <c r="B1438" s="18"/>
      <c r="C1438" s="19"/>
      <c r="D1438" s="19"/>
      <c r="E1438" s="18"/>
      <c r="F1438" s="18"/>
      <c r="G1438" s="13" t="str">
        <f aca="false">IF(F1438="","",IFERROR(INDEX(Metas!$B$5:$B$54,MATCH(F1438,Metas!$A$5:$A$54,0)),"⚠ ID de meta no existe"))</f>
        <v/>
      </c>
      <c r="H1438" s="16" t="str">
        <f aca="false">IF(OR(C1438="",D1438=""),"",ROUND(MOD(D1438-C1438,1)*24,2))</f>
        <v/>
      </c>
      <c r="I1438" s="18"/>
      <c r="J1438" s="18"/>
      <c r="K1438" s="18"/>
    </row>
    <row r="1439" customFormat="false" ht="15" hidden="false" customHeight="false" outlineLevel="0" collapsed="false">
      <c r="A1439" s="17"/>
      <c r="B1439" s="18"/>
      <c r="C1439" s="19"/>
      <c r="D1439" s="19"/>
      <c r="E1439" s="18"/>
      <c r="F1439" s="18"/>
      <c r="G1439" s="13" t="str">
        <f aca="false">IF(F1439="","",IFERROR(INDEX(Metas!$B$5:$B$54,MATCH(F1439,Metas!$A$5:$A$54,0)),"⚠ ID de meta no existe"))</f>
        <v/>
      </c>
      <c r="H1439" s="16" t="str">
        <f aca="false">IF(OR(C1439="",D1439=""),"",ROUND(MOD(D1439-C1439,1)*24,2))</f>
        <v/>
      </c>
      <c r="I1439" s="18"/>
      <c r="J1439" s="18"/>
      <c r="K1439" s="18"/>
    </row>
    <row r="1440" customFormat="false" ht="15" hidden="false" customHeight="false" outlineLevel="0" collapsed="false">
      <c r="A1440" s="17"/>
      <c r="B1440" s="18"/>
      <c r="C1440" s="19"/>
      <c r="D1440" s="19"/>
      <c r="E1440" s="18"/>
      <c r="F1440" s="18"/>
      <c r="G1440" s="13" t="str">
        <f aca="false">IF(F1440="","",IFERROR(INDEX(Metas!$B$5:$B$54,MATCH(F1440,Metas!$A$5:$A$54,0)),"⚠ ID de meta no existe"))</f>
        <v/>
      </c>
      <c r="H1440" s="16" t="str">
        <f aca="false">IF(OR(C1440="",D1440=""),"",ROUND(MOD(D1440-C1440,1)*24,2))</f>
        <v/>
      </c>
      <c r="I1440" s="18"/>
      <c r="J1440" s="18"/>
      <c r="K1440" s="18"/>
    </row>
    <row r="1441" customFormat="false" ht="15" hidden="false" customHeight="false" outlineLevel="0" collapsed="false">
      <c r="A1441" s="17"/>
      <c r="B1441" s="18"/>
      <c r="C1441" s="19"/>
      <c r="D1441" s="19"/>
      <c r="E1441" s="18"/>
      <c r="F1441" s="18"/>
      <c r="G1441" s="13" t="str">
        <f aca="false">IF(F1441="","",IFERROR(INDEX(Metas!$B$5:$B$54,MATCH(F1441,Metas!$A$5:$A$54,0)),"⚠ ID de meta no existe"))</f>
        <v/>
      </c>
      <c r="H1441" s="16" t="str">
        <f aca="false">IF(OR(C1441="",D1441=""),"",ROUND(MOD(D1441-C1441,1)*24,2))</f>
        <v/>
      </c>
      <c r="I1441" s="18"/>
      <c r="J1441" s="18"/>
      <c r="K1441" s="18"/>
    </row>
    <row r="1442" customFormat="false" ht="15" hidden="false" customHeight="false" outlineLevel="0" collapsed="false">
      <c r="A1442" s="17"/>
      <c r="B1442" s="18"/>
      <c r="C1442" s="19"/>
      <c r="D1442" s="19"/>
      <c r="E1442" s="18"/>
      <c r="F1442" s="18"/>
      <c r="G1442" s="13" t="str">
        <f aca="false">IF(F1442="","",IFERROR(INDEX(Metas!$B$5:$B$54,MATCH(F1442,Metas!$A$5:$A$54,0)),"⚠ ID de meta no existe"))</f>
        <v/>
      </c>
      <c r="H1442" s="16" t="str">
        <f aca="false">IF(OR(C1442="",D1442=""),"",ROUND(MOD(D1442-C1442,1)*24,2))</f>
        <v/>
      </c>
      <c r="I1442" s="18"/>
      <c r="J1442" s="18"/>
      <c r="K1442" s="18"/>
    </row>
    <row r="1443" customFormat="false" ht="15" hidden="false" customHeight="false" outlineLevel="0" collapsed="false">
      <c r="A1443" s="17"/>
      <c r="B1443" s="18"/>
      <c r="C1443" s="19"/>
      <c r="D1443" s="19"/>
      <c r="E1443" s="18"/>
      <c r="F1443" s="18"/>
      <c r="G1443" s="13" t="str">
        <f aca="false">IF(F1443="","",IFERROR(INDEX(Metas!$B$5:$B$54,MATCH(F1443,Metas!$A$5:$A$54,0)),"⚠ ID de meta no existe"))</f>
        <v/>
      </c>
      <c r="H1443" s="16" t="str">
        <f aca="false">IF(OR(C1443="",D1443=""),"",ROUND(MOD(D1443-C1443,1)*24,2))</f>
        <v/>
      </c>
      <c r="I1443" s="18"/>
      <c r="J1443" s="18"/>
      <c r="K1443" s="18"/>
    </row>
    <row r="1444" customFormat="false" ht="15" hidden="false" customHeight="false" outlineLevel="0" collapsed="false">
      <c r="A1444" s="17"/>
      <c r="B1444" s="18"/>
      <c r="C1444" s="19"/>
      <c r="D1444" s="19"/>
      <c r="E1444" s="18"/>
      <c r="F1444" s="18"/>
      <c r="G1444" s="13" t="str">
        <f aca="false">IF(F1444="","",IFERROR(INDEX(Metas!$B$5:$B$54,MATCH(F1444,Metas!$A$5:$A$54,0)),"⚠ ID de meta no existe"))</f>
        <v/>
      </c>
      <c r="H1444" s="16" t="str">
        <f aca="false">IF(OR(C1444="",D1444=""),"",ROUND(MOD(D1444-C1444,1)*24,2))</f>
        <v/>
      </c>
      <c r="I1444" s="18"/>
      <c r="J1444" s="18"/>
      <c r="K1444" s="18"/>
    </row>
    <row r="1445" customFormat="false" ht="15" hidden="false" customHeight="false" outlineLevel="0" collapsed="false">
      <c r="A1445" s="17"/>
      <c r="B1445" s="18"/>
      <c r="C1445" s="19"/>
      <c r="D1445" s="19"/>
      <c r="E1445" s="18"/>
      <c r="F1445" s="18"/>
      <c r="G1445" s="13" t="str">
        <f aca="false">IF(F1445="","",IFERROR(INDEX(Metas!$B$5:$B$54,MATCH(F1445,Metas!$A$5:$A$54,0)),"⚠ ID de meta no existe"))</f>
        <v/>
      </c>
      <c r="H1445" s="16" t="str">
        <f aca="false">IF(OR(C1445="",D1445=""),"",ROUND(MOD(D1445-C1445,1)*24,2))</f>
        <v/>
      </c>
      <c r="I1445" s="18"/>
      <c r="J1445" s="18"/>
      <c r="K1445" s="18"/>
    </row>
    <row r="1446" customFormat="false" ht="15" hidden="false" customHeight="false" outlineLevel="0" collapsed="false">
      <c r="A1446" s="17"/>
      <c r="B1446" s="18"/>
      <c r="C1446" s="19"/>
      <c r="D1446" s="19"/>
      <c r="E1446" s="18"/>
      <c r="F1446" s="18"/>
      <c r="G1446" s="13" t="str">
        <f aca="false">IF(F1446="","",IFERROR(INDEX(Metas!$B$5:$B$54,MATCH(F1446,Metas!$A$5:$A$54,0)),"⚠ ID de meta no existe"))</f>
        <v/>
      </c>
      <c r="H1446" s="16" t="str">
        <f aca="false">IF(OR(C1446="",D1446=""),"",ROUND(MOD(D1446-C1446,1)*24,2))</f>
        <v/>
      </c>
      <c r="I1446" s="18"/>
      <c r="J1446" s="18"/>
      <c r="K1446" s="18"/>
    </row>
    <row r="1447" customFormat="false" ht="15" hidden="false" customHeight="false" outlineLevel="0" collapsed="false">
      <c r="A1447" s="17"/>
      <c r="B1447" s="18"/>
      <c r="C1447" s="19"/>
      <c r="D1447" s="19"/>
      <c r="E1447" s="18"/>
      <c r="F1447" s="18"/>
      <c r="G1447" s="13" t="str">
        <f aca="false">IF(F1447="","",IFERROR(INDEX(Metas!$B$5:$B$54,MATCH(F1447,Metas!$A$5:$A$54,0)),"⚠ ID de meta no existe"))</f>
        <v/>
      </c>
      <c r="H1447" s="16" t="str">
        <f aca="false">IF(OR(C1447="",D1447=""),"",ROUND(MOD(D1447-C1447,1)*24,2))</f>
        <v/>
      </c>
      <c r="I1447" s="18"/>
      <c r="J1447" s="18"/>
      <c r="K1447" s="18"/>
    </row>
    <row r="1448" customFormat="false" ht="15" hidden="false" customHeight="false" outlineLevel="0" collapsed="false">
      <c r="A1448" s="17"/>
      <c r="B1448" s="18"/>
      <c r="C1448" s="19"/>
      <c r="D1448" s="19"/>
      <c r="E1448" s="18"/>
      <c r="F1448" s="18"/>
      <c r="G1448" s="13" t="str">
        <f aca="false">IF(F1448="","",IFERROR(INDEX(Metas!$B$5:$B$54,MATCH(F1448,Metas!$A$5:$A$54,0)),"⚠ ID de meta no existe"))</f>
        <v/>
      </c>
      <c r="H1448" s="16" t="str">
        <f aca="false">IF(OR(C1448="",D1448=""),"",ROUND(MOD(D1448-C1448,1)*24,2))</f>
        <v/>
      </c>
      <c r="I1448" s="18"/>
      <c r="J1448" s="18"/>
      <c r="K1448" s="18"/>
    </row>
    <row r="1449" customFormat="false" ht="15" hidden="false" customHeight="false" outlineLevel="0" collapsed="false">
      <c r="A1449" s="17"/>
      <c r="B1449" s="18"/>
      <c r="C1449" s="19"/>
      <c r="D1449" s="19"/>
      <c r="E1449" s="18"/>
      <c r="F1449" s="18"/>
      <c r="G1449" s="13" t="str">
        <f aca="false">IF(F1449="","",IFERROR(INDEX(Metas!$B$5:$B$54,MATCH(F1449,Metas!$A$5:$A$54,0)),"⚠ ID de meta no existe"))</f>
        <v/>
      </c>
      <c r="H1449" s="16" t="str">
        <f aca="false">IF(OR(C1449="",D1449=""),"",ROUND(MOD(D1449-C1449,1)*24,2))</f>
        <v/>
      </c>
      <c r="I1449" s="18"/>
      <c r="J1449" s="18"/>
      <c r="K1449" s="18"/>
    </row>
    <row r="1450" customFormat="false" ht="15" hidden="false" customHeight="false" outlineLevel="0" collapsed="false">
      <c r="A1450" s="17"/>
      <c r="B1450" s="18"/>
      <c r="C1450" s="19"/>
      <c r="D1450" s="19"/>
      <c r="E1450" s="18"/>
      <c r="F1450" s="18"/>
      <c r="G1450" s="13" t="str">
        <f aca="false">IF(F1450="","",IFERROR(INDEX(Metas!$B$5:$B$54,MATCH(F1450,Metas!$A$5:$A$54,0)),"⚠ ID de meta no existe"))</f>
        <v/>
      </c>
      <c r="H1450" s="16" t="str">
        <f aca="false">IF(OR(C1450="",D1450=""),"",ROUND(MOD(D1450-C1450,1)*24,2))</f>
        <v/>
      </c>
      <c r="I1450" s="18"/>
      <c r="J1450" s="18"/>
      <c r="K1450" s="18"/>
    </row>
    <row r="1451" customFormat="false" ht="15" hidden="false" customHeight="false" outlineLevel="0" collapsed="false">
      <c r="A1451" s="17"/>
      <c r="B1451" s="18"/>
      <c r="C1451" s="19"/>
      <c r="D1451" s="19"/>
      <c r="E1451" s="18"/>
      <c r="F1451" s="18"/>
      <c r="G1451" s="13" t="str">
        <f aca="false">IF(F1451="","",IFERROR(INDEX(Metas!$B$5:$B$54,MATCH(F1451,Metas!$A$5:$A$54,0)),"⚠ ID de meta no existe"))</f>
        <v/>
      </c>
      <c r="H1451" s="16" t="str">
        <f aca="false">IF(OR(C1451="",D1451=""),"",ROUND(MOD(D1451-C1451,1)*24,2))</f>
        <v/>
      </c>
      <c r="I1451" s="18"/>
      <c r="J1451" s="18"/>
      <c r="K1451" s="18"/>
    </row>
    <row r="1452" customFormat="false" ht="15" hidden="false" customHeight="false" outlineLevel="0" collapsed="false">
      <c r="A1452" s="17"/>
      <c r="B1452" s="18"/>
      <c r="C1452" s="19"/>
      <c r="D1452" s="19"/>
      <c r="E1452" s="18"/>
      <c r="F1452" s="18"/>
      <c r="G1452" s="13" t="str">
        <f aca="false">IF(F1452="","",IFERROR(INDEX(Metas!$B$5:$B$54,MATCH(F1452,Metas!$A$5:$A$54,0)),"⚠ ID de meta no existe"))</f>
        <v/>
      </c>
      <c r="H1452" s="16" t="str">
        <f aca="false">IF(OR(C1452="",D1452=""),"",ROUND(MOD(D1452-C1452,1)*24,2))</f>
        <v/>
      </c>
      <c r="I1452" s="18"/>
      <c r="J1452" s="18"/>
      <c r="K1452" s="18"/>
    </row>
    <row r="1453" customFormat="false" ht="15" hidden="false" customHeight="false" outlineLevel="0" collapsed="false">
      <c r="A1453" s="17"/>
      <c r="B1453" s="18"/>
      <c r="C1453" s="19"/>
      <c r="D1453" s="19"/>
      <c r="E1453" s="18"/>
      <c r="F1453" s="18"/>
      <c r="G1453" s="13" t="str">
        <f aca="false">IF(F1453="","",IFERROR(INDEX(Metas!$B$5:$B$54,MATCH(F1453,Metas!$A$5:$A$54,0)),"⚠ ID de meta no existe"))</f>
        <v/>
      </c>
      <c r="H1453" s="16" t="str">
        <f aca="false">IF(OR(C1453="",D1453=""),"",ROUND(MOD(D1453-C1453,1)*24,2))</f>
        <v/>
      </c>
      <c r="I1453" s="18"/>
      <c r="J1453" s="18"/>
      <c r="K1453" s="18"/>
    </row>
    <row r="1454" customFormat="false" ht="15" hidden="false" customHeight="false" outlineLevel="0" collapsed="false">
      <c r="A1454" s="17"/>
      <c r="B1454" s="18"/>
      <c r="C1454" s="19"/>
      <c r="D1454" s="19"/>
      <c r="E1454" s="18"/>
      <c r="F1454" s="18"/>
      <c r="G1454" s="13" t="str">
        <f aca="false">IF(F1454="","",IFERROR(INDEX(Metas!$B$5:$B$54,MATCH(F1454,Metas!$A$5:$A$54,0)),"⚠ ID de meta no existe"))</f>
        <v/>
      </c>
      <c r="H1454" s="16" t="str">
        <f aca="false">IF(OR(C1454="",D1454=""),"",ROUND(MOD(D1454-C1454,1)*24,2))</f>
        <v/>
      </c>
      <c r="I1454" s="18"/>
      <c r="J1454" s="18"/>
      <c r="K1454" s="18"/>
    </row>
    <row r="1455" customFormat="false" ht="15" hidden="false" customHeight="false" outlineLevel="0" collapsed="false">
      <c r="A1455" s="17"/>
      <c r="B1455" s="18"/>
      <c r="C1455" s="19"/>
      <c r="D1455" s="19"/>
      <c r="E1455" s="18"/>
      <c r="F1455" s="18"/>
      <c r="G1455" s="13" t="str">
        <f aca="false">IF(F1455="","",IFERROR(INDEX(Metas!$B$5:$B$54,MATCH(F1455,Metas!$A$5:$A$54,0)),"⚠ ID de meta no existe"))</f>
        <v/>
      </c>
      <c r="H1455" s="16" t="str">
        <f aca="false">IF(OR(C1455="",D1455=""),"",ROUND(MOD(D1455-C1455,1)*24,2))</f>
        <v/>
      </c>
      <c r="I1455" s="18"/>
      <c r="J1455" s="18"/>
      <c r="K1455" s="18"/>
    </row>
    <row r="1456" customFormat="false" ht="15" hidden="false" customHeight="false" outlineLevel="0" collapsed="false">
      <c r="A1456" s="17"/>
      <c r="B1456" s="18"/>
      <c r="C1456" s="19"/>
      <c r="D1456" s="19"/>
      <c r="E1456" s="18"/>
      <c r="F1456" s="18"/>
      <c r="G1456" s="13" t="str">
        <f aca="false">IF(F1456="","",IFERROR(INDEX(Metas!$B$5:$B$54,MATCH(F1456,Metas!$A$5:$A$54,0)),"⚠ ID de meta no existe"))</f>
        <v/>
      </c>
      <c r="H1456" s="16" t="str">
        <f aca="false">IF(OR(C1456="",D1456=""),"",ROUND(MOD(D1456-C1456,1)*24,2))</f>
        <v/>
      </c>
      <c r="I1456" s="18"/>
      <c r="J1456" s="18"/>
      <c r="K1456" s="18"/>
    </row>
    <row r="1457" customFormat="false" ht="15" hidden="false" customHeight="false" outlineLevel="0" collapsed="false">
      <c r="A1457" s="17"/>
      <c r="B1457" s="18"/>
      <c r="C1457" s="19"/>
      <c r="D1457" s="19"/>
      <c r="E1457" s="18"/>
      <c r="F1457" s="18"/>
      <c r="G1457" s="13" t="str">
        <f aca="false">IF(F1457="","",IFERROR(INDEX(Metas!$B$5:$B$54,MATCH(F1457,Metas!$A$5:$A$54,0)),"⚠ ID de meta no existe"))</f>
        <v/>
      </c>
      <c r="H1457" s="16" t="str">
        <f aca="false">IF(OR(C1457="",D1457=""),"",ROUND(MOD(D1457-C1457,1)*24,2))</f>
        <v/>
      </c>
      <c r="I1457" s="18"/>
      <c r="J1457" s="18"/>
      <c r="K1457" s="18"/>
    </row>
    <row r="1458" customFormat="false" ht="15" hidden="false" customHeight="false" outlineLevel="0" collapsed="false">
      <c r="A1458" s="17"/>
      <c r="B1458" s="18"/>
      <c r="C1458" s="19"/>
      <c r="D1458" s="19"/>
      <c r="E1458" s="18"/>
      <c r="F1458" s="18"/>
      <c r="G1458" s="13" t="str">
        <f aca="false">IF(F1458="","",IFERROR(INDEX(Metas!$B$5:$B$54,MATCH(F1458,Metas!$A$5:$A$54,0)),"⚠ ID de meta no existe"))</f>
        <v/>
      </c>
      <c r="H1458" s="16" t="str">
        <f aca="false">IF(OR(C1458="",D1458=""),"",ROUND(MOD(D1458-C1458,1)*24,2))</f>
        <v/>
      </c>
      <c r="I1458" s="18"/>
      <c r="J1458" s="18"/>
      <c r="K1458" s="18"/>
    </row>
    <row r="1459" customFormat="false" ht="15" hidden="false" customHeight="false" outlineLevel="0" collapsed="false">
      <c r="A1459" s="17"/>
      <c r="B1459" s="18"/>
      <c r="C1459" s="19"/>
      <c r="D1459" s="19"/>
      <c r="E1459" s="18"/>
      <c r="F1459" s="18"/>
      <c r="G1459" s="13" t="str">
        <f aca="false">IF(F1459="","",IFERROR(INDEX(Metas!$B$5:$B$54,MATCH(F1459,Metas!$A$5:$A$54,0)),"⚠ ID de meta no existe"))</f>
        <v/>
      </c>
      <c r="H1459" s="16" t="str">
        <f aca="false">IF(OR(C1459="",D1459=""),"",ROUND(MOD(D1459-C1459,1)*24,2))</f>
        <v/>
      </c>
      <c r="I1459" s="18"/>
      <c r="J1459" s="18"/>
      <c r="K1459" s="18"/>
    </row>
    <row r="1460" customFormat="false" ht="15" hidden="false" customHeight="false" outlineLevel="0" collapsed="false">
      <c r="A1460" s="17"/>
      <c r="B1460" s="18"/>
      <c r="C1460" s="19"/>
      <c r="D1460" s="19"/>
      <c r="E1460" s="18"/>
      <c r="F1460" s="18"/>
      <c r="G1460" s="13" t="str">
        <f aca="false">IF(F1460="","",IFERROR(INDEX(Metas!$B$5:$B$54,MATCH(F1460,Metas!$A$5:$A$54,0)),"⚠ ID de meta no existe"))</f>
        <v/>
      </c>
      <c r="H1460" s="16" t="str">
        <f aca="false">IF(OR(C1460="",D1460=""),"",ROUND(MOD(D1460-C1460,1)*24,2))</f>
        <v/>
      </c>
      <c r="I1460" s="18"/>
      <c r="J1460" s="18"/>
      <c r="K1460" s="18"/>
    </row>
    <row r="1461" customFormat="false" ht="15" hidden="false" customHeight="false" outlineLevel="0" collapsed="false">
      <c r="A1461" s="17"/>
      <c r="B1461" s="18"/>
      <c r="C1461" s="19"/>
      <c r="D1461" s="19"/>
      <c r="E1461" s="18"/>
      <c r="F1461" s="18"/>
      <c r="G1461" s="13" t="str">
        <f aca="false">IF(F1461="","",IFERROR(INDEX(Metas!$B$5:$B$54,MATCH(F1461,Metas!$A$5:$A$54,0)),"⚠ ID de meta no existe"))</f>
        <v/>
      </c>
      <c r="H1461" s="16" t="str">
        <f aca="false">IF(OR(C1461="",D1461=""),"",ROUND(MOD(D1461-C1461,1)*24,2))</f>
        <v/>
      </c>
      <c r="I1461" s="18"/>
      <c r="J1461" s="18"/>
      <c r="K1461" s="18"/>
    </row>
    <row r="1462" customFormat="false" ht="15" hidden="false" customHeight="false" outlineLevel="0" collapsed="false">
      <c r="A1462" s="17"/>
      <c r="B1462" s="18"/>
      <c r="C1462" s="19"/>
      <c r="D1462" s="19"/>
      <c r="E1462" s="18"/>
      <c r="F1462" s="18"/>
      <c r="G1462" s="13" t="str">
        <f aca="false">IF(F1462="","",IFERROR(INDEX(Metas!$B$5:$B$54,MATCH(F1462,Metas!$A$5:$A$54,0)),"⚠ ID de meta no existe"))</f>
        <v/>
      </c>
      <c r="H1462" s="16" t="str">
        <f aca="false">IF(OR(C1462="",D1462=""),"",ROUND(MOD(D1462-C1462,1)*24,2))</f>
        <v/>
      </c>
      <c r="I1462" s="18"/>
      <c r="J1462" s="18"/>
      <c r="K1462" s="18"/>
    </row>
    <row r="1463" customFormat="false" ht="15" hidden="false" customHeight="false" outlineLevel="0" collapsed="false">
      <c r="A1463" s="17"/>
      <c r="B1463" s="18"/>
      <c r="C1463" s="19"/>
      <c r="D1463" s="19"/>
      <c r="E1463" s="18"/>
      <c r="F1463" s="18"/>
      <c r="G1463" s="13" t="str">
        <f aca="false">IF(F1463="","",IFERROR(INDEX(Metas!$B$5:$B$54,MATCH(F1463,Metas!$A$5:$A$54,0)),"⚠ ID de meta no existe"))</f>
        <v/>
      </c>
      <c r="H1463" s="16" t="str">
        <f aca="false">IF(OR(C1463="",D1463=""),"",ROUND(MOD(D1463-C1463,1)*24,2))</f>
        <v/>
      </c>
      <c r="I1463" s="18"/>
      <c r="J1463" s="18"/>
      <c r="K1463" s="18"/>
    </row>
    <row r="1464" customFormat="false" ht="15" hidden="false" customHeight="false" outlineLevel="0" collapsed="false">
      <c r="A1464" s="17"/>
      <c r="B1464" s="18"/>
      <c r="C1464" s="19"/>
      <c r="D1464" s="19"/>
      <c r="E1464" s="18"/>
      <c r="F1464" s="18"/>
      <c r="G1464" s="13" t="str">
        <f aca="false">IF(F1464="","",IFERROR(INDEX(Metas!$B$5:$B$54,MATCH(F1464,Metas!$A$5:$A$54,0)),"⚠ ID de meta no existe"))</f>
        <v/>
      </c>
      <c r="H1464" s="16" t="str">
        <f aca="false">IF(OR(C1464="",D1464=""),"",ROUND(MOD(D1464-C1464,1)*24,2))</f>
        <v/>
      </c>
      <c r="I1464" s="18"/>
      <c r="J1464" s="18"/>
      <c r="K1464" s="18"/>
    </row>
    <row r="1465" customFormat="false" ht="15" hidden="false" customHeight="false" outlineLevel="0" collapsed="false">
      <c r="A1465" s="17"/>
      <c r="B1465" s="18"/>
      <c r="C1465" s="19"/>
      <c r="D1465" s="19"/>
      <c r="E1465" s="18"/>
      <c r="F1465" s="18"/>
      <c r="G1465" s="13" t="str">
        <f aca="false">IF(F1465="","",IFERROR(INDEX(Metas!$B$5:$B$54,MATCH(F1465,Metas!$A$5:$A$54,0)),"⚠ ID de meta no existe"))</f>
        <v/>
      </c>
      <c r="H1465" s="16" t="str">
        <f aca="false">IF(OR(C1465="",D1465=""),"",ROUND(MOD(D1465-C1465,1)*24,2))</f>
        <v/>
      </c>
      <c r="I1465" s="18"/>
      <c r="J1465" s="18"/>
      <c r="K1465" s="18"/>
    </row>
    <row r="1466" customFormat="false" ht="15" hidden="false" customHeight="false" outlineLevel="0" collapsed="false">
      <c r="A1466" s="17"/>
      <c r="B1466" s="18"/>
      <c r="C1466" s="19"/>
      <c r="D1466" s="19"/>
      <c r="E1466" s="18"/>
      <c r="F1466" s="18"/>
      <c r="G1466" s="13" t="str">
        <f aca="false">IF(F1466="","",IFERROR(INDEX(Metas!$B$5:$B$54,MATCH(F1466,Metas!$A$5:$A$54,0)),"⚠ ID de meta no existe"))</f>
        <v/>
      </c>
      <c r="H1466" s="16" t="str">
        <f aca="false">IF(OR(C1466="",D1466=""),"",ROUND(MOD(D1466-C1466,1)*24,2))</f>
        <v/>
      </c>
      <c r="I1466" s="18"/>
      <c r="J1466" s="18"/>
      <c r="K1466" s="18"/>
    </row>
    <row r="1467" customFormat="false" ht="15" hidden="false" customHeight="false" outlineLevel="0" collapsed="false">
      <c r="A1467" s="17"/>
      <c r="B1467" s="18"/>
      <c r="C1467" s="19"/>
      <c r="D1467" s="19"/>
      <c r="E1467" s="18"/>
      <c r="F1467" s="18"/>
      <c r="G1467" s="13" t="str">
        <f aca="false">IF(F1467="","",IFERROR(INDEX(Metas!$B$5:$B$54,MATCH(F1467,Metas!$A$5:$A$54,0)),"⚠ ID de meta no existe"))</f>
        <v/>
      </c>
      <c r="H1467" s="16" t="str">
        <f aca="false">IF(OR(C1467="",D1467=""),"",ROUND(MOD(D1467-C1467,1)*24,2))</f>
        <v/>
      </c>
      <c r="I1467" s="18"/>
      <c r="J1467" s="18"/>
      <c r="K1467" s="18"/>
    </row>
    <row r="1468" customFormat="false" ht="15" hidden="false" customHeight="false" outlineLevel="0" collapsed="false">
      <c r="A1468" s="17"/>
      <c r="B1468" s="18"/>
      <c r="C1468" s="19"/>
      <c r="D1468" s="19"/>
      <c r="E1468" s="18"/>
      <c r="F1468" s="18"/>
      <c r="G1468" s="13" t="str">
        <f aca="false">IF(F1468="","",IFERROR(INDEX(Metas!$B$5:$B$54,MATCH(F1468,Metas!$A$5:$A$54,0)),"⚠ ID de meta no existe"))</f>
        <v/>
      </c>
      <c r="H1468" s="16" t="str">
        <f aca="false">IF(OR(C1468="",D1468=""),"",ROUND(MOD(D1468-C1468,1)*24,2))</f>
        <v/>
      </c>
      <c r="I1468" s="18"/>
      <c r="J1468" s="18"/>
      <c r="K1468" s="18"/>
    </row>
    <row r="1469" customFormat="false" ht="15" hidden="false" customHeight="false" outlineLevel="0" collapsed="false">
      <c r="A1469" s="17"/>
      <c r="B1469" s="18"/>
      <c r="C1469" s="19"/>
      <c r="D1469" s="19"/>
      <c r="E1469" s="18"/>
      <c r="F1469" s="18"/>
      <c r="G1469" s="13" t="str">
        <f aca="false">IF(F1469="","",IFERROR(INDEX(Metas!$B$5:$B$54,MATCH(F1469,Metas!$A$5:$A$54,0)),"⚠ ID de meta no existe"))</f>
        <v/>
      </c>
      <c r="H1469" s="16" t="str">
        <f aca="false">IF(OR(C1469="",D1469=""),"",ROUND(MOD(D1469-C1469,1)*24,2))</f>
        <v/>
      </c>
      <c r="I1469" s="18"/>
      <c r="J1469" s="18"/>
      <c r="K1469" s="18"/>
    </row>
    <row r="1470" customFormat="false" ht="15" hidden="false" customHeight="false" outlineLevel="0" collapsed="false">
      <c r="A1470" s="17"/>
      <c r="B1470" s="18"/>
      <c r="C1470" s="19"/>
      <c r="D1470" s="19"/>
      <c r="E1470" s="18"/>
      <c r="F1470" s="18"/>
      <c r="G1470" s="13" t="str">
        <f aca="false">IF(F1470="","",IFERROR(INDEX(Metas!$B$5:$B$54,MATCH(F1470,Metas!$A$5:$A$54,0)),"⚠ ID de meta no existe"))</f>
        <v/>
      </c>
      <c r="H1470" s="16" t="str">
        <f aca="false">IF(OR(C1470="",D1470=""),"",ROUND(MOD(D1470-C1470,1)*24,2))</f>
        <v/>
      </c>
      <c r="I1470" s="18"/>
      <c r="J1470" s="18"/>
      <c r="K1470" s="18"/>
    </row>
    <row r="1471" customFormat="false" ht="15" hidden="false" customHeight="false" outlineLevel="0" collapsed="false">
      <c r="A1471" s="17"/>
      <c r="B1471" s="18"/>
      <c r="C1471" s="19"/>
      <c r="D1471" s="19"/>
      <c r="E1471" s="18"/>
      <c r="F1471" s="18"/>
      <c r="G1471" s="13" t="str">
        <f aca="false">IF(F1471="","",IFERROR(INDEX(Metas!$B$5:$B$54,MATCH(F1471,Metas!$A$5:$A$54,0)),"⚠ ID de meta no existe"))</f>
        <v/>
      </c>
      <c r="H1471" s="16" t="str">
        <f aca="false">IF(OR(C1471="",D1471=""),"",ROUND(MOD(D1471-C1471,1)*24,2))</f>
        <v/>
      </c>
      <c r="I1471" s="18"/>
      <c r="J1471" s="18"/>
      <c r="K1471" s="18"/>
    </row>
    <row r="1472" customFormat="false" ht="15" hidden="false" customHeight="false" outlineLevel="0" collapsed="false">
      <c r="A1472" s="17"/>
      <c r="B1472" s="18"/>
      <c r="C1472" s="19"/>
      <c r="D1472" s="19"/>
      <c r="E1472" s="18"/>
      <c r="F1472" s="18"/>
      <c r="G1472" s="13" t="str">
        <f aca="false">IF(F1472="","",IFERROR(INDEX(Metas!$B$5:$B$54,MATCH(F1472,Metas!$A$5:$A$54,0)),"⚠ ID de meta no existe"))</f>
        <v/>
      </c>
      <c r="H1472" s="16" t="str">
        <f aca="false">IF(OR(C1472="",D1472=""),"",ROUND(MOD(D1472-C1472,1)*24,2))</f>
        <v/>
      </c>
      <c r="I1472" s="18"/>
      <c r="J1472" s="18"/>
      <c r="K1472" s="18"/>
    </row>
    <row r="1473" customFormat="false" ht="15" hidden="false" customHeight="false" outlineLevel="0" collapsed="false">
      <c r="A1473" s="17"/>
      <c r="B1473" s="18"/>
      <c r="C1473" s="19"/>
      <c r="D1473" s="19"/>
      <c r="E1473" s="18"/>
      <c r="F1473" s="18"/>
      <c r="G1473" s="13" t="str">
        <f aca="false">IF(F1473="","",IFERROR(INDEX(Metas!$B$5:$B$54,MATCH(F1473,Metas!$A$5:$A$54,0)),"⚠ ID de meta no existe"))</f>
        <v/>
      </c>
      <c r="H1473" s="16" t="str">
        <f aca="false">IF(OR(C1473="",D1473=""),"",ROUND(MOD(D1473-C1473,1)*24,2))</f>
        <v/>
      </c>
      <c r="I1473" s="18"/>
      <c r="J1473" s="18"/>
      <c r="K1473" s="18"/>
    </row>
    <row r="1474" customFormat="false" ht="15" hidden="false" customHeight="false" outlineLevel="0" collapsed="false">
      <c r="A1474" s="17"/>
      <c r="B1474" s="18"/>
      <c r="C1474" s="19"/>
      <c r="D1474" s="19"/>
      <c r="E1474" s="18"/>
      <c r="F1474" s="18"/>
      <c r="G1474" s="13" t="str">
        <f aca="false">IF(F1474="","",IFERROR(INDEX(Metas!$B$5:$B$54,MATCH(F1474,Metas!$A$5:$A$54,0)),"⚠ ID de meta no existe"))</f>
        <v/>
      </c>
      <c r="H1474" s="16" t="str">
        <f aca="false">IF(OR(C1474="",D1474=""),"",ROUND(MOD(D1474-C1474,1)*24,2))</f>
        <v/>
      </c>
      <c r="I1474" s="18"/>
      <c r="J1474" s="18"/>
      <c r="K1474" s="18"/>
    </row>
    <row r="1475" customFormat="false" ht="15" hidden="false" customHeight="false" outlineLevel="0" collapsed="false">
      <c r="A1475" s="17"/>
      <c r="B1475" s="18"/>
      <c r="C1475" s="19"/>
      <c r="D1475" s="19"/>
      <c r="E1475" s="18"/>
      <c r="F1475" s="18"/>
      <c r="G1475" s="13" t="str">
        <f aca="false">IF(F1475="","",IFERROR(INDEX(Metas!$B$5:$B$54,MATCH(F1475,Metas!$A$5:$A$54,0)),"⚠ ID de meta no existe"))</f>
        <v/>
      </c>
      <c r="H1475" s="16" t="str">
        <f aca="false">IF(OR(C1475="",D1475=""),"",ROUND(MOD(D1475-C1475,1)*24,2))</f>
        <v/>
      </c>
      <c r="I1475" s="18"/>
      <c r="J1475" s="18"/>
      <c r="K1475" s="18"/>
    </row>
    <row r="1476" customFormat="false" ht="15" hidden="false" customHeight="false" outlineLevel="0" collapsed="false">
      <c r="A1476" s="17"/>
      <c r="B1476" s="18"/>
      <c r="C1476" s="19"/>
      <c r="D1476" s="19"/>
      <c r="E1476" s="18"/>
      <c r="F1476" s="18"/>
      <c r="G1476" s="13" t="str">
        <f aca="false">IF(F1476="","",IFERROR(INDEX(Metas!$B$5:$B$54,MATCH(F1476,Metas!$A$5:$A$54,0)),"⚠ ID de meta no existe"))</f>
        <v/>
      </c>
      <c r="H1476" s="16" t="str">
        <f aca="false">IF(OR(C1476="",D1476=""),"",ROUND(MOD(D1476-C1476,1)*24,2))</f>
        <v/>
      </c>
      <c r="I1476" s="18"/>
      <c r="J1476" s="18"/>
      <c r="K1476" s="18"/>
    </row>
    <row r="1477" customFormat="false" ht="15" hidden="false" customHeight="false" outlineLevel="0" collapsed="false">
      <c r="A1477" s="17"/>
      <c r="B1477" s="18"/>
      <c r="C1477" s="19"/>
      <c r="D1477" s="19"/>
      <c r="E1477" s="18"/>
      <c r="F1477" s="18"/>
      <c r="G1477" s="13" t="str">
        <f aca="false">IF(F1477="","",IFERROR(INDEX(Metas!$B$5:$B$54,MATCH(F1477,Metas!$A$5:$A$54,0)),"⚠ ID de meta no existe"))</f>
        <v/>
      </c>
      <c r="H1477" s="16" t="str">
        <f aca="false">IF(OR(C1477="",D1477=""),"",ROUND(MOD(D1477-C1477,1)*24,2))</f>
        <v/>
      </c>
      <c r="I1477" s="18"/>
      <c r="J1477" s="18"/>
      <c r="K1477" s="18"/>
    </row>
    <row r="1478" customFormat="false" ht="15" hidden="false" customHeight="false" outlineLevel="0" collapsed="false">
      <c r="A1478" s="17"/>
      <c r="B1478" s="18"/>
      <c r="C1478" s="19"/>
      <c r="D1478" s="19"/>
      <c r="E1478" s="18"/>
      <c r="F1478" s="18"/>
      <c r="G1478" s="13" t="str">
        <f aca="false">IF(F1478="","",IFERROR(INDEX(Metas!$B$5:$B$54,MATCH(F1478,Metas!$A$5:$A$54,0)),"⚠ ID de meta no existe"))</f>
        <v/>
      </c>
      <c r="H1478" s="16" t="str">
        <f aca="false">IF(OR(C1478="",D1478=""),"",ROUND(MOD(D1478-C1478,1)*24,2))</f>
        <v/>
      </c>
      <c r="I1478" s="18"/>
      <c r="J1478" s="18"/>
      <c r="K1478" s="18"/>
    </row>
    <row r="1479" customFormat="false" ht="15" hidden="false" customHeight="false" outlineLevel="0" collapsed="false">
      <c r="A1479" s="17"/>
      <c r="B1479" s="18"/>
      <c r="C1479" s="19"/>
      <c r="D1479" s="19"/>
      <c r="E1479" s="18"/>
      <c r="F1479" s="18"/>
      <c r="G1479" s="13" t="str">
        <f aca="false">IF(F1479="","",IFERROR(INDEX(Metas!$B$5:$B$54,MATCH(F1479,Metas!$A$5:$A$54,0)),"⚠ ID de meta no existe"))</f>
        <v/>
      </c>
      <c r="H1479" s="16" t="str">
        <f aca="false">IF(OR(C1479="",D1479=""),"",ROUND(MOD(D1479-C1479,1)*24,2))</f>
        <v/>
      </c>
      <c r="I1479" s="18"/>
      <c r="J1479" s="18"/>
      <c r="K1479" s="18"/>
    </row>
    <row r="1480" customFormat="false" ht="15" hidden="false" customHeight="false" outlineLevel="0" collapsed="false">
      <c r="A1480" s="17"/>
      <c r="B1480" s="18"/>
      <c r="C1480" s="19"/>
      <c r="D1480" s="19"/>
      <c r="E1480" s="18"/>
      <c r="F1480" s="18"/>
      <c r="G1480" s="13" t="str">
        <f aca="false">IF(F1480="","",IFERROR(INDEX(Metas!$B$5:$B$54,MATCH(F1480,Metas!$A$5:$A$54,0)),"⚠ ID de meta no existe"))</f>
        <v/>
      </c>
      <c r="H1480" s="16" t="str">
        <f aca="false">IF(OR(C1480="",D1480=""),"",ROUND(MOD(D1480-C1480,1)*24,2))</f>
        <v/>
      </c>
      <c r="I1480" s="18"/>
      <c r="J1480" s="18"/>
      <c r="K1480" s="18"/>
    </row>
    <row r="1481" customFormat="false" ht="15" hidden="false" customHeight="false" outlineLevel="0" collapsed="false">
      <c r="A1481" s="17"/>
      <c r="B1481" s="18"/>
      <c r="C1481" s="19"/>
      <c r="D1481" s="19"/>
      <c r="E1481" s="18"/>
      <c r="F1481" s="18"/>
      <c r="G1481" s="13" t="str">
        <f aca="false">IF(F1481="","",IFERROR(INDEX(Metas!$B$5:$B$54,MATCH(F1481,Metas!$A$5:$A$54,0)),"⚠ ID de meta no existe"))</f>
        <v/>
      </c>
      <c r="H1481" s="16" t="str">
        <f aca="false">IF(OR(C1481="",D1481=""),"",ROUND(MOD(D1481-C1481,1)*24,2))</f>
        <v/>
      </c>
      <c r="I1481" s="18"/>
      <c r="J1481" s="18"/>
      <c r="K1481" s="18"/>
    </row>
    <row r="1482" customFormat="false" ht="15" hidden="false" customHeight="false" outlineLevel="0" collapsed="false">
      <c r="A1482" s="17"/>
      <c r="B1482" s="18"/>
      <c r="C1482" s="19"/>
      <c r="D1482" s="19"/>
      <c r="E1482" s="18"/>
      <c r="F1482" s="18"/>
      <c r="G1482" s="13" t="str">
        <f aca="false">IF(F1482="","",IFERROR(INDEX(Metas!$B$5:$B$54,MATCH(F1482,Metas!$A$5:$A$54,0)),"⚠ ID de meta no existe"))</f>
        <v/>
      </c>
      <c r="H1482" s="16" t="str">
        <f aca="false">IF(OR(C1482="",D1482=""),"",ROUND(MOD(D1482-C1482,1)*24,2))</f>
        <v/>
      </c>
      <c r="I1482" s="18"/>
      <c r="J1482" s="18"/>
      <c r="K1482" s="18"/>
    </row>
    <row r="1483" customFormat="false" ht="15" hidden="false" customHeight="false" outlineLevel="0" collapsed="false">
      <c r="A1483" s="17"/>
      <c r="B1483" s="18"/>
      <c r="C1483" s="19"/>
      <c r="D1483" s="19"/>
      <c r="E1483" s="18"/>
      <c r="F1483" s="18"/>
      <c r="G1483" s="13" t="str">
        <f aca="false">IF(F1483="","",IFERROR(INDEX(Metas!$B$5:$B$54,MATCH(F1483,Metas!$A$5:$A$54,0)),"⚠ ID de meta no existe"))</f>
        <v/>
      </c>
      <c r="H1483" s="16" t="str">
        <f aca="false">IF(OR(C1483="",D1483=""),"",ROUND(MOD(D1483-C1483,1)*24,2))</f>
        <v/>
      </c>
      <c r="I1483" s="18"/>
      <c r="J1483" s="18"/>
      <c r="K1483" s="18"/>
    </row>
    <row r="1484" customFormat="false" ht="15" hidden="false" customHeight="false" outlineLevel="0" collapsed="false">
      <c r="A1484" s="17"/>
      <c r="B1484" s="18"/>
      <c r="C1484" s="19"/>
      <c r="D1484" s="19"/>
      <c r="E1484" s="18"/>
      <c r="F1484" s="18"/>
      <c r="G1484" s="13" t="str">
        <f aca="false">IF(F1484="","",IFERROR(INDEX(Metas!$B$5:$B$54,MATCH(F1484,Metas!$A$5:$A$54,0)),"⚠ ID de meta no existe"))</f>
        <v/>
      </c>
      <c r="H1484" s="16" t="str">
        <f aca="false">IF(OR(C1484="",D1484=""),"",ROUND(MOD(D1484-C1484,1)*24,2))</f>
        <v/>
      </c>
      <c r="I1484" s="18"/>
      <c r="J1484" s="18"/>
      <c r="K1484" s="18"/>
    </row>
    <row r="1485" customFormat="false" ht="15" hidden="false" customHeight="false" outlineLevel="0" collapsed="false">
      <c r="A1485" s="17"/>
      <c r="B1485" s="18"/>
      <c r="C1485" s="19"/>
      <c r="D1485" s="19"/>
      <c r="E1485" s="18"/>
      <c r="F1485" s="18"/>
      <c r="G1485" s="13" t="str">
        <f aca="false">IF(F1485="","",IFERROR(INDEX(Metas!$B$5:$B$54,MATCH(F1485,Metas!$A$5:$A$54,0)),"⚠ ID de meta no existe"))</f>
        <v/>
      </c>
      <c r="H1485" s="16" t="str">
        <f aca="false">IF(OR(C1485="",D1485=""),"",ROUND(MOD(D1485-C1485,1)*24,2))</f>
        <v/>
      </c>
      <c r="I1485" s="18"/>
      <c r="J1485" s="18"/>
      <c r="K1485" s="18"/>
    </row>
    <row r="1486" customFormat="false" ht="15" hidden="false" customHeight="false" outlineLevel="0" collapsed="false">
      <c r="A1486" s="17"/>
      <c r="B1486" s="18"/>
      <c r="C1486" s="19"/>
      <c r="D1486" s="19"/>
      <c r="E1486" s="18"/>
      <c r="F1486" s="18"/>
      <c r="G1486" s="13" t="str">
        <f aca="false">IF(F1486="","",IFERROR(INDEX(Metas!$B$5:$B$54,MATCH(F1486,Metas!$A$5:$A$54,0)),"⚠ ID de meta no existe"))</f>
        <v/>
      </c>
      <c r="H1486" s="16" t="str">
        <f aca="false">IF(OR(C1486="",D1486=""),"",ROUND(MOD(D1486-C1486,1)*24,2))</f>
        <v/>
      </c>
      <c r="I1486" s="18"/>
      <c r="J1486" s="18"/>
      <c r="K1486" s="18"/>
    </row>
    <row r="1487" customFormat="false" ht="15" hidden="false" customHeight="false" outlineLevel="0" collapsed="false">
      <c r="A1487" s="17"/>
      <c r="B1487" s="18"/>
      <c r="C1487" s="19"/>
      <c r="D1487" s="19"/>
      <c r="E1487" s="18"/>
      <c r="F1487" s="18"/>
      <c r="G1487" s="13" t="str">
        <f aca="false">IF(F1487="","",IFERROR(INDEX(Metas!$B$5:$B$54,MATCH(F1487,Metas!$A$5:$A$54,0)),"⚠ ID de meta no existe"))</f>
        <v/>
      </c>
      <c r="H1487" s="16" t="str">
        <f aca="false">IF(OR(C1487="",D1487=""),"",ROUND(MOD(D1487-C1487,1)*24,2))</f>
        <v/>
      </c>
      <c r="I1487" s="18"/>
      <c r="J1487" s="18"/>
      <c r="K1487" s="18"/>
    </row>
    <row r="1488" customFormat="false" ht="15" hidden="false" customHeight="false" outlineLevel="0" collapsed="false">
      <c r="A1488" s="17"/>
      <c r="B1488" s="18"/>
      <c r="C1488" s="19"/>
      <c r="D1488" s="19"/>
      <c r="E1488" s="18"/>
      <c r="F1488" s="18"/>
      <c r="G1488" s="13" t="str">
        <f aca="false">IF(F1488="","",IFERROR(INDEX(Metas!$B$5:$B$54,MATCH(F1488,Metas!$A$5:$A$54,0)),"⚠ ID de meta no existe"))</f>
        <v/>
      </c>
      <c r="H1488" s="16" t="str">
        <f aca="false">IF(OR(C1488="",D1488=""),"",ROUND(MOD(D1488-C1488,1)*24,2))</f>
        <v/>
      </c>
      <c r="I1488" s="18"/>
      <c r="J1488" s="18"/>
      <c r="K1488" s="18"/>
    </row>
    <row r="1489" customFormat="false" ht="15" hidden="false" customHeight="false" outlineLevel="0" collapsed="false">
      <c r="A1489" s="17"/>
      <c r="B1489" s="18"/>
      <c r="C1489" s="19"/>
      <c r="D1489" s="19"/>
      <c r="E1489" s="18"/>
      <c r="F1489" s="18"/>
      <c r="G1489" s="13" t="str">
        <f aca="false">IF(F1489="","",IFERROR(INDEX(Metas!$B$5:$B$54,MATCH(F1489,Metas!$A$5:$A$54,0)),"⚠ ID de meta no existe"))</f>
        <v/>
      </c>
      <c r="H1489" s="16" t="str">
        <f aca="false">IF(OR(C1489="",D1489=""),"",ROUND(MOD(D1489-C1489,1)*24,2))</f>
        <v/>
      </c>
      <c r="I1489" s="18"/>
      <c r="J1489" s="18"/>
      <c r="K1489" s="18"/>
    </row>
    <row r="1490" customFormat="false" ht="15" hidden="false" customHeight="false" outlineLevel="0" collapsed="false">
      <c r="A1490" s="17"/>
      <c r="B1490" s="18"/>
      <c r="C1490" s="19"/>
      <c r="D1490" s="19"/>
      <c r="E1490" s="18"/>
      <c r="F1490" s="18"/>
      <c r="G1490" s="13" t="str">
        <f aca="false">IF(F1490="","",IFERROR(INDEX(Metas!$B$5:$B$54,MATCH(F1490,Metas!$A$5:$A$54,0)),"⚠ ID de meta no existe"))</f>
        <v/>
      </c>
      <c r="H1490" s="16" t="str">
        <f aca="false">IF(OR(C1490="",D1490=""),"",ROUND(MOD(D1490-C1490,1)*24,2))</f>
        <v/>
      </c>
      <c r="I1490" s="18"/>
      <c r="J1490" s="18"/>
      <c r="K1490" s="18"/>
    </row>
    <row r="1491" customFormat="false" ht="15" hidden="false" customHeight="false" outlineLevel="0" collapsed="false">
      <c r="A1491" s="17"/>
      <c r="B1491" s="18"/>
      <c r="C1491" s="19"/>
      <c r="D1491" s="19"/>
      <c r="E1491" s="18"/>
      <c r="F1491" s="18"/>
      <c r="G1491" s="13" t="str">
        <f aca="false">IF(F1491="","",IFERROR(INDEX(Metas!$B$5:$B$54,MATCH(F1491,Metas!$A$5:$A$54,0)),"⚠ ID de meta no existe"))</f>
        <v/>
      </c>
      <c r="H1491" s="16" t="str">
        <f aca="false">IF(OR(C1491="",D1491=""),"",ROUND(MOD(D1491-C1491,1)*24,2))</f>
        <v/>
      </c>
      <c r="I1491" s="18"/>
      <c r="J1491" s="18"/>
      <c r="K1491" s="18"/>
    </row>
    <row r="1492" customFormat="false" ht="15" hidden="false" customHeight="false" outlineLevel="0" collapsed="false">
      <c r="A1492" s="17"/>
      <c r="B1492" s="18"/>
      <c r="C1492" s="19"/>
      <c r="D1492" s="19"/>
      <c r="E1492" s="18"/>
      <c r="F1492" s="18"/>
      <c r="G1492" s="13" t="str">
        <f aca="false">IF(F1492="","",IFERROR(INDEX(Metas!$B$5:$B$54,MATCH(F1492,Metas!$A$5:$A$54,0)),"⚠ ID de meta no existe"))</f>
        <v/>
      </c>
      <c r="H1492" s="16" t="str">
        <f aca="false">IF(OR(C1492="",D1492=""),"",ROUND(MOD(D1492-C1492,1)*24,2))</f>
        <v/>
      </c>
      <c r="I1492" s="18"/>
      <c r="J1492" s="18"/>
      <c r="K1492" s="18"/>
    </row>
    <row r="1493" customFormat="false" ht="15" hidden="false" customHeight="false" outlineLevel="0" collapsed="false">
      <c r="A1493" s="17"/>
      <c r="B1493" s="18"/>
      <c r="C1493" s="19"/>
      <c r="D1493" s="19"/>
      <c r="E1493" s="18"/>
      <c r="F1493" s="18"/>
      <c r="G1493" s="13" t="str">
        <f aca="false">IF(F1493="","",IFERROR(INDEX(Metas!$B$5:$B$54,MATCH(F1493,Metas!$A$5:$A$54,0)),"⚠ ID de meta no existe"))</f>
        <v/>
      </c>
      <c r="H1493" s="16" t="str">
        <f aca="false">IF(OR(C1493="",D1493=""),"",ROUND(MOD(D1493-C1493,1)*24,2))</f>
        <v/>
      </c>
      <c r="I1493" s="18"/>
      <c r="J1493" s="18"/>
      <c r="K1493" s="18"/>
    </row>
    <row r="1494" customFormat="false" ht="15" hidden="false" customHeight="false" outlineLevel="0" collapsed="false">
      <c r="A1494" s="17"/>
      <c r="B1494" s="18"/>
      <c r="C1494" s="19"/>
      <c r="D1494" s="19"/>
      <c r="E1494" s="18"/>
      <c r="F1494" s="18"/>
      <c r="G1494" s="13" t="str">
        <f aca="false">IF(F1494="","",IFERROR(INDEX(Metas!$B$5:$B$54,MATCH(F1494,Metas!$A$5:$A$54,0)),"⚠ ID de meta no existe"))</f>
        <v/>
      </c>
      <c r="H1494" s="16" t="str">
        <f aca="false">IF(OR(C1494="",D1494=""),"",ROUND(MOD(D1494-C1494,1)*24,2))</f>
        <v/>
      </c>
      <c r="I1494" s="18"/>
      <c r="J1494" s="18"/>
      <c r="K1494" s="18"/>
    </row>
    <row r="1495" customFormat="false" ht="15" hidden="false" customHeight="false" outlineLevel="0" collapsed="false">
      <c r="A1495" s="17"/>
      <c r="B1495" s="18"/>
      <c r="C1495" s="19"/>
      <c r="D1495" s="19"/>
      <c r="E1495" s="18"/>
      <c r="F1495" s="18"/>
      <c r="G1495" s="13" t="str">
        <f aca="false">IF(F1495="","",IFERROR(INDEX(Metas!$B$5:$B$54,MATCH(F1495,Metas!$A$5:$A$54,0)),"⚠ ID de meta no existe"))</f>
        <v/>
      </c>
      <c r="H1495" s="16" t="str">
        <f aca="false">IF(OR(C1495="",D1495=""),"",ROUND(MOD(D1495-C1495,1)*24,2))</f>
        <v/>
      </c>
      <c r="I1495" s="18"/>
      <c r="J1495" s="18"/>
      <c r="K1495" s="18"/>
    </row>
    <row r="1496" customFormat="false" ht="15" hidden="false" customHeight="false" outlineLevel="0" collapsed="false">
      <c r="A1496" s="17"/>
      <c r="B1496" s="18"/>
      <c r="C1496" s="19"/>
      <c r="D1496" s="19"/>
      <c r="E1496" s="18"/>
      <c r="F1496" s="18"/>
      <c r="G1496" s="13" t="str">
        <f aca="false">IF(F1496="","",IFERROR(INDEX(Metas!$B$5:$B$54,MATCH(F1496,Metas!$A$5:$A$54,0)),"⚠ ID de meta no existe"))</f>
        <v/>
      </c>
      <c r="H1496" s="16" t="str">
        <f aca="false">IF(OR(C1496="",D1496=""),"",ROUND(MOD(D1496-C1496,1)*24,2))</f>
        <v/>
      </c>
      <c r="I1496" s="18"/>
      <c r="J1496" s="18"/>
      <c r="K1496" s="18"/>
    </row>
    <row r="1497" customFormat="false" ht="15" hidden="false" customHeight="false" outlineLevel="0" collapsed="false">
      <c r="A1497" s="17"/>
      <c r="B1497" s="18"/>
      <c r="C1497" s="19"/>
      <c r="D1497" s="19"/>
      <c r="E1497" s="18"/>
      <c r="F1497" s="18"/>
      <c r="G1497" s="13" t="str">
        <f aca="false">IF(F1497="","",IFERROR(INDEX(Metas!$B$5:$B$54,MATCH(F1497,Metas!$A$5:$A$54,0)),"⚠ ID de meta no existe"))</f>
        <v/>
      </c>
      <c r="H1497" s="16" t="str">
        <f aca="false">IF(OR(C1497="",D1497=""),"",ROUND(MOD(D1497-C1497,1)*24,2))</f>
        <v/>
      </c>
      <c r="I1497" s="18"/>
      <c r="J1497" s="18"/>
      <c r="K1497" s="18"/>
    </row>
    <row r="1498" customFormat="false" ht="15" hidden="false" customHeight="false" outlineLevel="0" collapsed="false">
      <c r="A1498" s="17"/>
      <c r="B1498" s="18"/>
      <c r="C1498" s="19"/>
      <c r="D1498" s="19"/>
      <c r="E1498" s="18"/>
      <c r="F1498" s="18"/>
      <c r="G1498" s="13" t="str">
        <f aca="false">IF(F1498="","",IFERROR(INDEX(Metas!$B$5:$B$54,MATCH(F1498,Metas!$A$5:$A$54,0)),"⚠ ID de meta no existe"))</f>
        <v/>
      </c>
      <c r="H1498" s="16" t="str">
        <f aca="false">IF(OR(C1498="",D1498=""),"",ROUND(MOD(D1498-C1498,1)*24,2))</f>
        <v/>
      </c>
      <c r="I1498" s="18"/>
      <c r="J1498" s="18"/>
      <c r="K1498" s="18"/>
    </row>
    <row r="1499" customFormat="false" ht="15" hidden="false" customHeight="false" outlineLevel="0" collapsed="false">
      <c r="A1499" s="17"/>
      <c r="B1499" s="18"/>
      <c r="C1499" s="19"/>
      <c r="D1499" s="19"/>
      <c r="E1499" s="18"/>
      <c r="F1499" s="18"/>
      <c r="G1499" s="13" t="str">
        <f aca="false">IF(F1499="","",IFERROR(INDEX(Metas!$B$5:$B$54,MATCH(F1499,Metas!$A$5:$A$54,0)),"⚠ ID de meta no existe"))</f>
        <v/>
      </c>
      <c r="H1499" s="16" t="str">
        <f aca="false">IF(OR(C1499="",D1499=""),"",ROUND(MOD(D1499-C1499,1)*24,2))</f>
        <v/>
      </c>
      <c r="I1499" s="18"/>
      <c r="J1499" s="18"/>
      <c r="K1499" s="18"/>
    </row>
    <row r="1500" customFormat="false" ht="15" hidden="false" customHeight="false" outlineLevel="0" collapsed="false">
      <c r="A1500" s="17"/>
      <c r="B1500" s="18"/>
      <c r="C1500" s="19"/>
      <c r="D1500" s="19"/>
      <c r="E1500" s="18"/>
      <c r="F1500" s="18"/>
      <c r="G1500" s="13" t="str">
        <f aca="false">IF(F1500="","",IFERROR(INDEX(Metas!$B$5:$B$54,MATCH(F1500,Metas!$A$5:$A$54,0)),"⚠ ID de meta no existe"))</f>
        <v/>
      </c>
      <c r="H1500" s="16" t="str">
        <f aca="false">IF(OR(C1500="",D1500=""),"",ROUND(MOD(D1500-C1500,1)*24,2))</f>
        <v/>
      </c>
      <c r="I1500" s="18"/>
      <c r="J1500" s="18"/>
      <c r="K1500" s="18"/>
    </row>
    <row r="1501" customFormat="false" ht="15" hidden="false" customHeight="false" outlineLevel="0" collapsed="false">
      <c r="A1501" s="17"/>
      <c r="B1501" s="18"/>
      <c r="C1501" s="19"/>
      <c r="D1501" s="19"/>
      <c r="E1501" s="18"/>
      <c r="F1501" s="18"/>
      <c r="G1501" s="13" t="str">
        <f aca="false">IF(F1501="","",IFERROR(INDEX(Metas!$B$5:$B$54,MATCH(F1501,Metas!$A$5:$A$54,0)),"⚠ ID de meta no existe"))</f>
        <v/>
      </c>
      <c r="H1501" s="16" t="str">
        <f aca="false">IF(OR(C1501="",D1501=""),"",ROUND(MOD(D1501-C1501,1)*24,2))</f>
        <v/>
      </c>
      <c r="I1501" s="18"/>
      <c r="J1501" s="18"/>
      <c r="K1501" s="18"/>
    </row>
    <row r="1502" customFormat="false" ht="15" hidden="false" customHeight="false" outlineLevel="0" collapsed="false">
      <c r="A1502" s="17"/>
      <c r="B1502" s="18"/>
      <c r="C1502" s="19"/>
      <c r="D1502" s="19"/>
      <c r="E1502" s="18"/>
      <c r="F1502" s="18"/>
      <c r="G1502" s="13" t="str">
        <f aca="false">IF(F1502="","",IFERROR(INDEX(Metas!$B$5:$B$54,MATCH(F1502,Metas!$A$5:$A$54,0)),"⚠ ID de meta no existe"))</f>
        <v/>
      </c>
      <c r="H1502" s="16" t="str">
        <f aca="false">IF(OR(C1502="",D1502=""),"",ROUND(MOD(D1502-C1502,1)*24,2))</f>
        <v/>
      </c>
      <c r="I1502" s="18"/>
      <c r="J1502" s="18"/>
      <c r="K1502" s="18"/>
    </row>
    <row r="1503" customFormat="false" ht="15" hidden="false" customHeight="false" outlineLevel="0" collapsed="false">
      <c r="A1503" s="17"/>
      <c r="B1503" s="18"/>
      <c r="C1503" s="19"/>
      <c r="D1503" s="19"/>
      <c r="E1503" s="18"/>
      <c r="F1503" s="18"/>
      <c r="G1503" s="13" t="str">
        <f aca="false">IF(F1503="","",IFERROR(INDEX(Metas!$B$5:$B$54,MATCH(F1503,Metas!$A$5:$A$54,0)),"⚠ ID de meta no existe"))</f>
        <v/>
      </c>
      <c r="H1503" s="16" t="str">
        <f aca="false">IF(OR(C1503="",D1503=""),"",ROUND(MOD(D1503-C1503,1)*24,2))</f>
        <v/>
      </c>
      <c r="I1503" s="18"/>
      <c r="J1503" s="18"/>
      <c r="K1503" s="18"/>
    </row>
    <row r="1504" customFormat="false" ht="15" hidden="false" customHeight="false" outlineLevel="0" collapsed="false">
      <c r="A1504" s="17"/>
      <c r="B1504" s="18"/>
      <c r="C1504" s="19"/>
      <c r="D1504" s="19"/>
      <c r="E1504" s="18"/>
      <c r="F1504" s="18"/>
      <c r="G1504" s="13" t="str">
        <f aca="false">IF(F1504="","",IFERROR(INDEX(Metas!$B$5:$B$54,MATCH(F1504,Metas!$A$5:$A$54,0)),"⚠ ID de meta no existe"))</f>
        <v/>
      </c>
      <c r="H1504" s="16" t="str">
        <f aca="false">IF(OR(C1504="",D1504=""),"",ROUND(MOD(D1504-C1504,1)*24,2))</f>
        <v/>
      </c>
      <c r="I1504" s="18"/>
      <c r="J1504" s="18"/>
      <c r="K1504" s="18"/>
    </row>
    <row r="1505" customFormat="false" ht="15" hidden="false" customHeight="false" outlineLevel="0" collapsed="false">
      <c r="A1505" s="17"/>
      <c r="B1505" s="18"/>
      <c r="C1505" s="19"/>
      <c r="D1505" s="19"/>
      <c r="E1505" s="18"/>
      <c r="F1505" s="18"/>
      <c r="G1505" s="13" t="str">
        <f aca="false">IF(F1505="","",IFERROR(INDEX(Metas!$B$5:$B$54,MATCH(F1505,Metas!$A$5:$A$54,0)),"⚠ ID de meta no existe"))</f>
        <v/>
      </c>
      <c r="H1505" s="16" t="str">
        <f aca="false">IF(OR(C1505="",D1505=""),"",ROUND(MOD(D1505-C1505,1)*24,2))</f>
        <v/>
      </c>
      <c r="I1505" s="18"/>
      <c r="J1505" s="18"/>
      <c r="K1505" s="18"/>
    </row>
    <row r="1506" customFormat="false" ht="15" hidden="false" customHeight="false" outlineLevel="0" collapsed="false">
      <c r="A1506" s="17"/>
      <c r="B1506" s="18"/>
      <c r="C1506" s="19"/>
      <c r="D1506" s="19"/>
      <c r="E1506" s="18"/>
      <c r="F1506" s="18"/>
      <c r="G1506" s="13" t="str">
        <f aca="false">IF(F1506="","",IFERROR(INDEX(Metas!$B$5:$B$54,MATCH(F1506,Metas!$A$5:$A$54,0)),"⚠ ID de meta no existe"))</f>
        <v/>
      </c>
      <c r="H1506" s="16" t="str">
        <f aca="false">IF(OR(C1506="",D1506=""),"",ROUND(MOD(D1506-C1506,1)*24,2))</f>
        <v/>
      </c>
      <c r="I1506" s="18"/>
      <c r="J1506" s="18"/>
      <c r="K1506" s="18"/>
    </row>
    <row r="1507" customFormat="false" ht="15" hidden="false" customHeight="false" outlineLevel="0" collapsed="false">
      <c r="A1507" s="17"/>
      <c r="B1507" s="18"/>
      <c r="C1507" s="19"/>
      <c r="D1507" s="19"/>
      <c r="E1507" s="18"/>
      <c r="F1507" s="18"/>
      <c r="G1507" s="13" t="str">
        <f aca="false">IF(F1507="","",IFERROR(INDEX(Metas!$B$5:$B$54,MATCH(F1507,Metas!$A$5:$A$54,0)),"⚠ ID de meta no existe"))</f>
        <v/>
      </c>
      <c r="H1507" s="16" t="str">
        <f aca="false">IF(OR(C1507="",D1507=""),"",ROUND(MOD(D1507-C1507,1)*24,2))</f>
        <v/>
      </c>
      <c r="I1507" s="18"/>
      <c r="J1507" s="18"/>
      <c r="K1507" s="18"/>
    </row>
    <row r="1508" customFormat="false" ht="15" hidden="false" customHeight="false" outlineLevel="0" collapsed="false">
      <c r="A1508" s="17"/>
      <c r="B1508" s="18"/>
      <c r="C1508" s="19"/>
      <c r="D1508" s="19"/>
      <c r="E1508" s="18"/>
      <c r="F1508" s="18"/>
      <c r="G1508" s="13" t="str">
        <f aca="false">IF(F1508="","",IFERROR(INDEX(Metas!$B$5:$B$54,MATCH(F1508,Metas!$A$5:$A$54,0)),"⚠ ID de meta no existe"))</f>
        <v/>
      </c>
      <c r="H1508" s="16" t="str">
        <f aca="false">IF(OR(C1508="",D1508=""),"",ROUND(MOD(D1508-C1508,1)*24,2))</f>
        <v/>
      </c>
      <c r="I1508" s="18"/>
      <c r="J1508" s="18"/>
      <c r="K1508" s="18"/>
    </row>
    <row r="1509" customFormat="false" ht="15" hidden="false" customHeight="false" outlineLevel="0" collapsed="false">
      <c r="A1509" s="17"/>
      <c r="B1509" s="18"/>
      <c r="C1509" s="19"/>
      <c r="D1509" s="19"/>
      <c r="E1509" s="18"/>
      <c r="F1509" s="18"/>
      <c r="G1509" s="13" t="str">
        <f aca="false">IF(F1509="","",IFERROR(INDEX(Metas!$B$5:$B$54,MATCH(F1509,Metas!$A$5:$A$54,0)),"⚠ ID de meta no existe"))</f>
        <v/>
      </c>
      <c r="H1509" s="16" t="str">
        <f aca="false">IF(OR(C1509="",D1509=""),"",ROUND(MOD(D1509-C1509,1)*24,2))</f>
        <v/>
      </c>
      <c r="I1509" s="18"/>
      <c r="J1509" s="18"/>
      <c r="K1509" s="18"/>
    </row>
    <row r="1510" customFormat="false" ht="15" hidden="false" customHeight="false" outlineLevel="0" collapsed="false">
      <c r="A1510" s="17"/>
      <c r="B1510" s="18"/>
      <c r="C1510" s="19"/>
      <c r="D1510" s="19"/>
      <c r="E1510" s="18"/>
      <c r="F1510" s="18"/>
      <c r="G1510" s="13" t="str">
        <f aca="false">IF(F1510="","",IFERROR(INDEX(Metas!$B$5:$B$54,MATCH(F1510,Metas!$A$5:$A$54,0)),"⚠ ID de meta no existe"))</f>
        <v/>
      </c>
      <c r="H1510" s="16" t="str">
        <f aca="false">IF(OR(C1510="",D1510=""),"",ROUND(MOD(D1510-C1510,1)*24,2))</f>
        <v/>
      </c>
      <c r="I1510" s="18"/>
      <c r="J1510" s="18"/>
      <c r="K1510" s="18"/>
    </row>
    <row r="1511" customFormat="false" ht="15" hidden="false" customHeight="false" outlineLevel="0" collapsed="false">
      <c r="A1511" s="17"/>
      <c r="B1511" s="18"/>
      <c r="C1511" s="19"/>
      <c r="D1511" s="19"/>
      <c r="E1511" s="18"/>
      <c r="F1511" s="18"/>
      <c r="G1511" s="13" t="str">
        <f aca="false">IF(F1511="","",IFERROR(INDEX(Metas!$B$5:$B$54,MATCH(F1511,Metas!$A$5:$A$54,0)),"⚠ ID de meta no existe"))</f>
        <v/>
      </c>
      <c r="H1511" s="16" t="str">
        <f aca="false">IF(OR(C1511="",D1511=""),"",ROUND(MOD(D1511-C1511,1)*24,2))</f>
        <v/>
      </c>
      <c r="I1511" s="18"/>
      <c r="J1511" s="18"/>
      <c r="K1511" s="18"/>
    </row>
    <row r="1512" customFormat="false" ht="15" hidden="false" customHeight="false" outlineLevel="0" collapsed="false">
      <c r="A1512" s="17"/>
      <c r="B1512" s="18"/>
      <c r="C1512" s="19"/>
      <c r="D1512" s="19"/>
      <c r="E1512" s="18"/>
      <c r="F1512" s="18"/>
      <c r="G1512" s="13" t="str">
        <f aca="false">IF(F1512="","",IFERROR(INDEX(Metas!$B$5:$B$54,MATCH(F1512,Metas!$A$5:$A$54,0)),"⚠ ID de meta no existe"))</f>
        <v/>
      </c>
      <c r="H1512" s="16" t="str">
        <f aca="false">IF(OR(C1512="",D1512=""),"",ROUND(MOD(D1512-C1512,1)*24,2))</f>
        <v/>
      </c>
      <c r="I1512" s="18"/>
      <c r="J1512" s="18"/>
      <c r="K1512" s="18"/>
    </row>
    <row r="1513" customFormat="false" ht="15" hidden="false" customHeight="false" outlineLevel="0" collapsed="false">
      <c r="A1513" s="17"/>
      <c r="B1513" s="18"/>
      <c r="C1513" s="19"/>
      <c r="D1513" s="19"/>
      <c r="E1513" s="18"/>
      <c r="F1513" s="18"/>
      <c r="G1513" s="13" t="str">
        <f aca="false">IF(F1513="","",IFERROR(INDEX(Metas!$B$5:$B$54,MATCH(F1513,Metas!$A$5:$A$54,0)),"⚠ ID de meta no existe"))</f>
        <v/>
      </c>
      <c r="H1513" s="16" t="str">
        <f aca="false">IF(OR(C1513="",D1513=""),"",ROUND(MOD(D1513-C1513,1)*24,2))</f>
        <v/>
      </c>
      <c r="I1513" s="18"/>
      <c r="J1513" s="18"/>
      <c r="K1513" s="18"/>
    </row>
    <row r="1514" customFormat="false" ht="15" hidden="false" customHeight="false" outlineLevel="0" collapsed="false">
      <c r="A1514" s="17"/>
      <c r="B1514" s="18"/>
      <c r="C1514" s="19"/>
      <c r="D1514" s="19"/>
      <c r="E1514" s="18"/>
      <c r="F1514" s="18"/>
      <c r="G1514" s="13" t="str">
        <f aca="false">IF(F1514="","",IFERROR(INDEX(Metas!$B$5:$B$54,MATCH(F1514,Metas!$A$5:$A$54,0)),"⚠ ID de meta no existe"))</f>
        <v/>
      </c>
      <c r="H1514" s="16" t="str">
        <f aca="false">IF(OR(C1514="",D1514=""),"",ROUND(MOD(D1514-C1514,1)*24,2))</f>
        <v/>
      </c>
      <c r="I1514" s="18"/>
      <c r="J1514" s="18"/>
      <c r="K1514" s="18"/>
    </row>
    <row r="1515" customFormat="false" ht="15" hidden="false" customHeight="false" outlineLevel="0" collapsed="false">
      <c r="A1515" s="17"/>
      <c r="B1515" s="18"/>
      <c r="C1515" s="19"/>
      <c r="D1515" s="19"/>
      <c r="E1515" s="18"/>
      <c r="F1515" s="18"/>
      <c r="G1515" s="13" t="str">
        <f aca="false">IF(F1515="","",IFERROR(INDEX(Metas!$B$5:$B$54,MATCH(F1515,Metas!$A$5:$A$54,0)),"⚠ ID de meta no existe"))</f>
        <v/>
      </c>
      <c r="H1515" s="16" t="str">
        <f aca="false">IF(OR(C1515="",D1515=""),"",ROUND(MOD(D1515-C1515,1)*24,2))</f>
        <v/>
      </c>
      <c r="I1515" s="18"/>
      <c r="J1515" s="18"/>
      <c r="K1515" s="18"/>
    </row>
    <row r="1516" customFormat="false" ht="15" hidden="false" customHeight="false" outlineLevel="0" collapsed="false">
      <c r="A1516" s="17"/>
      <c r="B1516" s="18"/>
      <c r="C1516" s="19"/>
      <c r="D1516" s="19"/>
      <c r="E1516" s="18"/>
      <c r="F1516" s="18"/>
      <c r="G1516" s="13" t="str">
        <f aca="false">IF(F1516="","",IFERROR(INDEX(Metas!$B$5:$B$54,MATCH(F1516,Metas!$A$5:$A$54,0)),"⚠ ID de meta no existe"))</f>
        <v/>
      </c>
      <c r="H1516" s="16" t="str">
        <f aca="false">IF(OR(C1516="",D1516=""),"",ROUND(MOD(D1516-C1516,1)*24,2))</f>
        <v/>
      </c>
      <c r="I1516" s="18"/>
      <c r="J1516" s="18"/>
      <c r="K1516" s="18"/>
    </row>
    <row r="1517" customFormat="false" ht="15" hidden="false" customHeight="false" outlineLevel="0" collapsed="false">
      <c r="A1517" s="17"/>
      <c r="B1517" s="18"/>
      <c r="C1517" s="19"/>
      <c r="D1517" s="19"/>
      <c r="E1517" s="18"/>
      <c r="F1517" s="18"/>
      <c r="G1517" s="13" t="str">
        <f aca="false">IF(F1517="","",IFERROR(INDEX(Metas!$B$5:$B$54,MATCH(F1517,Metas!$A$5:$A$54,0)),"⚠ ID de meta no existe"))</f>
        <v/>
      </c>
      <c r="H1517" s="16" t="str">
        <f aca="false">IF(OR(C1517="",D1517=""),"",ROUND(MOD(D1517-C1517,1)*24,2))</f>
        <v/>
      </c>
      <c r="I1517" s="18"/>
      <c r="J1517" s="18"/>
      <c r="K1517" s="18"/>
    </row>
    <row r="1518" customFormat="false" ht="15" hidden="false" customHeight="false" outlineLevel="0" collapsed="false">
      <c r="A1518" s="17"/>
      <c r="B1518" s="18"/>
      <c r="C1518" s="19"/>
      <c r="D1518" s="19"/>
      <c r="E1518" s="18"/>
      <c r="F1518" s="18"/>
      <c r="G1518" s="13" t="str">
        <f aca="false">IF(F1518="","",IFERROR(INDEX(Metas!$B$5:$B$54,MATCH(F1518,Metas!$A$5:$A$54,0)),"⚠ ID de meta no existe"))</f>
        <v/>
      </c>
      <c r="H1518" s="16" t="str">
        <f aca="false">IF(OR(C1518="",D1518=""),"",ROUND(MOD(D1518-C1518,1)*24,2))</f>
        <v/>
      </c>
      <c r="I1518" s="18"/>
      <c r="J1518" s="18"/>
      <c r="K1518" s="18"/>
    </row>
    <row r="1519" customFormat="false" ht="15" hidden="false" customHeight="false" outlineLevel="0" collapsed="false">
      <c r="A1519" s="17"/>
      <c r="B1519" s="18"/>
      <c r="C1519" s="19"/>
      <c r="D1519" s="19"/>
      <c r="E1519" s="18"/>
      <c r="F1519" s="18"/>
      <c r="G1519" s="13" t="str">
        <f aca="false">IF(F1519="","",IFERROR(INDEX(Metas!$B$5:$B$54,MATCH(F1519,Metas!$A$5:$A$54,0)),"⚠ ID de meta no existe"))</f>
        <v/>
      </c>
      <c r="H1519" s="16" t="str">
        <f aca="false">IF(OR(C1519="",D1519=""),"",ROUND(MOD(D1519-C1519,1)*24,2))</f>
        <v/>
      </c>
      <c r="I1519" s="18"/>
      <c r="J1519" s="18"/>
      <c r="K1519" s="18"/>
    </row>
    <row r="1520" customFormat="false" ht="15" hidden="false" customHeight="false" outlineLevel="0" collapsed="false">
      <c r="A1520" s="17"/>
      <c r="B1520" s="18"/>
      <c r="C1520" s="19"/>
      <c r="D1520" s="19"/>
      <c r="E1520" s="18"/>
      <c r="F1520" s="18"/>
      <c r="G1520" s="13" t="str">
        <f aca="false">IF(F1520="","",IFERROR(INDEX(Metas!$B$5:$B$54,MATCH(F1520,Metas!$A$5:$A$54,0)),"⚠ ID de meta no existe"))</f>
        <v/>
      </c>
      <c r="H1520" s="16" t="str">
        <f aca="false">IF(OR(C1520="",D1520=""),"",ROUND(MOD(D1520-C1520,1)*24,2))</f>
        <v/>
      </c>
      <c r="I1520" s="18"/>
      <c r="J1520" s="18"/>
      <c r="K1520" s="18"/>
    </row>
    <row r="1521" customFormat="false" ht="15" hidden="false" customHeight="false" outlineLevel="0" collapsed="false">
      <c r="A1521" s="17"/>
      <c r="B1521" s="18"/>
      <c r="C1521" s="19"/>
      <c r="D1521" s="19"/>
      <c r="E1521" s="18"/>
      <c r="F1521" s="18"/>
      <c r="G1521" s="13" t="str">
        <f aca="false">IF(F1521="","",IFERROR(INDEX(Metas!$B$5:$B$54,MATCH(F1521,Metas!$A$5:$A$54,0)),"⚠ ID de meta no existe"))</f>
        <v/>
      </c>
      <c r="H1521" s="16" t="str">
        <f aca="false">IF(OR(C1521="",D1521=""),"",ROUND(MOD(D1521-C1521,1)*24,2))</f>
        <v/>
      </c>
      <c r="I1521" s="18"/>
      <c r="J1521" s="18"/>
      <c r="K1521" s="18"/>
    </row>
    <row r="1522" customFormat="false" ht="15" hidden="false" customHeight="false" outlineLevel="0" collapsed="false">
      <c r="A1522" s="17"/>
      <c r="B1522" s="18"/>
      <c r="C1522" s="19"/>
      <c r="D1522" s="19"/>
      <c r="E1522" s="18"/>
      <c r="F1522" s="18"/>
      <c r="G1522" s="13" t="str">
        <f aca="false">IF(F1522="","",IFERROR(INDEX(Metas!$B$5:$B$54,MATCH(F1522,Metas!$A$5:$A$54,0)),"⚠ ID de meta no existe"))</f>
        <v/>
      </c>
      <c r="H1522" s="16" t="str">
        <f aca="false">IF(OR(C1522="",D1522=""),"",ROUND(MOD(D1522-C1522,1)*24,2))</f>
        <v/>
      </c>
      <c r="I1522" s="18"/>
      <c r="J1522" s="18"/>
      <c r="K1522" s="18"/>
    </row>
    <row r="1523" customFormat="false" ht="15" hidden="false" customHeight="false" outlineLevel="0" collapsed="false">
      <c r="A1523" s="17"/>
      <c r="B1523" s="18"/>
      <c r="C1523" s="19"/>
      <c r="D1523" s="19"/>
      <c r="E1523" s="18"/>
      <c r="F1523" s="18"/>
      <c r="G1523" s="13" t="str">
        <f aca="false">IF(F1523="","",IFERROR(INDEX(Metas!$B$5:$B$54,MATCH(F1523,Metas!$A$5:$A$54,0)),"⚠ ID de meta no existe"))</f>
        <v/>
      </c>
      <c r="H1523" s="16" t="str">
        <f aca="false">IF(OR(C1523="",D1523=""),"",ROUND(MOD(D1523-C1523,1)*24,2))</f>
        <v/>
      </c>
      <c r="I1523" s="18"/>
      <c r="J1523" s="18"/>
      <c r="K1523" s="18"/>
    </row>
    <row r="1524" customFormat="false" ht="15" hidden="false" customHeight="false" outlineLevel="0" collapsed="false">
      <c r="A1524" s="17"/>
      <c r="B1524" s="18"/>
      <c r="C1524" s="19"/>
      <c r="D1524" s="19"/>
      <c r="E1524" s="18"/>
      <c r="F1524" s="18"/>
      <c r="G1524" s="13" t="str">
        <f aca="false">IF(F1524="","",IFERROR(INDEX(Metas!$B$5:$B$54,MATCH(F1524,Metas!$A$5:$A$54,0)),"⚠ ID de meta no existe"))</f>
        <v/>
      </c>
      <c r="H1524" s="16" t="str">
        <f aca="false">IF(OR(C1524="",D1524=""),"",ROUND(MOD(D1524-C1524,1)*24,2))</f>
        <v/>
      </c>
      <c r="I1524" s="18"/>
      <c r="J1524" s="18"/>
      <c r="K1524" s="18"/>
    </row>
    <row r="1525" customFormat="false" ht="15" hidden="false" customHeight="false" outlineLevel="0" collapsed="false">
      <c r="A1525" s="17"/>
      <c r="B1525" s="18"/>
      <c r="C1525" s="19"/>
      <c r="D1525" s="19"/>
      <c r="E1525" s="18"/>
      <c r="F1525" s="18"/>
      <c r="G1525" s="13" t="str">
        <f aca="false">IF(F1525="","",IFERROR(INDEX(Metas!$B$5:$B$54,MATCH(F1525,Metas!$A$5:$A$54,0)),"⚠ ID de meta no existe"))</f>
        <v/>
      </c>
      <c r="H1525" s="16" t="str">
        <f aca="false">IF(OR(C1525="",D1525=""),"",ROUND(MOD(D1525-C1525,1)*24,2))</f>
        <v/>
      </c>
      <c r="I1525" s="18"/>
      <c r="J1525" s="18"/>
      <c r="K1525" s="18"/>
    </row>
    <row r="1526" customFormat="false" ht="15" hidden="false" customHeight="false" outlineLevel="0" collapsed="false">
      <c r="A1526" s="17"/>
      <c r="B1526" s="18"/>
      <c r="C1526" s="19"/>
      <c r="D1526" s="19"/>
      <c r="E1526" s="18"/>
      <c r="F1526" s="18"/>
      <c r="G1526" s="13" t="str">
        <f aca="false">IF(F1526="","",IFERROR(INDEX(Metas!$B$5:$B$54,MATCH(F1526,Metas!$A$5:$A$54,0)),"⚠ ID de meta no existe"))</f>
        <v/>
      </c>
      <c r="H1526" s="16" t="str">
        <f aca="false">IF(OR(C1526="",D1526=""),"",ROUND(MOD(D1526-C1526,1)*24,2))</f>
        <v/>
      </c>
      <c r="I1526" s="18"/>
      <c r="J1526" s="18"/>
      <c r="K1526" s="18"/>
    </row>
    <row r="1527" customFormat="false" ht="15" hidden="false" customHeight="false" outlineLevel="0" collapsed="false">
      <c r="A1527" s="17"/>
      <c r="B1527" s="18"/>
      <c r="C1527" s="19"/>
      <c r="D1527" s="19"/>
      <c r="E1527" s="18"/>
      <c r="F1527" s="18"/>
      <c r="G1527" s="13" t="str">
        <f aca="false">IF(F1527="","",IFERROR(INDEX(Metas!$B$5:$B$54,MATCH(F1527,Metas!$A$5:$A$54,0)),"⚠ ID de meta no existe"))</f>
        <v/>
      </c>
      <c r="H1527" s="16" t="str">
        <f aca="false">IF(OR(C1527="",D1527=""),"",ROUND(MOD(D1527-C1527,1)*24,2))</f>
        <v/>
      </c>
      <c r="I1527" s="18"/>
      <c r="J1527" s="18"/>
      <c r="K1527" s="18"/>
    </row>
    <row r="1528" customFormat="false" ht="15" hidden="false" customHeight="false" outlineLevel="0" collapsed="false">
      <c r="A1528" s="17"/>
      <c r="B1528" s="18"/>
      <c r="C1528" s="19"/>
      <c r="D1528" s="19"/>
      <c r="E1528" s="18"/>
      <c r="F1528" s="18"/>
      <c r="G1528" s="13" t="str">
        <f aca="false">IF(F1528="","",IFERROR(INDEX(Metas!$B$5:$B$54,MATCH(F1528,Metas!$A$5:$A$54,0)),"⚠ ID de meta no existe"))</f>
        <v/>
      </c>
      <c r="H1528" s="16" t="str">
        <f aca="false">IF(OR(C1528="",D1528=""),"",ROUND(MOD(D1528-C1528,1)*24,2))</f>
        <v/>
      </c>
      <c r="I1528" s="18"/>
      <c r="J1528" s="18"/>
      <c r="K1528" s="18"/>
    </row>
    <row r="1529" customFormat="false" ht="15" hidden="false" customHeight="false" outlineLevel="0" collapsed="false">
      <c r="A1529" s="17"/>
      <c r="B1529" s="18"/>
      <c r="C1529" s="19"/>
      <c r="D1529" s="19"/>
      <c r="E1529" s="18"/>
      <c r="F1529" s="18"/>
      <c r="G1529" s="13" t="str">
        <f aca="false">IF(F1529="","",IFERROR(INDEX(Metas!$B$5:$B$54,MATCH(F1529,Metas!$A$5:$A$54,0)),"⚠ ID de meta no existe"))</f>
        <v/>
      </c>
      <c r="H1529" s="16" t="str">
        <f aca="false">IF(OR(C1529="",D1529=""),"",ROUND(MOD(D1529-C1529,1)*24,2))</f>
        <v/>
      </c>
      <c r="I1529" s="18"/>
      <c r="J1529" s="18"/>
      <c r="K1529" s="18"/>
    </row>
    <row r="1530" customFormat="false" ht="15" hidden="false" customHeight="false" outlineLevel="0" collapsed="false">
      <c r="A1530" s="17"/>
      <c r="B1530" s="18"/>
      <c r="C1530" s="19"/>
      <c r="D1530" s="19"/>
      <c r="E1530" s="18"/>
      <c r="F1530" s="18"/>
      <c r="G1530" s="13" t="str">
        <f aca="false">IF(F1530="","",IFERROR(INDEX(Metas!$B$5:$B$54,MATCH(F1530,Metas!$A$5:$A$54,0)),"⚠ ID de meta no existe"))</f>
        <v/>
      </c>
      <c r="H1530" s="16" t="str">
        <f aca="false">IF(OR(C1530="",D1530=""),"",ROUND(MOD(D1530-C1530,1)*24,2))</f>
        <v/>
      </c>
      <c r="I1530" s="18"/>
      <c r="J1530" s="18"/>
      <c r="K1530" s="18"/>
    </row>
    <row r="1531" customFormat="false" ht="15" hidden="false" customHeight="false" outlineLevel="0" collapsed="false">
      <c r="A1531" s="17"/>
      <c r="B1531" s="18"/>
      <c r="C1531" s="19"/>
      <c r="D1531" s="19"/>
      <c r="E1531" s="18"/>
      <c r="F1531" s="18"/>
      <c r="G1531" s="13" t="str">
        <f aca="false">IF(F1531="","",IFERROR(INDEX(Metas!$B$5:$B$54,MATCH(F1531,Metas!$A$5:$A$54,0)),"⚠ ID de meta no existe"))</f>
        <v/>
      </c>
      <c r="H1531" s="16" t="str">
        <f aca="false">IF(OR(C1531="",D1531=""),"",ROUND(MOD(D1531-C1531,1)*24,2))</f>
        <v/>
      </c>
      <c r="I1531" s="18"/>
      <c r="J1531" s="18"/>
      <c r="K1531" s="18"/>
    </row>
    <row r="1532" customFormat="false" ht="15" hidden="false" customHeight="false" outlineLevel="0" collapsed="false">
      <c r="A1532" s="17"/>
      <c r="B1532" s="18"/>
      <c r="C1532" s="19"/>
      <c r="D1532" s="19"/>
      <c r="E1532" s="18"/>
      <c r="F1532" s="18"/>
      <c r="G1532" s="13" t="str">
        <f aca="false">IF(F1532="","",IFERROR(INDEX(Metas!$B$5:$B$54,MATCH(F1532,Metas!$A$5:$A$54,0)),"⚠ ID de meta no existe"))</f>
        <v/>
      </c>
      <c r="H1532" s="16" t="str">
        <f aca="false">IF(OR(C1532="",D1532=""),"",ROUND(MOD(D1532-C1532,1)*24,2))</f>
        <v/>
      </c>
      <c r="I1532" s="18"/>
      <c r="J1532" s="18"/>
      <c r="K1532" s="18"/>
    </row>
    <row r="1533" customFormat="false" ht="15" hidden="false" customHeight="false" outlineLevel="0" collapsed="false">
      <c r="A1533" s="17"/>
      <c r="B1533" s="18"/>
      <c r="C1533" s="19"/>
      <c r="D1533" s="19"/>
      <c r="E1533" s="18"/>
      <c r="F1533" s="18"/>
      <c r="G1533" s="13" t="str">
        <f aca="false">IF(F1533="","",IFERROR(INDEX(Metas!$B$5:$B$54,MATCH(F1533,Metas!$A$5:$A$54,0)),"⚠ ID de meta no existe"))</f>
        <v/>
      </c>
      <c r="H1533" s="16" t="str">
        <f aca="false">IF(OR(C1533="",D1533=""),"",ROUND(MOD(D1533-C1533,1)*24,2))</f>
        <v/>
      </c>
      <c r="I1533" s="18"/>
      <c r="J1533" s="18"/>
      <c r="K1533" s="18"/>
    </row>
    <row r="1534" customFormat="false" ht="15" hidden="false" customHeight="false" outlineLevel="0" collapsed="false">
      <c r="A1534" s="17"/>
      <c r="B1534" s="18"/>
      <c r="C1534" s="19"/>
      <c r="D1534" s="19"/>
      <c r="E1534" s="18"/>
      <c r="F1534" s="18"/>
      <c r="G1534" s="13" t="str">
        <f aca="false">IF(F1534="","",IFERROR(INDEX(Metas!$B$5:$B$54,MATCH(F1534,Metas!$A$5:$A$54,0)),"⚠ ID de meta no existe"))</f>
        <v/>
      </c>
      <c r="H1534" s="16" t="str">
        <f aca="false">IF(OR(C1534="",D1534=""),"",ROUND(MOD(D1534-C1534,1)*24,2))</f>
        <v/>
      </c>
      <c r="I1534" s="18"/>
      <c r="J1534" s="18"/>
      <c r="K1534" s="18"/>
    </row>
    <row r="1535" customFormat="false" ht="15" hidden="false" customHeight="false" outlineLevel="0" collapsed="false">
      <c r="A1535" s="17"/>
      <c r="B1535" s="18"/>
      <c r="C1535" s="19"/>
      <c r="D1535" s="19"/>
      <c r="E1535" s="18"/>
      <c r="F1535" s="18"/>
      <c r="G1535" s="13" t="str">
        <f aca="false">IF(F1535="","",IFERROR(INDEX(Metas!$B$5:$B$54,MATCH(F1535,Metas!$A$5:$A$54,0)),"⚠ ID de meta no existe"))</f>
        <v/>
      </c>
      <c r="H1535" s="16" t="str">
        <f aca="false">IF(OR(C1535="",D1535=""),"",ROUND(MOD(D1535-C1535,1)*24,2))</f>
        <v/>
      </c>
      <c r="I1535" s="18"/>
      <c r="J1535" s="18"/>
      <c r="K1535" s="18"/>
    </row>
    <row r="1536" customFormat="false" ht="15" hidden="false" customHeight="false" outlineLevel="0" collapsed="false">
      <c r="A1536" s="17"/>
      <c r="B1536" s="18"/>
      <c r="C1536" s="19"/>
      <c r="D1536" s="19"/>
      <c r="E1536" s="18"/>
      <c r="F1536" s="18"/>
      <c r="G1536" s="13" t="str">
        <f aca="false">IF(F1536="","",IFERROR(INDEX(Metas!$B$5:$B$54,MATCH(F1536,Metas!$A$5:$A$54,0)),"⚠ ID de meta no existe"))</f>
        <v/>
      </c>
      <c r="H1536" s="16" t="str">
        <f aca="false">IF(OR(C1536="",D1536=""),"",ROUND(MOD(D1536-C1536,1)*24,2))</f>
        <v/>
      </c>
      <c r="I1536" s="18"/>
      <c r="J1536" s="18"/>
      <c r="K1536" s="18"/>
    </row>
    <row r="1537" customFormat="false" ht="15" hidden="false" customHeight="false" outlineLevel="0" collapsed="false">
      <c r="A1537" s="17"/>
      <c r="B1537" s="18"/>
      <c r="C1537" s="19"/>
      <c r="D1537" s="19"/>
      <c r="E1537" s="18"/>
      <c r="F1537" s="18"/>
      <c r="G1537" s="13" t="str">
        <f aca="false">IF(F1537="","",IFERROR(INDEX(Metas!$B$5:$B$54,MATCH(F1537,Metas!$A$5:$A$54,0)),"⚠ ID de meta no existe"))</f>
        <v/>
      </c>
      <c r="H1537" s="16" t="str">
        <f aca="false">IF(OR(C1537="",D1537=""),"",ROUND(MOD(D1537-C1537,1)*24,2))</f>
        <v/>
      </c>
      <c r="I1537" s="18"/>
      <c r="J1537" s="18"/>
      <c r="K1537" s="18"/>
    </row>
    <row r="1538" customFormat="false" ht="15" hidden="false" customHeight="false" outlineLevel="0" collapsed="false">
      <c r="A1538" s="17"/>
      <c r="B1538" s="18"/>
      <c r="C1538" s="19"/>
      <c r="D1538" s="19"/>
      <c r="E1538" s="18"/>
      <c r="F1538" s="18"/>
      <c r="G1538" s="13" t="str">
        <f aca="false">IF(F1538="","",IFERROR(INDEX(Metas!$B$5:$B$54,MATCH(F1538,Metas!$A$5:$A$54,0)),"⚠ ID de meta no existe"))</f>
        <v/>
      </c>
      <c r="H1538" s="16" t="str">
        <f aca="false">IF(OR(C1538="",D1538=""),"",ROUND(MOD(D1538-C1538,1)*24,2))</f>
        <v/>
      </c>
      <c r="I1538" s="18"/>
      <c r="J1538" s="18"/>
      <c r="K1538" s="18"/>
    </row>
    <row r="1539" customFormat="false" ht="15" hidden="false" customHeight="false" outlineLevel="0" collapsed="false">
      <c r="A1539" s="17"/>
      <c r="B1539" s="18"/>
      <c r="C1539" s="19"/>
      <c r="D1539" s="19"/>
      <c r="E1539" s="18"/>
      <c r="F1539" s="18"/>
      <c r="G1539" s="13" t="str">
        <f aca="false">IF(F1539="","",IFERROR(INDEX(Metas!$B$5:$B$54,MATCH(F1539,Metas!$A$5:$A$54,0)),"⚠ ID de meta no existe"))</f>
        <v/>
      </c>
      <c r="H1539" s="16" t="str">
        <f aca="false">IF(OR(C1539="",D1539=""),"",ROUND(MOD(D1539-C1539,1)*24,2))</f>
        <v/>
      </c>
      <c r="I1539" s="18"/>
      <c r="J1539" s="18"/>
      <c r="K1539" s="18"/>
    </row>
    <row r="1540" customFormat="false" ht="15" hidden="false" customHeight="false" outlineLevel="0" collapsed="false">
      <c r="A1540" s="17"/>
      <c r="B1540" s="18"/>
      <c r="C1540" s="19"/>
      <c r="D1540" s="19"/>
      <c r="E1540" s="18"/>
      <c r="F1540" s="18"/>
      <c r="G1540" s="13" t="str">
        <f aca="false">IF(F1540="","",IFERROR(INDEX(Metas!$B$5:$B$54,MATCH(F1540,Metas!$A$5:$A$54,0)),"⚠ ID de meta no existe"))</f>
        <v/>
      </c>
      <c r="H1540" s="16" t="str">
        <f aca="false">IF(OR(C1540="",D1540=""),"",ROUND(MOD(D1540-C1540,1)*24,2))</f>
        <v/>
      </c>
      <c r="I1540" s="18"/>
      <c r="J1540" s="18"/>
      <c r="K1540" s="18"/>
    </row>
    <row r="1541" customFormat="false" ht="15" hidden="false" customHeight="false" outlineLevel="0" collapsed="false">
      <c r="A1541" s="17"/>
      <c r="B1541" s="18"/>
      <c r="C1541" s="19"/>
      <c r="D1541" s="19"/>
      <c r="E1541" s="18"/>
      <c r="F1541" s="18"/>
      <c r="G1541" s="13" t="str">
        <f aca="false">IF(F1541="","",IFERROR(INDEX(Metas!$B$5:$B$54,MATCH(F1541,Metas!$A$5:$A$54,0)),"⚠ ID de meta no existe"))</f>
        <v/>
      </c>
      <c r="H1541" s="16" t="str">
        <f aca="false">IF(OR(C1541="",D1541=""),"",ROUND(MOD(D1541-C1541,1)*24,2))</f>
        <v/>
      </c>
      <c r="I1541" s="18"/>
      <c r="J1541" s="18"/>
      <c r="K1541" s="18"/>
    </row>
    <row r="1542" customFormat="false" ht="15" hidden="false" customHeight="false" outlineLevel="0" collapsed="false">
      <c r="A1542" s="17"/>
      <c r="B1542" s="18"/>
      <c r="C1542" s="19"/>
      <c r="D1542" s="19"/>
      <c r="E1542" s="18"/>
      <c r="F1542" s="18"/>
      <c r="G1542" s="13" t="str">
        <f aca="false">IF(F1542="","",IFERROR(INDEX(Metas!$B$5:$B$54,MATCH(F1542,Metas!$A$5:$A$54,0)),"⚠ ID de meta no existe"))</f>
        <v/>
      </c>
      <c r="H1542" s="16" t="str">
        <f aca="false">IF(OR(C1542="",D1542=""),"",ROUND(MOD(D1542-C1542,1)*24,2))</f>
        <v/>
      </c>
      <c r="I1542" s="18"/>
      <c r="J1542" s="18"/>
      <c r="K1542" s="18"/>
    </row>
    <row r="1543" customFormat="false" ht="15" hidden="false" customHeight="false" outlineLevel="0" collapsed="false">
      <c r="A1543" s="17"/>
      <c r="B1543" s="18"/>
      <c r="C1543" s="19"/>
      <c r="D1543" s="19"/>
      <c r="E1543" s="18"/>
      <c r="F1543" s="18"/>
      <c r="G1543" s="13" t="str">
        <f aca="false">IF(F1543="","",IFERROR(INDEX(Metas!$B$5:$B$54,MATCH(F1543,Metas!$A$5:$A$54,0)),"⚠ ID de meta no existe"))</f>
        <v/>
      </c>
      <c r="H1543" s="16" t="str">
        <f aca="false">IF(OR(C1543="",D1543=""),"",ROUND(MOD(D1543-C1543,1)*24,2))</f>
        <v/>
      </c>
      <c r="I1543" s="18"/>
      <c r="J1543" s="18"/>
      <c r="K1543" s="18"/>
    </row>
    <row r="1544" customFormat="false" ht="15" hidden="false" customHeight="false" outlineLevel="0" collapsed="false">
      <c r="A1544" s="17"/>
      <c r="B1544" s="18"/>
      <c r="C1544" s="19"/>
      <c r="D1544" s="19"/>
      <c r="E1544" s="18"/>
      <c r="F1544" s="18"/>
      <c r="G1544" s="13" t="str">
        <f aca="false">IF(F1544="","",IFERROR(INDEX(Metas!$B$5:$B$54,MATCH(F1544,Metas!$A$5:$A$54,0)),"⚠ ID de meta no existe"))</f>
        <v/>
      </c>
      <c r="H1544" s="16" t="str">
        <f aca="false">IF(OR(C1544="",D1544=""),"",ROUND(MOD(D1544-C1544,1)*24,2))</f>
        <v/>
      </c>
      <c r="I1544" s="18"/>
      <c r="J1544" s="18"/>
      <c r="K1544" s="18"/>
    </row>
    <row r="1545" customFormat="false" ht="15" hidden="false" customHeight="false" outlineLevel="0" collapsed="false">
      <c r="A1545" s="17"/>
      <c r="B1545" s="18"/>
      <c r="C1545" s="19"/>
      <c r="D1545" s="19"/>
      <c r="E1545" s="18"/>
      <c r="F1545" s="18"/>
      <c r="G1545" s="13" t="str">
        <f aca="false">IF(F1545="","",IFERROR(INDEX(Metas!$B$5:$B$54,MATCH(F1545,Metas!$A$5:$A$54,0)),"⚠ ID de meta no existe"))</f>
        <v/>
      </c>
      <c r="H1545" s="16" t="str">
        <f aca="false">IF(OR(C1545="",D1545=""),"",ROUND(MOD(D1545-C1545,1)*24,2))</f>
        <v/>
      </c>
      <c r="I1545" s="18"/>
      <c r="J1545" s="18"/>
      <c r="K1545" s="18"/>
    </row>
    <row r="1546" customFormat="false" ht="15" hidden="false" customHeight="false" outlineLevel="0" collapsed="false">
      <c r="A1546" s="17"/>
      <c r="B1546" s="18"/>
      <c r="C1546" s="19"/>
      <c r="D1546" s="19"/>
      <c r="E1546" s="18"/>
      <c r="F1546" s="18"/>
      <c r="G1546" s="13" t="str">
        <f aca="false">IF(F1546="","",IFERROR(INDEX(Metas!$B$5:$B$54,MATCH(F1546,Metas!$A$5:$A$54,0)),"⚠ ID de meta no existe"))</f>
        <v/>
      </c>
      <c r="H1546" s="16" t="str">
        <f aca="false">IF(OR(C1546="",D1546=""),"",ROUND(MOD(D1546-C1546,1)*24,2))</f>
        <v/>
      </c>
      <c r="I1546" s="18"/>
      <c r="J1546" s="18"/>
      <c r="K1546" s="18"/>
    </row>
    <row r="1547" customFormat="false" ht="15" hidden="false" customHeight="false" outlineLevel="0" collapsed="false">
      <c r="A1547" s="17"/>
      <c r="B1547" s="18"/>
      <c r="C1547" s="19"/>
      <c r="D1547" s="19"/>
      <c r="E1547" s="18"/>
      <c r="F1547" s="18"/>
      <c r="G1547" s="13" t="str">
        <f aca="false">IF(F1547="","",IFERROR(INDEX(Metas!$B$5:$B$54,MATCH(F1547,Metas!$A$5:$A$54,0)),"⚠ ID de meta no existe"))</f>
        <v/>
      </c>
      <c r="H1547" s="16" t="str">
        <f aca="false">IF(OR(C1547="",D1547=""),"",ROUND(MOD(D1547-C1547,1)*24,2))</f>
        <v/>
      </c>
      <c r="I1547" s="18"/>
      <c r="J1547" s="18"/>
      <c r="K1547" s="18"/>
    </row>
    <row r="1548" customFormat="false" ht="15" hidden="false" customHeight="false" outlineLevel="0" collapsed="false">
      <c r="A1548" s="17"/>
      <c r="B1548" s="18"/>
      <c r="C1548" s="19"/>
      <c r="D1548" s="19"/>
      <c r="E1548" s="18"/>
      <c r="F1548" s="18"/>
      <c r="G1548" s="13" t="str">
        <f aca="false">IF(F1548="","",IFERROR(INDEX(Metas!$B$5:$B$54,MATCH(F1548,Metas!$A$5:$A$54,0)),"⚠ ID de meta no existe"))</f>
        <v/>
      </c>
      <c r="H1548" s="16" t="str">
        <f aca="false">IF(OR(C1548="",D1548=""),"",ROUND(MOD(D1548-C1548,1)*24,2))</f>
        <v/>
      </c>
      <c r="I1548" s="18"/>
      <c r="J1548" s="18"/>
      <c r="K1548" s="18"/>
    </row>
    <row r="1549" customFormat="false" ht="15" hidden="false" customHeight="false" outlineLevel="0" collapsed="false">
      <c r="A1549" s="17"/>
      <c r="B1549" s="18"/>
      <c r="C1549" s="19"/>
      <c r="D1549" s="19"/>
      <c r="E1549" s="18"/>
      <c r="F1549" s="18"/>
      <c r="G1549" s="13" t="str">
        <f aca="false">IF(F1549="","",IFERROR(INDEX(Metas!$B$5:$B$54,MATCH(F1549,Metas!$A$5:$A$54,0)),"⚠ ID de meta no existe"))</f>
        <v/>
      </c>
      <c r="H1549" s="16" t="str">
        <f aca="false">IF(OR(C1549="",D1549=""),"",ROUND(MOD(D1549-C1549,1)*24,2))</f>
        <v/>
      </c>
      <c r="I1549" s="18"/>
      <c r="J1549" s="18"/>
      <c r="K1549" s="18"/>
    </row>
    <row r="1550" customFormat="false" ht="15" hidden="false" customHeight="false" outlineLevel="0" collapsed="false">
      <c r="A1550" s="17"/>
      <c r="B1550" s="18"/>
      <c r="C1550" s="19"/>
      <c r="D1550" s="19"/>
      <c r="E1550" s="18"/>
      <c r="F1550" s="18"/>
      <c r="G1550" s="13" t="str">
        <f aca="false">IF(F1550="","",IFERROR(INDEX(Metas!$B$5:$B$54,MATCH(F1550,Metas!$A$5:$A$54,0)),"⚠ ID de meta no existe"))</f>
        <v/>
      </c>
      <c r="H1550" s="16" t="str">
        <f aca="false">IF(OR(C1550="",D1550=""),"",ROUND(MOD(D1550-C1550,1)*24,2))</f>
        <v/>
      </c>
      <c r="I1550" s="18"/>
      <c r="J1550" s="18"/>
      <c r="K1550" s="18"/>
    </row>
    <row r="1551" customFormat="false" ht="15" hidden="false" customHeight="false" outlineLevel="0" collapsed="false">
      <c r="A1551" s="17"/>
      <c r="B1551" s="18"/>
      <c r="C1551" s="19"/>
      <c r="D1551" s="19"/>
      <c r="E1551" s="18"/>
      <c r="F1551" s="18"/>
      <c r="G1551" s="13" t="str">
        <f aca="false">IF(F1551="","",IFERROR(INDEX(Metas!$B$5:$B$54,MATCH(F1551,Metas!$A$5:$A$54,0)),"⚠ ID de meta no existe"))</f>
        <v/>
      </c>
      <c r="H1551" s="16" t="str">
        <f aca="false">IF(OR(C1551="",D1551=""),"",ROUND(MOD(D1551-C1551,1)*24,2))</f>
        <v/>
      </c>
      <c r="I1551" s="18"/>
      <c r="J1551" s="18"/>
      <c r="K1551" s="18"/>
    </row>
    <row r="1552" customFormat="false" ht="15" hidden="false" customHeight="false" outlineLevel="0" collapsed="false">
      <c r="A1552" s="17"/>
      <c r="B1552" s="18"/>
      <c r="C1552" s="19"/>
      <c r="D1552" s="19"/>
      <c r="E1552" s="18"/>
      <c r="F1552" s="18"/>
      <c r="G1552" s="13" t="str">
        <f aca="false">IF(F1552="","",IFERROR(INDEX(Metas!$B$5:$B$54,MATCH(F1552,Metas!$A$5:$A$54,0)),"⚠ ID de meta no existe"))</f>
        <v/>
      </c>
      <c r="H1552" s="16" t="str">
        <f aca="false">IF(OR(C1552="",D1552=""),"",ROUND(MOD(D1552-C1552,1)*24,2))</f>
        <v/>
      </c>
      <c r="I1552" s="18"/>
      <c r="J1552" s="18"/>
      <c r="K1552" s="18"/>
    </row>
    <row r="1553" customFormat="false" ht="15" hidden="false" customHeight="false" outlineLevel="0" collapsed="false">
      <c r="A1553" s="17"/>
      <c r="B1553" s="18"/>
      <c r="C1553" s="19"/>
      <c r="D1553" s="19"/>
      <c r="E1553" s="18"/>
      <c r="F1553" s="18"/>
      <c r="G1553" s="13" t="str">
        <f aca="false">IF(F1553="","",IFERROR(INDEX(Metas!$B$5:$B$54,MATCH(F1553,Metas!$A$5:$A$54,0)),"⚠ ID de meta no existe"))</f>
        <v/>
      </c>
      <c r="H1553" s="16" t="str">
        <f aca="false">IF(OR(C1553="",D1553=""),"",ROUND(MOD(D1553-C1553,1)*24,2))</f>
        <v/>
      </c>
      <c r="I1553" s="18"/>
      <c r="J1553" s="18"/>
      <c r="K1553" s="18"/>
    </row>
    <row r="1554" customFormat="false" ht="15" hidden="false" customHeight="false" outlineLevel="0" collapsed="false">
      <c r="A1554" s="17"/>
      <c r="B1554" s="18"/>
      <c r="C1554" s="19"/>
      <c r="D1554" s="19"/>
      <c r="E1554" s="18"/>
      <c r="F1554" s="18"/>
      <c r="G1554" s="13" t="str">
        <f aca="false">IF(F1554="","",IFERROR(INDEX(Metas!$B$5:$B$54,MATCH(F1554,Metas!$A$5:$A$54,0)),"⚠ ID de meta no existe"))</f>
        <v/>
      </c>
      <c r="H1554" s="16" t="str">
        <f aca="false">IF(OR(C1554="",D1554=""),"",ROUND(MOD(D1554-C1554,1)*24,2))</f>
        <v/>
      </c>
      <c r="I1554" s="18"/>
      <c r="J1554" s="18"/>
      <c r="K1554" s="18"/>
    </row>
    <row r="1555" customFormat="false" ht="15" hidden="false" customHeight="false" outlineLevel="0" collapsed="false">
      <c r="A1555" s="17"/>
      <c r="B1555" s="18"/>
      <c r="C1555" s="19"/>
      <c r="D1555" s="19"/>
      <c r="E1555" s="18"/>
      <c r="F1555" s="18"/>
      <c r="G1555" s="13" t="str">
        <f aca="false">IF(F1555="","",IFERROR(INDEX(Metas!$B$5:$B$54,MATCH(F1555,Metas!$A$5:$A$54,0)),"⚠ ID de meta no existe"))</f>
        <v/>
      </c>
      <c r="H1555" s="16" t="str">
        <f aca="false">IF(OR(C1555="",D1555=""),"",ROUND(MOD(D1555-C1555,1)*24,2))</f>
        <v/>
      </c>
      <c r="I1555" s="18"/>
      <c r="J1555" s="18"/>
      <c r="K1555" s="18"/>
    </row>
    <row r="1556" customFormat="false" ht="15" hidden="false" customHeight="false" outlineLevel="0" collapsed="false">
      <c r="A1556" s="17"/>
      <c r="B1556" s="18"/>
      <c r="C1556" s="19"/>
      <c r="D1556" s="19"/>
      <c r="E1556" s="18"/>
      <c r="F1556" s="18"/>
      <c r="G1556" s="13" t="str">
        <f aca="false">IF(F1556="","",IFERROR(INDEX(Metas!$B$5:$B$54,MATCH(F1556,Metas!$A$5:$A$54,0)),"⚠ ID de meta no existe"))</f>
        <v/>
      </c>
      <c r="H1556" s="16" t="str">
        <f aca="false">IF(OR(C1556="",D1556=""),"",ROUND(MOD(D1556-C1556,1)*24,2))</f>
        <v/>
      </c>
      <c r="I1556" s="18"/>
      <c r="J1556" s="18"/>
      <c r="K1556" s="18"/>
    </row>
    <row r="1557" customFormat="false" ht="15" hidden="false" customHeight="false" outlineLevel="0" collapsed="false">
      <c r="A1557" s="17"/>
      <c r="B1557" s="18"/>
      <c r="C1557" s="19"/>
      <c r="D1557" s="19"/>
      <c r="E1557" s="18"/>
      <c r="F1557" s="18"/>
      <c r="G1557" s="13" t="str">
        <f aca="false">IF(F1557="","",IFERROR(INDEX(Metas!$B$5:$B$54,MATCH(F1557,Metas!$A$5:$A$54,0)),"⚠ ID de meta no existe"))</f>
        <v/>
      </c>
      <c r="H1557" s="16" t="str">
        <f aca="false">IF(OR(C1557="",D1557=""),"",ROUND(MOD(D1557-C1557,1)*24,2))</f>
        <v/>
      </c>
      <c r="I1557" s="18"/>
      <c r="J1557" s="18"/>
      <c r="K1557" s="18"/>
    </row>
    <row r="1558" customFormat="false" ht="15" hidden="false" customHeight="false" outlineLevel="0" collapsed="false">
      <c r="A1558" s="17"/>
      <c r="B1558" s="18"/>
      <c r="C1558" s="19"/>
      <c r="D1558" s="19"/>
      <c r="E1558" s="18"/>
      <c r="F1558" s="18"/>
      <c r="G1558" s="13" t="str">
        <f aca="false">IF(F1558="","",IFERROR(INDEX(Metas!$B$5:$B$54,MATCH(F1558,Metas!$A$5:$A$54,0)),"⚠ ID de meta no existe"))</f>
        <v/>
      </c>
      <c r="H1558" s="16" t="str">
        <f aca="false">IF(OR(C1558="",D1558=""),"",ROUND(MOD(D1558-C1558,1)*24,2))</f>
        <v/>
      </c>
      <c r="I1558" s="18"/>
      <c r="J1558" s="18"/>
      <c r="K1558" s="18"/>
    </row>
    <row r="1559" customFormat="false" ht="15" hidden="false" customHeight="false" outlineLevel="0" collapsed="false">
      <c r="A1559" s="17"/>
      <c r="B1559" s="18"/>
      <c r="C1559" s="19"/>
      <c r="D1559" s="19"/>
      <c r="E1559" s="18"/>
      <c r="F1559" s="18"/>
      <c r="G1559" s="13" t="str">
        <f aca="false">IF(F1559="","",IFERROR(INDEX(Metas!$B$5:$B$54,MATCH(F1559,Metas!$A$5:$A$54,0)),"⚠ ID de meta no existe"))</f>
        <v/>
      </c>
      <c r="H1559" s="16" t="str">
        <f aca="false">IF(OR(C1559="",D1559=""),"",ROUND(MOD(D1559-C1559,1)*24,2))</f>
        <v/>
      </c>
      <c r="I1559" s="18"/>
      <c r="J1559" s="18"/>
      <c r="K1559" s="18"/>
    </row>
    <row r="1560" customFormat="false" ht="15" hidden="false" customHeight="false" outlineLevel="0" collapsed="false">
      <c r="A1560" s="17"/>
      <c r="B1560" s="18"/>
      <c r="C1560" s="19"/>
      <c r="D1560" s="19"/>
      <c r="E1560" s="18"/>
      <c r="F1560" s="18"/>
      <c r="G1560" s="13" t="str">
        <f aca="false">IF(F1560="","",IFERROR(INDEX(Metas!$B$5:$B$54,MATCH(F1560,Metas!$A$5:$A$54,0)),"⚠ ID de meta no existe"))</f>
        <v/>
      </c>
      <c r="H1560" s="16" t="str">
        <f aca="false">IF(OR(C1560="",D1560=""),"",ROUND(MOD(D1560-C1560,1)*24,2))</f>
        <v/>
      </c>
      <c r="I1560" s="18"/>
      <c r="J1560" s="18"/>
      <c r="K1560" s="18"/>
    </row>
    <row r="1561" customFormat="false" ht="15" hidden="false" customHeight="false" outlineLevel="0" collapsed="false">
      <c r="A1561" s="17"/>
      <c r="B1561" s="18"/>
      <c r="C1561" s="19"/>
      <c r="D1561" s="19"/>
      <c r="E1561" s="18"/>
      <c r="F1561" s="18"/>
      <c r="G1561" s="13" t="str">
        <f aca="false">IF(F1561="","",IFERROR(INDEX(Metas!$B$5:$B$54,MATCH(F1561,Metas!$A$5:$A$54,0)),"⚠ ID de meta no existe"))</f>
        <v/>
      </c>
      <c r="H1561" s="16" t="str">
        <f aca="false">IF(OR(C1561="",D1561=""),"",ROUND(MOD(D1561-C1561,1)*24,2))</f>
        <v/>
      </c>
      <c r="I1561" s="18"/>
      <c r="J1561" s="18"/>
      <c r="K1561" s="18"/>
    </row>
    <row r="1562" customFormat="false" ht="15" hidden="false" customHeight="false" outlineLevel="0" collapsed="false">
      <c r="A1562" s="17"/>
      <c r="B1562" s="18"/>
      <c r="C1562" s="19"/>
      <c r="D1562" s="19"/>
      <c r="E1562" s="18"/>
      <c r="F1562" s="18"/>
      <c r="G1562" s="13" t="str">
        <f aca="false">IF(F1562="","",IFERROR(INDEX(Metas!$B$5:$B$54,MATCH(F1562,Metas!$A$5:$A$54,0)),"⚠ ID de meta no existe"))</f>
        <v/>
      </c>
      <c r="H1562" s="16" t="str">
        <f aca="false">IF(OR(C1562="",D1562=""),"",ROUND(MOD(D1562-C1562,1)*24,2))</f>
        <v/>
      </c>
      <c r="I1562" s="18"/>
      <c r="J1562" s="18"/>
      <c r="K1562" s="18"/>
    </row>
    <row r="1563" customFormat="false" ht="15" hidden="false" customHeight="false" outlineLevel="0" collapsed="false">
      <c r="A1563" s="17"/>
      <c r="B1563" s="18"/>
      <c r="C1563" s="19"/>
      <c r="D1563" s="19"/>
      <c r="E1563" s="18"/>
      <c r="F1563" s="18"/>
      <c r="G1563" s="13" t="str">
        <f aca="false">IF(F1563="","",IFERROR(INDEX(Metas!$B$5:$B$54,MATCH(F1563,Metas!$A$5:$A$54,0)),"⚠ ID de meta no existe"))</f>
        <v/>
      </c>
      <c r="H1563" s="16" t="str">
        <f aca="false">IF(OR(C1563="",D1563=""),"",ROUND(MOD(D1563-C1563,1)*24,2))</f>
        <v/>
      </c>
      <c r="I1563" s="18"/>
      <c r="J1563" s="18"/>
      <c r="K1563" s="18"/>
    </row>
    <row r="1564" customFormat="false" ht="15" hidden="false" customHeight="false" outlineLevel="0" collapsed="false">
      <c r="A1564" s="17"/>
      <c r="B1564" s="18"/>
      <c r="C1564" s="19"/>
      <c r="D1564" s="19"/>
      <c r="E1564" s="18"/>
      <c r="F1564" s="18"/>
      <c r="G1564" s="13" t="str">
        <f aca="false">IF(F1564="","",IFERROR(INDEX(Metas!$B$5:$B$54,MATCH(F1564,Metas!$A$5:$A$54,0)),"⚠ ID de meta no existe"))</f>
        <v/>
      </c>
      <c r="H1564" s="16" t="str">
        <f aca="false">IF(OR(C1564="",D1564=""),"",ROUND(MOD(D1564-C1564,1)*24,2))</f>
        <v/>
      </c>
      <c r="I1564" s="18"/>
      <c r="J1564" s="18"/>
      <c r="K1564" s="18"/>
    </row>
    <row r="1565" customFormat="false" ht="15" hidden="false" customHeight="false" outlineLevel="0" collapsed="false">
      <c r="A1565" s="17"/>
      <c r="B1565" s="18"/>
      <c r="C1565" s="19"/>
      <c r="D1565" s="19"/>
      <c r="E1565" s="18"/>
      <c r="F1565" s="18"/>
      <c r="G1565" s="13" t="str">
        <f aca="false">IF(F1565="","",IFERROR(INDEX(Metas!$B$5:$B$54,MATCH(F1565,Metas!$A$5:$A$54,0)),"⚠ ID de meta no existe"))</f>
        <v/>
      </c>
      <c r="H1565" s="16" t="str">
        <f aca="false">IF(OR(C1565="",D1565=""),"",ROUND(MOD(D1565-C1565,1)*24,2))</f>
        <v/>
      </c>
      <c r="I1565" s="18"/>
      <c r="J1565" s="18"/>
      <c r="K1565" s="18"/>
    </row>
    <row r="1566" customFormat="false" ht="15" hidden="false" customHeight="false" outlineLevel="0" collapsed="false">
      <c r="A1566" s="17"/>
      <c r="B1566" s="18"/>
      <c r="C1566" s="19"/>
      <c r="D1566" s="19"/>
      <c r="E1566" s="18"/>
      <c r="F1566" s="18"/>
      <c r="G1566" s="13" t="str">
        <f aca="false">IF(F1566="","",IFERROR(INDEX(Metas!$B$5:$B$54,MATCH(F1566,Metas!$A$5:$A$54,0)),"⚠ ID de meta no existe"))</f>
        <v/>
      </c>
      <c r="H1566" s="16" t="str">
        <f aca="false">IF(OR(C1566="",D1566=""),"",ROUND(MOD(D1566-C1566,1)*24,2))</f>
        <v/>
      </c>
      <c r="I1566" s="18"/>
      <c r="J1566" s="18"/>
      <c r="K1566" s="18"/>
    </row>
    <row r="1567" customFormat="false" ht="15" hidden="false" customHeight="false" outlineLevel="0" collapsed="false">
      <c r="A1567" s="17"/>
      <c r="B1567" s="18"/>
      <c r="C1567" s="19"/>
      <c r="D1567" s="19"/>
      <c r="E1567" s="18"/>
      <c r="F1567" s="18"/>
      <c r="G1567" s="13" t="str">
        <f aca="false">IF(F1567="","",IFERROR(INDEX(Metas!$B$5:$B$54,MATCH(F1567,Metas!$A$5:$A$54,0)),"⚠ ID de meta no existe"))</f>
        <v/>
      </c>
      <c r="H1567" s="16" t="str">
        <f aca="false">IF(OR(C1567="",D1567=""),"",ROUND(MOD(D1567-C1567,1)*24,2))</f>
        <v/>
      </c>
      <c r="I1567" s="18"/>
      <c r="J1567" s="18"/>
      <c r="K1567" s="18"/>
    </row>
    <row r="1568" customFormat="false" ht="15" hidden="false" customHeight="false" outlineLevel="0" collapsed="false">
      <c r="A1568" s="17"/>
      <c r="B1568" s="18"/>
      <c r="C1568" s="19"/>
      <c r="D1568" s="19"/>
      <c r="E1568" s="18"/>
      <c r="F1568" s="18"/>
      <c r="G1568" s="13" t="str">
        <f aca="false">IF(F1568="","",IFERROR(INDEX(Metas!$B$5:$B$54,MATCH(F1568,Metas!$A$5:$A$54,0)),"⚠ ID de meta no existe"))</f>
        <v/>
      </c>
      <c r="H1568" s="16" t="str">
        <f aca="false">IF(OR(C1568="",D1568=""),"",ROUND(MOD(D1568-C1568,1)*24,2))</f>
        <v/>
      </c>
      <c r="I1568" s="18"/>
      <c r="J1568" s="18"/>
      <c r="K1568" s="18"/>
    </row>
    <row r="1569" customFormat="false" ht="15" hidden="false" customHeight="false" outlineLevel="0" collapsed="false">
      <c r="A1569" s="17"/>
      <c r="B1569" s="18"/>
      <c r="C1569" s="19"/>
      <c r="D1569" s="19"/>
      <c r="E1569" s="18"/>
      <c r="F1569" s="18"/>
      <c r="G1569" s="13" t="str">
        <f aca="false">IF(F1569="","",IFERROR(INDEX(Metas!$B$5:$B$54,MATCH(F1569,Metas!$A$5:$A$54,0)),"⚠ ID de meta no existe"))</f>
        <v/>
      </c>
      <c r="H1569" s="16" t="str">
        <f aca="false">IF(OR(C1569="",D1569=""),"",ROUND(MOD(D1569-C1569,1)*24,2))</f>
        <v/>
      </c>
      <c r="I1569" s="18"/>
      <c r="J1569" s="18"/>
      <c r="K1569" s="18"/>
    </row>
    <row r="1570" customFormat="false" ht="15" hidden="false" customHeight="false" outlineLevel="0" collapsed="false">
      <c r="A1570" s="17"/>
      <c r="B1570" s="18"/>
      <c r="C1570" s="19"/>
      <c r="D1570" s="19"/>
      <c r="E1570" s="18"/>
      <c r="F1570" s="18"/>
      <c r="G1570" s="13" t="str">
        <f aca="false">IF(F1570="","",IFERROR(INDEX(Metas!$B$5:$B$54,MATCH(F1570,Metas!$A$5:$A$54,0)),"⚠ ID de meta no existe"))</f>
        <v/>
      </c>
      <c r="H1570" s="16" t="str">
        <f aca="false">IF(OR(C1570="",D1570=""),"",ROUND(MOD(D1570-C1570,1)*24,2))</f>
        <v/>
      </c>
      <c r="I1570" s="18"/>
      <c r="J1570" s="18"/>
      <c r="K1570" s="18"/>
    </row>
    <row r="1571" customFormat="false" ht="15" hidden="false" customHeight="false" outlineLevel="0" collapsed="false">
      <c r="A1571" s="17"/>
      <c r="B1571" s="18"/>
      <c r="C1571" s="19"/>
      <c r="D1571" s="19"/>
      <c r="E1571" s="18"/>
      <c r="F1571" s="18"/>
      <c r="G1571" s="13" t="str">
        <f aca="false">IF(F1571="","",IFERROR(INDEX(Metas!$B$5:$B$54,MATCH(F1571,Metas!$A$5:$A$54,0)),"⚠ ID de meta no existe"))</f>
        <v/>
      </c>
      <c r="H1571" s="16" t="str">
        <f aca="false">IF(OR(C1571="",D1571=""),"",ROUND(MOD(D1571-C1571,1)*24,2))</f>
        <v/>
      </c>
      <c r="I1571" s="18"/>
      <c r="J1571" s="18"/>
      <c r="K1571" s="18"/>
    </row>
    <row r="1572" customFormat="false" ht="15" hidden="false" customHeight="false" outlineLevel="0" collapsed="false">
      <c r="A1572" s="17"/>
      <c r="B1572" s="18"/>
      <c r="C1572" s="19"/>
      <c r="D1572" s="19"/>
      <c r="E1572" s="18"/>
      <c r="F1572" s="18"/>
      <c r="G1572" s="13" t="str">
        <f aca="false">IF(F1572="","",IFERROR(INDEX(Metas!$B$5:$B$54,MATCH(F1572,Metas!$A$5:$A$54,0)),"⚠ ID de meta no existe"))</f>
        <v/>
      </c>
      <c r="H1572" s="16" t="str">
        <f aca="false">IF(OR(C1572="",D1572=""),"",ROUND(MOD(D1572-C1572,1)*24,2))</f>
        <v/>
      </c>
      <c r="I1572" s="18"/>
      <c r="J1572" s="18"/>
      <c r="K1572" s="18"/>
    </row>
    <row r="1573" customFormat="false" ht="15" hidden="false" customHeight="false" outlineLevel="0" collapsed="false">
      <c r="A1573" s="17"/>
      <c r="B1573" s="18"/>
      <c r="C1573" s="19"/>
      <c r="D1573" s="19"/>
      <c r="E1573" s="18"/>
      <c r="F1573" s="18"/>
      <c r="G1573" s="13" t="str">
        <f aca="false">IF(F1573="","",IFERROR(INDEX(Metas!$B$5:$B$54,MATCH(F1573,Metas!$A$5:$A$54,0)),"⚠ ID de meta no existe"))</f>
        <v/>
      </c>
      <c r="H1573" s="16" t="str">
        <f aca="false">IF(OR(C1573="",D1573=""),"",ROUND(MOD(D1573-C1573,1)*24,2))</f>
        <v/>
      </c>
      <c r="I1573" s="18"/>
      <c r="J1573" s="18"/>
      <c r="K1573" s="18"/>
    </row>
    <row r="1574" customFormat="false" ht="15" hidden="false" customHeight="false" outlineLevel="0" collapsed="false">
      <c r="A1574" s="17"/>
      <c r="B1574" s="18"/>
      <c r="C1574" s="19"/>
      <c r="D1574" s="19"/>
      <c r="E1574" s="18"/>
      <c r="F1574" s="18"/>
      <c r="G1574" s="13" t="str">
        <f aca="false">IF(F1574="","",IFERROR(INDEX(Metas!$B$5:$B$54,MATCH(F1574,Metas!$A$5:$A$54,0)),"⚠ ID de meta no existe"))</f>
        <v/>
      </c>
      <c r="H1574" s="16" t="str">
        <f aca="false">IF(OR(C1574="",D1574=""),"",ROUND(MOD(D1574-C1574,1)*24,2))</f>
        <v/>
      </c>
      <c r="I1574" s="18"/>
      <c r="J1574" s="18"/>
      <c r="K1574" s="18"/>
    </row>
    <row r="1575" customFormat="false" ht="15" hidden="false" customHeight="false" outlineLevel="0" collapsed="false">
      <c r="A1575" s="17"/>
      <c r="B1575" s="18"/>
      <c r="C1575" s="19"/>
      <c r="D1575" s="19"/>
      <c r="E1575" s="18"/>
      <c r="F1575" s="18"/>
      <c r="G1575" s="13" t="str">
        <f aca="false">IF(F1575="","",IFERROR(INDEX(Metas!$B$5:$B$54,MATCH(F1575,Metas!$A$5:$A$54,0)),"⚠ ID de meta no existe"))</f>
        <v/>
      </c>
      <c r="H1575" s="16" t="str">
        <f aca="false">IF(OR(C1575="",D1575=""),"",ROUND(MOD(D1575-C1575,1)*24,2))</f>
        <v/>
      </c>
      <c r="I1575" s="18"/>
      <c r="J1575" s="18"/>
      <c r="K1575" s="18"/>
    </row>
    <row r="1576" customFormat="false" ht="15" hidden="false" customHeight="false" outlineLevel="0" collapsed="false">
      <c r="A1576" s="17"/>
      <c r="B1576" s="18"/>
      <c r="C1576" s="19"/>
      <c r="D1576" s="19"/>
      <c r="E1576" s="18"/>
      <c r="F1576" s="18"/>
      <c r="G1576" s="13" t="str">
        <f aca="false">IF(F1576="","",IFERROR(INDEX(Metas!$B$5:$B$54,MATCH(F1576,Metas!$A$5:$A$54,0)),"⚠ ID de meta no existe"))</f>
        <v/>
      </c>
      <c r="H1576" s="16" t="str">
        <f aca="false">IF(OR(C1576="",D1576=""),"",ROUND(MOD(D1576-C1576,1)*24,2))</f>
        <v/>
      </c>
      <c r="I1576" s="18"/>
      <c r="J1576" s="18"/>
      <c r="K1576" s="18"/>
    </row>
    <row r="1577" customFormat="false" ht="15" hidden="false" customHeight="false" outlineLevel="0" collapsed="false">
      <c r="A1577" s="17"/>
      <c r="B1577" s="18"/>
      <c r="C1577" s="19"/>
      <c r="D1577" s="19"/>
      <c r="E1577" s="18"/>
      <c r="F1577" s="18"/>
      <c r="G1577" s="13" t="str">
        <f aca="false">IF(F1577="","",IFERROR(INDEX(Metas!$B$5:$B$54,MATCH(F1577,Metas!$A$5:$A$54,0)),"⚠ ID de meta no existe"))</f>
        <v/>
      </c>
      <c r="H1577" s="16" t="str">
        <f aca="false">IF(OR(C1577="",D1577=""),"",ROUND(MOD(D1577-C1577,1)*24,2))</f>
        <v/>
      </c>
      <c r="I1577" s="18"/>
      <c r="J1577" s="18"/>
      <c r="K1577" s="18"/>
    </row>
    <row r="1578" customFormat="false" ht="15" hidden="false" customHeight="false" outlineLevel="0" collapsed="false">
      <c r="A1578" s="17"/>
      <c r="B1578" s="18"/>
      <c r="C1578" s="19"/>
      <c r="D1578" s="19"/>
      <c r="E1578" s="18"/>
      <c r="F1578" s="18"/>
      <c r="G1578" s="13" t="str">
        <f aca="false">IF(F1578="","",IFERROR(INDEX(Metas!$B$5:$B$54,MATCH(F1578,Metas!$A$5:$A$54,0)),"⚠ ID de meta no existe"))</f>
        <v/>
      </c>
      <c r="H1578" s="16" t="str">
        <f aca="false">IF(OR(C1578="",D1578=""),"",ROUND(MOD(D1578-C1578,1)*24,2))</f>
        <v/>
      </c>
      <c r="I1578" s="18"/>
      <c r="J1578" s="18"/>
      <c r="K1578" s="18"/>
    </row>
    <row r="1579" customFormat="false" ht="15" hidden="false" customHeight="false" outlineLevel="0" collapsed="false">
      <c r="A1579" s="17"/>
      <c r="B1579" s="18"/>
      <c r="C1579" s="19"/>
      <c r="D1579" s="19"/>
      <c r="E1579" s="18"/>
      <c r="F1579" s="18"/>
      <c r="G1579" s="13" t="str">
        <f aca="false">IF(F1579="","",IFERROR(INDEX(Metas!$B$5:$B$54,MATCH(F1579,Metas!$A$5:$A$54,0)),"⚠ ID de meta no existe"))</f>
        <v/>
      </c>
      <c r="H1579" s="16" t="str">
        <f aca="false">IF(OR(C1579="",D1579=""),"",ROUND(MOD(D1579-C1579,1)*24,2))</f>
        <v/>
      </c>
      <c r="I1579" s="18"/>
      <c r="J1579" s="18"/>
      <c r="K1579" s="18"/>
    </row>
    <row r="1580" customFormat="false" ht="15" hidden="false" customHeight="false" outlineLevel="0" collapsed="false">
      <c r="A1580" s="17"/>
      <c r="B1580" s="18"/>
      <c r="C1580" s="19"/>
      <c r="D1580" s="19"/>
      <c r="E1580" s="18"/>
      <c r="F1580" s="18"/>
      <c r="G1580" s="13" t="str">
        <f aca="false">IF(F1580="","",IFERROR(INDEX(Metas!$B$5:$B$54,MATCH(F1580,Metas!$A$5:$A$54,0)),"⚠ ID de meta no existe"))</f>
        <v/>
      </c>
      <c r="H1580" s="16" t="str">
        <f aca="false">IF(OR(C1580="",D1580=""),"",ROUND(MOD(D1580-C1580,1)*24,2))</f>
        <v/>
      </c>
      <c r="I1580" s="18"/>
      <c r="J1580" s="18"/>
      <c r="K1580" s="18"/>
    </row>
    <row r="1581" customFormat="false" ht="15" hidden="false" customHeight="false" outlineLevel="0" collapsed="false">
      <c r="A1581" s="17"/>
      <c r="B1581" s="18"/>
      <c r="C1581" s="19"/>
      <c r="D1581" s="19"/>
      <c r="E1581" s="18"/>
      <c r="F1581" s="18"/>
      <c r="G1581" s="13" t="str">
        <f aca="false">IF(F1581="","",IFERROR(INDEX(Metas!$B$5:$B$54,MATCH(F1581,Metas!$A$5:$A$54,0)),"⚠ ID de meta no existe"))</f>
        <v/>
      </c>
      <c r="H1581" s="16" t="str">
        <f aca="false">IF(OR(C1581="",D1581=""),"",ROUND(MOD(D1581-C1581,1)*24,2))</f>
        <v/>
      </c>
      <c r="I1581" s="18"/>
      <c r="J1581" s="18"/>
      <c r="K1581" s="18"/>
    </row>
    <row r="1582" customFormat="false" ht="15" hidden="false" customHeight="false" outlineLevel="0" collapsed="false">
      <c r="A1582" s="17"/>
      <c r="B1582" s="18"/>
      <c r="C1582" s="19"/>
      <c r="D1582" s="19"/>
      <c r="E1582" s="18"/>
      <c r="F1582" s="18"/>
      <c r="G1582" s="13" t="str">
        <f aca="false">IF(F1582="","",IFERROR(INDEX(Metas!$B$5:$B$54,MATCH(F1582,Metas!$A$5:$A$54,0)),"⚠ ID de meta no existe"))</f>
        <v/>
      </c>
      <c r="H1582" s="16" t="str">
        <f aca="false">IF(OR(C1582="",D1582=""),"",ROUND(MOD(D1582-C1582,1)*24,2))</f>
        <v/>
      </c>
      <c r="I1582" s="18"/>
      <c r="J1582" s="18"/>
      <c r="K1582" s="18"/>
    </row>
    <row r="1583" customFormat="false" ht="15" hidden="false" customHeight="false" outlineLevel="0" collapsed="false">
      <c r="A1583" s="17"/>
      <c r="B1583" s="18"/>
      <c r="C1583" s="19"/>
      <c r="D1583" s="19"/>
      <c r="E1583" s="18"/>
      <c r="F1583" s="18"/>
      <c r="G1583" s="13" t="str">
        <f aca="false">IF(F1583="","",IFERROR(INDEX(Metas!$B$5:$B$54,MATCH(F1583,Metas!$A$5:$A$54,0)),"⚠ ID de meta no existe"))</f>
        <v/>
      </c>
      <c r="H1583" s="16" t="str">
        <f aca="false">IF(OR(C1583="",D1583=""),"",ROUND(MOD(D1583-C1583,1)*24,2))</f>
        <v/>
      </c>
      <c r="I1583" s="18"/>
      <c r="J1583" s="18"/>
      <c r="K1583" s="18"/>
    </row>
    <row r="1584" customFormat="false" ht="15" hidden="false" customHeight="false" outlineLevel="0" collapsed="false">
      <c r="A1584" s="17"/>
      <c r="B1584" s="18"/>
      <c r="C1584" s="19"/>
      <c r="D1584" s="19"/>
      <c r="E1584" s="18"/>
      <c r="F1584" s="18"/>
      <c r="G1584" s="13" t="str">
        <f aca="false">IF(F1584="","",IFERROR(INDEX(Metas!$B$5:$B$54,MATCH(F1584,Metas!$A$5:$A$54,0)),"⚠ ID de meta no existe"))</f>
        <v/>
      </c>
      <c r="H1584" s="16" t="str">
        <f aca="false">IF(OR(C1584="",D1584=""),"",ROUND(MOD(D1584-C1584,1)*24,2))</f>
        <v/>
      </c>
      <c r="I1584" s="18"/>
      <c r="J1584" s="18"/>
      <c r="K1584" s="18"/>
    </row>
    <row r="1585" customFormat="false" ht="15" hidden="false" customHeight="false" outlineLevel="0" collapsed="false">
      <c r="A1585" s="17"/>
      <c r="B1585" s="18"/>
      <c r="C1585" s="19"/>
      <c r="D1585" s="19"/>
      <c r="E1585" s="18"/>
      <c r="F1585" s="18"/>
      <c r="G1585" s="13" t="str">
        <f aca="false">IF(F1585="","",IFERROR(INDEX(Metas!$B$5:$B$54,MATCH(F1585,Metas!$A$5:$A$54,0)),"⚠ ID de meta no existe"))</f>
        <v/>
      </c>
      <c r="H1585" s="16" t="str">
        <f aca="false">IF(OR(C1585="",D1585=""),"",ROUND(MOD(D1585-C1585,1)*24,2))</f>
        <v/>
      </c>
      <c r="I1585" s="18"/>
      <c r="J1585" s="18"/>
      <c r="K1585" s="18"/>
    </row>
    <row r="1586" customFormat="false" ht="15" hidden="false" customHeight="false" outlineLevel="0" collapsed="false">
      <c r="A1586" s="17"/>
      <c r="B1586" s="18"/>
      <c r="C1586" s="19"/>
      <c r="D1586" s="19"/>
      <c r="E1586" s="18"/>
      <c r="F1586" s="18"/>
      <c r="G1586" s="13" t="str">
        <f aca="false">IF(F1586="","",IFERROR(INDEX(Metas!$B$5:$B$54,MATCH(F1586,Metas!$A$5:$A$54,0)),"⚠ ID de meta no existe"))</f>
        <v/>
      </c>
      <c r="H1586" s="16" t="str">
        <f aca="false">IF(OR(C1586="",D1586=""),"",ROUND(MOD(D1586-C1586,1)*24,2))</f>
        <v/>
      </c>
      <c r="I1586" s="18"/>
      <c r="J1586" s="18"/>
      <c r="K1586" s="18"/>
    </row>
    <row r="1587" customFormat="false" ht="15" hidden="false" customHeight="false" outlineLevel="0" collapsed="false">
      <c r="A1587" s="17"/>
      <c r="B1587" s="18"/>
      <c r="C1587" s="19"/>
      <c r="D1587" s="19"/>
      <c r="E1587" s="18"/>
      <c r="F1587" s="18"/>
      <c r="G1587" s="13" t="str">
        <f aca="false">IF(F1587="","",IFERROR(INDEX(Metas!$B$5:$B$54,MATCH(F1587,Metas!$A$5:$A$54,0)),"⚠ ID de meta no existe"))</f>
        <v/>
      </c>
      <c r="H1587" s="16" t="str">
        <f aca="false">IF(OR(C1587="",D1587=""),"",ROUND(MOD(D1587-C1587,1)*24,2))</f>
        <v/>
      </c>
      <c r="I1587" s="18"/>
      <c r="J1587" s="18"/>
      <c r="K1587" s="18"/>
    </row>
    <row r="1588" customFormat="false" ht="15" hidden="false" customHeight="false" outlineLevel="0" collapsed="false">
      <c r="A1588" s="17"/>
      <c r="B1588" s="18"/>
      <c r="C1588" s="19"/>
      <c r="D1588" s="19"/>
      <c r="E1588" s="18"/>
      <c r="F1588" s="18"/>
      <c r="G1588" s="13" t="str">
        <f aca="false">IF(F1588="","",IFERROR(INDEX(Metas!$B$5:$B$54,MATCH(F1588,Metas!$A$5:$A$54,0)),"⚠ ID de meta no existe"))</f>
        <v/>
      </c>
      <c r="H1588" s="16" t="str">
        <f aca="false">IF(OR(C1588="",D1588=""),"",ROUND(MOD(D1588-C1588,1)*24,2))</f>
        <v/>
      </c>
      <c r="I1588" s="18"/>
      <c r="J1588" s="18"/>
      <c r="K1588" s="18"/>
    </row>
    <row r="1589" customFormat="false" ht="15" hidden="false" customHeight="false" outlineLevel="0" collapsed="false">
      <c r="A1589" s="17"/>
      <c r="B1589" s="18"/>
      <c r="C1589" s="19"/>
      <c r="D1589" s="19"/>
      <c r="E1589" s="18"/>
      <c r="F1589" s="18"/>
      <c r="G1589" s="13" t="str">
        <f aca="false">IF(F1589="","",IFERROR(INDEX(Metas!$B$5:$B$54,MATCH(F1589,Metas!$A$5:$A$54,0)),"⚠ ID de meta no existe"))</f>
        <v/>
      </c>
      <c r="H1589" s="16" t="str">
        <f aca="false">IF(OR(C1589="",D1589=""),"",ROUND(MOD(D1589-C1589,1)*24,2))</f>
        <v/>
      </c>
      <c r="I1589" s="18"/>
      <c r="J1589" s="18"/>
      <c r="K1589" s="18"/>
    </row>
    <row r="1590" customFormat="false" ht="15" hidden="false" customHeight="false" outlineLevel="0" collapsed="false">
      <c r="A1590" s="17"/>
      <c r="B1590" s="18"/>
      <c r="C1590" s="19"/>
      <c r="D1590" s="19"/>
      <c r="E1590" s="18"/>
      <c r="F1590" s="18"/>
      <c r="G1590" s="13" t="str">
        <f aca="false">IF(F1590="","",IFERROR(INDEX(Metas!$B$5:$B$54,MATCH(F1590,Metas!$A$5:$A$54,0)),"⚠ ID de meta no existe"))</f>
        <v/>
      </c>
      <c r="H1590" s="16" t="str">
        <f aca="false">IF(OR(C1590="",D1590=""),"",ROUND(MOD(D1590-C1590,1)*24,2))</f>
        <v/>
      </c>
      <c r="I1590" s="18"/>
      <c r="J1590" s="18"/>
      <c r="K1590" s="18"/>
    </row>
    <row r="1591" customFormat="false" ht="15" hidden="false" customHeight="false" outlineLevel="0" collapsed="false">
      <c r="A1591" s="17"/>
      <c r="B1591" s="18"/>
      <c r="C1591" s="19"/>
      <c r="D1591" s="19"/>
      <c r="E1591" s="18"/>
      <c r="F1591" s="18"/>
      <c r="G1591" s="13" t="str">
        <f aca="false">IF(F1591="","",IFERROR(INDEX(Metas!$B$5:$B$54,MATCH(F1591,Metas!$A$5:$A$54,0)),"⚠ ID de meta no existe"))</f>
        <v/>
      </c>
      <c r="H1591" s="16" t="str">
        <f aca="false">IF(OR(C1591="",D1591=""),"",ROUND(MOD(D1591-C1591,1)*24,2))</f>
        <v/>
      </c>
      <c r="I1591" s="18"/>
      <c r="J1591" s="18"/>
      <c r="K1591" s="18"/>
    </row>
    <row r="1592" customFormat="false" ht="15" hidden="false" customHeight="false" outlineLevel="0" collapsed="false">
      <c r="A1592" s="17"/>
      <c r="B1592" s="18"/>
      <c r="C1592" s="19"/>
      <c r="D1592" s="19"/>
      <c r="E1592" s="18"/>
      <c r="F1592" s="18"/>
      <c r="G1592" s="13" t="str">
        <f aca="false">IF(F1592="","",IFERROR(INDEX(Metas!$B$5:$B$54,MATCH(F1592,Metas!$A$5:$A$54,0)),"⚠ ID de meta no existe"))</f>
        <v/>
      </c>
      <c r="H1592" s="16" t="str">
        <f aca="false">IF(OR(C1592="",D1592=""),"",ROUND(MOD(D1592-C1592,1)*24,2))</f>
        <v/>
      </c>
      <c r="I1592" s="18"/>
      <c r="J1592" s="18"/>
      <c r="K1592" s="18"/>
    </row>
    <row r="1593" customFormat="false" ht="15" hidden="false" customHeight="false" outlineLevel="0" collapsed="false">
      <c r="A1593" s="17"/>
      <c r="B1593" s="18"/>
      <c r="C1593" s="19"/>
      <c r="D1593" s="19"/>
      <c r="E1593" s="18"/>
      <c r="F1593" s="18"/>
      <c r="G1593" s="13" t="str">
        <f aca="false">IF(F1593="","",IFERROR(INDEX(Metas!$B$5:$B$54,MATCH(F1593,Metas!$A$5:$A$54,0)),"⚠ ID de meta no existe"))</f>
        <v/>
      </c>
      <c r="H1593" s="16" t="str">
        <f aca="false">IF(OR(C1593="",D1593=""),"",ROUND(MOD(D1593-C1593,1)*24,2))</f>
        <v/>
      </c>
      <c r="I1593" s="18"/>
      <c r="J1593" s="18"/>
      <c r="K1593" s="18"/>
    </row>
    <row r="1594" customFormat="false" ht="15" hidden="false" customHeight="false" outlineLevel="0" collapsed="false">
      <c r="A1594" s="17"/>
      <c r="B1594" s="18"/>
      <c r="C1594" s="19"/>
      <c r="D1594" s="19"/>
      <c r="E1594" s="18"/>
      <c r="F1594" s="18"/>
      <c r="G1594" s="13" t="str">
        <f aca="false">IF(F1594="","",IFERROR(INDEX(Metas!$B$5:$B$54,MATCH(F1594,Metas!$A$5:$A$54,0)),"⚠ ID de meta no existe"))</f>
        <v/>
      </c>
      <c r="H1594" s="16" t="str">
        <f aca="false">IF(OR(C1594="",D1594=""),"",ROUND(MOD(D1594-C1594,1)*24,2))</f>
        <v/>
      </c>
      <c r="I1594" s="18"/>
      <c r="J1594" s="18"/>
      <c r="K1594" s="18"/>
    </row>
    <row r="1595" customFormat="false" ht="15" hidden="false" customHeight="false" outlineLevel="0" collapsed="false">
      <c r="A1595" s="17"/>
      <c r="B1595" s="18"/>
      <c r="C1595" s="19"/>
      <c r="D1595" s="19"/>
      <c r="E1595" s="18"/>
      <c r="F1595" s="18"/>
      <c r="G1595" s="13" t="str">
        <f aca="false">IF(F1595="","",IFERROR(INDEX(Metas!$B$5:$B$54,MATCH(F1595,Metas!$A$5:$A$54,0)),"⚠ ID de meta no existe"))</f>
        <v/>
      </c>
      <c r="H1595" s="16" t="str">
        <f aca="false">IF(OR(C1595="",D1595=""),"",ROUND(MOD(D1595-C1595,1)*24,2))</f>
        <v/>
      </c>
      <c r="I1595" s="18"/>
      <c r="J1595" s="18"/>
      <c r="K1595" s="18"/>
    </row>
    <row r="1596" customFormat="false" ht="15" hidden="false" customHeight="false" outlineLevel="0" collapsed="false">
      <c r="A1596" s="17"/>
      <c r="B1596" s="18"/>
      <c r="C1596" s="19"/>
      <c r="D1596" s="19"/>
      <c r="E1596" s="18"/>
      <c r="F1596" s="18"/>
      <c r="G1596" s="13" t="str">
        <f aca="false">IF(F1596="","",IFERROR(INDEX(Metas!$B$5:$B$54,MATCH(F1596,Metas!$A$5:$A$54,0)),"⚠ ID de meta no existe"))</f>
        <v/>
      </c>
      <c r="H1596" s="16" t="str">
        <f aca="false">IF(OR(C1596="",D1596=""),"",ROUND(MOD(D1596-C1596,1)*24,2))</f>
        <v/>
      </c>
      <c r="I1596" s="18"/>
      <c r="J1596" s="18"/>
      <c r="K1596" s="18"/>
    </row>
    <row r="1597" customFormat="false" ht="15" hidden="false" customHeight="false" outlineLevel="0" collapsed="false">
      <c r="A1597" s="17"/>
      <c r="B1597" s="18"/>
      <c r="C1597" s="19"/>
      <c r="D1597" s="19"/>
      <c r="E1597" s="18"/>
      <c r="F1597" s="18"/>
      <c r="G1597" s="13" t="str">
        <f aca="false">IF(F1597="","",IFERROR(INDEX(Metas!$B$5:$B$54,MATCH(F1597,Metas!$A$5:$A$54,0)),"⚠ ID de meta no existe"))</f>
        <v/>
      </c>
      <c r="H1597" s="16" t="str">
        <f aca="false">IF(OR(C1597="",D1597=""),"",ROUND(MOD(D1597-C1597,1)*24,2))</f>
        <v/>
      </c>
      <c r="I1597" s="18"/>
      <c r="J1597" s="18"/>
      <c r="K1597" s="18"/>
    </row>
    <row r="1598" customFormat="false" ht="15" hidden="false" customHeight="false" outlineLevel="0" collapsed="false">
      <c r="A1598" s="17"/>
      <c r="B1598" s="18"/>
      <c r="C1598" s="19"/>
      <c r="D1598" s="19"/>
      <c r="E1598" s="18"/>
      <c r="F1598" s="18"/>
      <c r="G1598" s="13" t="str">
        <f aca="false">IF(F1598="","",IFERROR(INDEX(Metas!$B$5:$B$54,MATCH(F1598,Metas!$A$5:$A$54,0)),"⚠ ID de meta no existe"))</f>
        <v/>
      </c>
      <c r="H1598" s="16" t="str">
        <f aca="false">IF(OR(C1598="",D1598=""),"",ROUND(MOD(D1598-C1598,1)*24,2))</f>
        <v/>
      </c>
      <c r="I1598" s="18"/>
      <c r="J1598" s="18"/>
      <c r="K1598" s="18"/>
    </row>
    <row r="1599" customFormat="false" ht="15" hidden="false" customHeight="false" outlineLevel="0" collapsed="false">
      <c r="A1599" s="17"/>
      <c r="B1599" s="18"/>
      <c r="C1599" s="19"/>
      <c r="D1599" s="19"/>
      <c r="E1599" s="18"/>
      <c r="F1599" s="18"/>
      <c r="G1599" s="13" t="str">
        <f aca="false">IF(F1599="","",IFERROR(INDEX(Metas!$B$5:$B$54,MATCH(F1599,Metas!$A$5:$A$54,0)),"⚠ ID de meta no existe"))</f>
        <v/>
      </c>
      <c r="H1599" s="16" t="str">
        <f aca="false">IF(OR(C1599="",D1599=""),"",ROUND(MOD(D1599-C1599,1)*24,2))</f>
        <v/>
      </c>
      <c r="I1599" s="18"/>
      <c r="J1599" s="18"/>
      <c r="K1599" s="18"/>
    </row>
    <row r="1600" customFormat="false" ht="15" hidden="false" customHeight="false" outlineLevel="0" collapsed="false">
      <c r="A1600" s="17"/>
      <c r="B1600" s="18"/>
      <c r="C1600" s="19"/>
      <c r="D1600" s="19"/>
      <c r="E1600" s="18"/>
      <c r="F1600" s="18"/>
      <c r="G1600" s="13" t="str">
        <f aca="false">IF(F1600="","",IFERROR(INDEX(Metas!$B$5:$B$54,MATCH(F1600,Metas!$A$5:$A$54,0)),"⚠ ID de meta no existe"))</f>
        <v/>
      </c>
      <c r="H1600" s="16" t="str">
        <f aca="false">IF(OR(C1600="",D1600=""),"",ROUND(MOD(D1600-C1600,1)*24,2))</f>
        <v/>
      </c>
      <c r="I1600" s="18"/>
      <c r="J1600" s="18"/>
      <c r="K1600" s="18"/>
    </row>
    <row r="1601" customFormat="false" ht="15" hidden="false" customHeight="false" outlineLevel="0" collapsed="false">
      <c r="A1601" s="17"/>
      <c r="B1601" s="18"/>
      <c r="C1601" s="19"/>
      <c r="D1601" s="19"/>
      <c r="E1601" s="18"/>
      <c r="F1601" s="18"/>
      <c r="G1601" s="13" t="str">
        <f aca="false">IF(F1601="","",IFERROR(INDEX(Metas!$B$5:$B$54,MATCH(F1601,Metas!$A$5:$A$54,0)),"⚠ ID de meta no existe"))</f>
        <v/>
      </c>
      <c r="H1601" s="16" t="str">
        <f aca="false">IF(OR(C1601="",D1601=""),"",ROUND(MOD(D1601-C1601,1)*24,2))</f>
        <v/>
      </c>
      <c r="I1601" s="18"/>
      <c r="J1601" s="18"/>
      <c r="K1601" s="18"/>
    </row>
    <row r="1602" customFormat="false" ht="15" hidden="false" customHeight="false" outlineLevel="0" collapsed="false">
      <c r="A1602" s="17"/>
      <c r="B1602" s="18"/>
      <c r="C1602" s="19"/>
      <c r="D1602" s="19"/>
      <c r="E1602" s="18"/>
      <c r="F1602" s="18"/>
      <c r="G1602" s="13" t="str">
        <f aca="false">IF(F1602="","",IFERROR(INDEX(Metas!$B$5:$B$54,MATCH(F1602,Metas!$A$5:$A$54,0)),"⚠ ID de meta no existe"))</f>
        <v/>
      </c>
      <c r="H1602" s="16" t="str">
        <f aca="false">IF(OR(C1602="",D1602=""),"",ROUND(MOD(D1602-C1602,1)*24,2))</f>
        <v/>
      </c>
      <c r="I1602" s="18"/>
      <c r="J1602" s="18"/>
      <c r="K1602" s="18"/>
    </row>
    <row r="1603" customFormat="false" ht="15" hidden="false" customHeight="false" outlineLevel="0" collapsed="false">
      <c r="A1603" s="17"/>
      <c r="B1603" s="18"/>
      <c r="C1603" s="19"/>
      <c r="D1603" s="19"/>
      <c r="E1603" s="18"/>
      <c r="F1603" s="18"/>
      <c r="G1603" s="13" t="str">
        <f aca="false">IF(F1603="","",IFERROR(INDEX(Metas!$B$5:$B$54,MATCH(F1603,Metas!$A$5:$A$54,0)),"⚠ ID de meta no existe"))</f>
        <v/>
      </c>
      <c r="H1603" s="16" t="str">
        <f aca="false">IF(OR(C1603="",D1603=""),"",ROUND(MOD(D1603-C1603,1)*24,2))</f>
        <v/>
      </c>
      <c r="I1603" s="18"/>
      <c r="J1603" s="18"/>
      <c r="K1603" s="18"/>
    </row>
    <row r="1604" customFormat="false" ht="15" hidden="false" customHeight="false" outlineLevel="0" collapsed="false">
      <c r="A1604" s="17"/>
      <c r="B1604" s="18"/>
      <c r="C1604" s="19"/>
      <c r="D1604" s="19"/>
      <c r="E1604" s="18"/>
      <c r="F1604" s="18"/>
      <c r="G1604" s="13" t="str">
        <f aca="false">IF(F1604="","",IFERROR(INDEX(Metas!$B$5:$B$54,MATCH(F1604,Metas!$A$5:$A$54,0)),"⚠ ID de meta no existe"))</f>
        <v/>
      </c>
      <c r="H1604" s="16" t="str">
        <f aca="false">IF(OR(C1604="",D1604=""),"",ROUND(MOD(D1604-C1604,1)*24,2))</f>
        <v/>
      </c>
      <c r="I1604" s="18"/>
      <c r="J1604" s="18"/>
      <c r="K1604" s="18"/>
    </row>
    <row r="1605" customFormat="false" ht="15" hidden="false" customHeight="false" outlineLevel="0" collapsed="false">
      <c r="A1605" s="17"/>
      <c r="B1605" s="18"/>
      <c r="C1605" s="19"/>
      <c r="D1605" s="19"/>
      <c r="E1605" s="18"/>
      <c r="F1605" s="18"/>
      <c r="G1605" s="13" t="str">
        <f aca="false">IF(F1605="","",IFERROR(INDEX(Metas!$B$5:$B$54,MATCH(F1605,Metas!$A$5:$A$54,0)),"⚠ ID de meta no existe"))</f>
        <v/>
      </c>
      <c r="H1605" s="16" t="str">
        <f aca="false">IF(OR(C1605="",D1605=""),"",ROUND(MOD(D1605-C1605,1)*24,2))</f>
        <v/>
      </c>
      <c r="I1605" s="18"/>
      <c r="J1605" s="18"/>
      <c r="K1605" s="18"/>
    </row>
    <row r="1606" customFormat="false" ht="15" hidden="false" customHeight="false" outlineLevel="0" collapsed="false">
      <c r="A1606" s="17"/>
      <c r="B1606" s="18"/>
      <c r="C1606" s="19"/>
      <c r="D1606" s="19"/>
      <c r="E1606" s="18"/>
      <c r="F1606" s="18"/>
      <c r="G1606" s="13" t="str">
        <f aca="false">IF(F1606="","",IFERROR(INDEX(Metas!$B$5:$B$54,MATCH(F1606,Metas!$A$5:$A$54,0)),"⚠ ID de meta no existe"))</f>
        <v/>
      </c>
      <c r="H1606" s="16" t="str">
        <f aca="false">IF(OR(C1606="",D1606=""),"",ROUND(MOD(D1606-C1606,1)*24,2))</f>
        <v/>
      </c>
      <c r="I1606" s="18"/>
      <c r="J1606" s="18"/>
      <c r="K1606" s="18"/>
    </row>
    <row r="1607" customFormat="false" ht="15" hidden="false" customHeight="false" outlineLevel="0" collapsed="false">
      <c r="A1607" s="17"/>
      <c r="B1607" s="18"/>
      <c r="C1607" s="19"/>
      <c r="D1607" s="19"/>
      <c r="E1607" s="18"/>
      <c r="F1607" s="18"/>
      <c r="G1607" s="13" t="str">
        <f aca="false">IF(F1607="","",IFERROR(INDEX(Metas!$B$5:$B$54,MATCH(F1607,Metas!$A$5:$A$54,0)),"⚠ ID de meta no existe"))</f>
        <v/>
      </c>
      <c r="H1607" s="16" t="str">
        <f aca="false">IF(OR(C1607="",D1607=""),"",ROUND(MOD(D1607-C1607,1)*24,2))</f>
        <v/>
      </c>
      <c r="I1607" s="18"/>
      <c r="J1607" s="18"/>
      <c r="K1607" s="18"/>
    </row>
    <row r="1608" customFormat="false" ht="15" hidden="false" customHeight="false" outlineLevel="0" collapsed="false">
      <c r="A1608" s="17"/>
      <c r="B1608" s="18"/>
      <c r="C1608" s="19"/>
      <c r="D1608" s="19"/>
      <c r="E1608" s="18"/>
      <c r="F1608" s="18"/>
      <c r="G1608" s="13" t="str">
        <f aca="false">IF(F1608="","",IFERROR(INDEX(Metas!$B$5:$B$54,MATCH(F1608,Metas!$A$5:$A$54,0)),"⚠ ID de meta no existe"))</f>
        <v/>
      </c>
      <c r="H1608" s="16" t="str">
        <f aca="false">IF(OR(C1608="",D1608=""),"",ROUND(MOD(D1608-C1608,1)*24,2))</f>
        <v/>
      </c>
      <c r="I1608" s="18"/>
      <c r="J1608" s="18"/>
      <c r="K1608" s="18"/>
    </row>
    <row r="1609" customFormat="false" ht="15" hidden="false" customHeight="false" outlineLevel="0" collapsed="false">
      <c r="A1609" s="17"/>
      <c r="B1609" s="18"/>
      <c r="C1609" s="19"/>
      <c r="D1609" s="19"/>
      <c r="E1609" s="18"/>
      <c r="F1609" s="18"/>
      <c r="G1609" s="13" t="str">
        <f aca="false">IF(F1609="","",IFERROR(INDEX(Metas!$B$5:$B$54,MATCH(F1609,Metas!$A$5:$A$54,0)),"⚠ ID de meta no existe"))</f>
        <v/>
      </c>
      <c r="H1609" s="16" t="str">
        <f aca="false">IF(OR(C1609="",D1609=""),"",ROUND(MOD(D1609-C1609,1)*24,2))</f>
        <v/>
      </c>
      <c r="I1609" s="18"/>
      <c r="J1609" s="18"/>
      <c r="K1609" s="18"/>
    </row>
    <row r="1610" customFormat="false" ht="15" hidden="false" customHeight="false" outlineLevel="0" collapsed="false">
      <c r="A1610" s="17"/>
      <c r="B1610" s="18"/>
      <c r="C1610" s="19"/>
      <c r="D1610" s="19"/>
      <c r="E1610" s="18"/>
      <c r="F1610" s="18"/>
      <c r="G1610" s="13" t="str">
        <f aca="false">IF(F1610="","",IFERROR(INDEX(Metas!$B$5:$B$54,MATCH(F1610,Metas!$A$5:$A$54,0)),"⚠ ID de meta no existe"))</f>
        <v/>
      </c>
      <c r="H1610" s="16" t="str">
        <f aca="false">IF(OR(C1610="",D1610=""),"",ROUND(MOD(D1610-C1610,1)*24,2))</f>
        <v/>
      </c>
      <c r="I1610" s="18"/>
      <c r="J1610" s="18"/>
      <c r="K1610" s="18"/>
    </row>
    <row r="1611" customFormat="false" ht="15" hidden="false" customHeight="false" outlineLevel="0" collapsed="false">
      <c r="A1611" s="17"/>
      <c r="B1611" s="18"/>
      <c r="C1611" s="19"/>
      <c r="D1611" s="19"/>
      <c r="E1611" s="18"/>
      <c r="F1611" s="18"/>
      <c r="G1611" s="13" t="str">
        <f aca="false">IF(F1611="","",IFERROR(INDEX(Metas!$B$5:$B$54,MATCH(F1611,Metas!$A$5:$A$54,0)),"⚠ ID de meta no existe"))</f>
        <v/>
      </c>
      <c r="H1611" s="16" t="str">
        <f aca="false">IF(OR(C1611="",D1611=""),"",ROUND(MOD(D1611-C1611,1)*24,2))</f>
        <v/>
      </c>
      <c r="I1611" s="18"/>
      <c r="J1611" s="18"/>
      <c r="K1611" s="18"/>
    </row>
    <row r="1612" customFormat="false" ht="15" hidden="false" customHeight="false" outlineLevel="0" collapsed="false">
      <c r="A1612" s="17"/>
      <c r="B1612" s="18"/>
      <c r="C1612" s="19"/>
      <c r="D1612" s="19"/>
      <c r="E1612" s="18"/>
      <c r="F1612" s="18"/>
      <c r="G1612" s="13" t="str">
        <f aca="false">IF(F1612="","",IFERROR(INDEX(Metas!$B$5:$B$54,MATCH(F1612,Metas!$A$5:$A$54,0)),"⚠ ID de meta no existe"))</f>
        <v/>
      </c>
      <c r="H1612" s="16" t="str">
        <f aca="false">IF(OR(C1612="",D1612=""),"",ROUND(MOD(D1612-C1612,1)*24,2))</f>
        <v/>
      </c>
      <c r="I1612" s="18"/>
      <c r="J1612" s="18"/>
      <c r="K1612" s="18"/>
    </row>
    <row r="1613" customFormat="false" ht="15" hidden="false" customHeight="false" outlineLevel="0" collapsed="false">
      <c r="A1613" s="17"/>
      <c r="B1613" s="18"/>
      <c r="C1613" s="19"/>
      <c r="D1613" s="19"/>
      <c r="E1613" s="18"/>
      <c r="F1613" s="18"/>
      <c r="G1613" s="13" t="str">
        <f aca="false">IF(F1613="","",IFERROR(INDEX(Metas!$B$5:$B$54,MATCH(F1613,Metas!$A$5:$A$54,0)),"⚠ ID de meta no existe"))</f>
        <v/>
      </c>
      <c r="H1613" s="16" t="str">
        <f aca="false">IF(OR(C1613="",D1613=""),"",ROUND(MOD(D1613-C1613,1)*24,2))</f>
        <v/>
      </c>
      <c r="I1613" s="18"/>
      <c r="J1613" s="18"/>
      <c r="K1613" s="18"/>
    </row>
    <row r="1614" customFormat="false" ht="15" hidden="false" customHeight="false" outlineLevel="0" collapsed="false">
      <c r="A1614" s="17"/>
      <c r="B1614" s="18"/>
      <c r="C1614" s="19"/>
      <c r="D1614" s="19"/>
      <c r="E1614" s="18"/>
      <c r="F1614" s="18"/>
      <c r="G1614" s="13" t="str">
        <f aca="false">IF(F1614="","",IFERROR(INDEX(Metas!$B$5:$B$54,MATCH(F1614,Metas!$A$5:$A$54,0)),"⚠ ID de meta no existe"))</f>
        <v/>
      </c>
      <c r="H1614" s="16" t="str">
        <f aca="false">IF(OR(C1614="",D1614=""),"",ROUND(MOD(D1614-C1614,1)*24,2))</f>
        <v/>
      </c>
      <c r="I1614" s="18"/>
      <c r="J1614" s="18"/>
      <c r="K1614" s="18"/>
    </row>
    <row r="1615" customFormat="false" ht="15" hidden="false" customHeight="false" outlineLevel="0" collapsed="false">
      <c r="A1615" s="17"/>
      <c r="B1615" s="18"/>
      <c r="C1615" s="19"/>
      <c r="D1615" s="19"/>
      <c r="E1615" s="18"/>
      <c r="F1615" s="18"/>
      <c r="G1615" s="13" t="str">
        <f aca="false">IF(F1615="","",IFERROR(INDEX(Metas!$B$5:$B$54,MATCH(F1615,Metas!$A$5:$A$54,0)),"⚠ ID de meta no existe"))</f>
        <v/>
      </c>
      <c r="H1615" s="16" t="str">
        <f aca="false">IF(OR(C1615="",D1615=""),"",ROUND(MOD(D1615-C1615,1)*24,2))</f>
        <v/>
      </c>
      <c r="I1615" s="18"/>
      <c r="J1615" s="18"/>
      <c r="K1615" s="18"/>
    </row>
    <row r="1616" customFormat="false" ht="15" hidden="false" customHeight="false" outlineLevel="0" collapsed="false">
      <c r="A1616" s="17"/>
      <c r="B1616" s="18"/>
      <c r="C1616" s="19"/>
      <c r="D1616" s="19"/>
      <c r="E1616" s="18"/>
      <c r="F1616" s="18"/>
      <c r="G1616" s="13" t="str">
        <f aca="false">IF(F1616="","",IFERROR(INDEX(Metas!$B$5:$B$54,MATCH(F1616,Metas!$A$5:$A$54,0)),"⚠ ID de meta no existe"))</f>
        <v/>
      </c>
      <c r="H1616" s="16" t="str">
        <f aca="false">IF(OR(C1616="",D1616=""),"",ROUND(MOD(D1616-C1616,1)*24,2))</f>
        <v/>
      </c>
      <c r="I1616" s="18"/>
      <c r="J1616" s="18"/>
      <c r="K1616" s="18"/>
    </row>
    <row r="1617" customFormat="false" ht="15" hidden="false" customHeight="false" outlineLevel="0" collapsed="false">
      <c r="A1617" s="17"/>
      <c r="B1617" s="18"/>
      <c r="C1617" s="19"/>
      <c r="D1617" s="19"/>
      <c r="E1617" s="18"/>
      <c r="F1617" s="18"/>
      <c r="G1617" s="13" t="str">
        <f aca="false">IF(F1617="","",IFERROR(INDEX(Metas!$B$5:$B$54,MATCH(F1617,Metas!$A$5:$A$54,0)),"⚠ ID de meta no existe"))</f>
        <v/>
      </c>
      <c r="H1617" s="16" t="str">
        <f aca="false">IF(OR(C1617="",D1617=""),"",ROUND(MOD(D1617-C1617,1)*24,2))</f>
        <v/>
      </c>
      <c r="I1617" s="18"/>
      <c r="J1617" s="18"/>
      <c r="K1617" s="18"/>
    </row>
    <row r="1618" customFormat="false" ht="15" hidden="false" customHeight="false" outlineLevel="0" collapsed="false">
      <c r="A1618" s="17"/>
      <c r="B1618" s="18"/>
      <c r="C1618" s="19"/>
      <c r="D1618" s="19"/>
      <c r="E1618" s="18"/>
      <c r="F1618" s="18"/>
      <c r="G1618" s="13" t="str">
        <f aca="false">IF(F1618="","",IFERROR(INDEX(Metas!$B$5:$B$54,MATCH(F1618,Metas!$A$5:$A$54,0)),"⚠ ID de meta no existe"))</f>
        <v/>
      </c>
      <c r="H1618" s="16" t="str">
        <f aca="false">IF(OR(C1618="",D1618=""),"",ROUND(MOD(D1618-C1618,1)*24,2))</f>
        <v/>
      </c>
      <c r="I1618" s="18"/>
      <c r="J1618" s="18"/>
      <c r="K1618" s="18"/>
    </row>
    <row r="1619" customFormat="false" ht="15" hidden="false" customHeight="false" outlineLevel="0" collapsed="false">
      <c r="A1619" s="17"/>
      <c r="B1619" s="18"/>
      <c r="C1619" s="19"/>
      <c r="D1619" s="19"/>
      <c r="E1619" s="18"/>
      <c r="F1619" s="18"/>
      <c r="G1619" s="13" t="str">
        <f aca="false">IF(F1619="","",IFERROR(INDEX(Metas!$B$5:$B$54,MATCH(F1619,Metas!$A$5:$A$54,0)),"⚠ ID de meta no existe"))</f>
        <v/>
      </c>
      <c r="H1619" s="16" t="str">
        <f aca="false">IF(OR(C1619="",D1619=""),"",ROUND(MOD(D1619-C1619,1)*24,2))</f>
        <v/>
      </c>
      <c r="I1619" s="18"/>
      <c r="J1619" s="18"/>
      <c r="K1619" s="18"/>
    </row>
    <row r="1620" customFormat="false" ht="15" hidden="false" customHeight="false" outlineLevel="0" collapsed="false">
      <c r="A1620" s="17"/>
      <c r="B1620" s="18"/>
      <c r="C1620" s="19"/>
      <c r="D1620" s="19"/>
      <c r="E1620" s="18"/>
      <c r="F1620" s="18"/>
      <c r="G1620" s="13" t="str">
        <f aca="false">IF(F1620="","",IFERROR(INDEX(Metas!$B$5:$B$54,MATCH(F1620,Metas!$A$5:$A$54,0)),"⚠ ID de meta no existe"))</f>
        <v/>
      </c>
      <c r="H1620" s="16" t="str">
        <f aca="false">IF(OR(C1620="",D1620=""),"",ROUND(MOD(D1620-C1620,1)*24,2))</f>
        <v/>
      </c>
      <c r="I1620" s="18"/>
      <c r="J1620" s="18"/>
      <c r="K1620" s="18"/>
    </row>
    <row r="1621" customFormat="false" ht="15" hidden="false" customHeight="false" outlineLevel="0" collapsed="false">
      <c r="A1621" s="17"/>
      <c r="B1621" s="18"/>
      <c r="C1621" s="19"/>
      <c r="D1621" s="19"/>
      <c r="E1621" s="18"/>
      <c r="F1621" s="18"/>
      <c r="G1621" s="13" t="str">
        <f aca="false">IF(F1621="","",IFERROR(INDEX(Metas!$B$5:$B$54,MATCH(F1621,Metas!$A$5:$A$54,0)),"⚠ ID de meta no existe"))</f>
        <v/>
      </c>
      <c r="H1621" s="16" t="str">
        <f aca="false">IF(OR(C1621="",D1621=""),"",ROUND(MOD(D1621-C1621,1)*24,2))</f>
        <v/>
      </c>
      <c r="I1621" s="18"/>
      <c r="J1621" s="18"/>
      <c r="K1621" s="18"/>
    </row>
    <row r="1622" customFormat="false" ht="15" hidden="false" customHeight="false" outlineLevel="0" collapsed="false">
      <c r="A1622" s="17"/>
      <c r="B1622" s="18"/>
      <c r="C1622" s="19"/>
      <c r="D1622" s="19"/>
      <c r="E1622" s="18"/>
      <c r="F1622" s="18"/>
      <c r="G1622" s="13" t="str">
        <f aca="false">IF(F1622="","",IFERROR(INDEX(Metas!$B$5:$B$54,MATCH(F1622,Metas!$A$5:$A$54,0)),"⚠ ID de meta no existe"))</f>
        <v/>
      </c>
      <c r="H1622" s="16" t="str">
        <f aca="false">IF(OR(C1622="",D1622=""),"",ROUND(MOD(D1622-C1622,1)*24,2))</f>
        <v/>
      </c>
      <c r="I1622" s="18"/>
      <c r="J1622" s="18"/>
      <c r="K1622" s="18"/>
    </row>
    <row r="1623" customFormat="false" ht="15" hidden="false" customHeight="false" outlineLevel="0" collapsed="false">
      <c r="A1623" s="17"/>
      <c r="B1623" s="18"/>
      <c r="C1623" s="19"/>
      <c r="D1623" s="19"/>
      <c r="E1623" s="18"/>
      <c r="F1623" s="18"/>
      <c r="G1623" s="13" t="str">
        <f aca="false">IF(F1623="","",IFERROR(INDEX(Metas!$B$5:$B$54,MATCH(F1623,Metas!$A$5:$A$54,0)),"⚠ ID de meta no existe"))</f>
        <v/>
      </c>
      <c r="H1623" s="16" t="str">
        <f aca="false">IF(OR(C1623="",D1623=""),"",ROUND(MOD(D1623-C1623,1)*24,2))</f>
        <v/>
      </c>
      <c r="I1623" s="18"/>
      <c r="J1623" s="18"/>
      <c r="K1623" s="18"/>
    </row>
    <row r="1624" customFormat="false" ht="15" hidden="false" customHeight="false" outlineLevel="0" collapsed="false">
      <c r="A1624" s="17"/>
      <c r="B1624" s="18"/>
      <c r="C1624" s="19"/>
      <c r="D1624" s="19"/>
      <c r="E1624" s="18"/>
      <c r="F1624" s="18"/>
      <c r="G1624" s="13" t="str">
        <f aca="false">IF(F1624="","",IFERROR(INDEX(Metas!$B$5:$B$54,MATCH(F1624,Metas!$A$5:$A$54,0)),"⚠ ID de meta no existe"))</f>
        <v/>
      </c>
      <c r="H1624" s="16" t="str">
        <f aca="false">IF(OR(C1624="",D1624=""),"",ROUND(MOD(D1624-C1624,1)*24,2))</f>
        <v/>
      </c>
      <c r="I1624" s="18"/>
      <c r="J1624" s="18"/>
      <c r="K1624" s="18"/>
    </row>
    <row r="1625" customFormat="false" ht="15" hidden="false" customHeight="false" outlineLevel="0" collapsed="false">
      <c r="A1625" s="17"/>
      <c r="B1625" s="18"/>
      <c r="C1625" s="19"/>
      <c r="D1625" s="19"/>
      <c r="E1625" s="18"/>
      <c r="F1625" s="18"/>
      <c r="G1625" s="13" t="str">
        <f aca="false">IF(F1625="","",IFERROR(INDEX(Metas!$B$5:$B$54,MATCH(F1625,Metas!$A$5:$A$54,0)),"⚠ ID de meta no existe"))</f>
        <v/>
      </c>
      <c r="H1625" s="16" t="str">
        <f aca="false">IF(OR(C1625="",D1625=""),"",ROUND(MOD(D1625-C1625,1)*24,2))</f>
        <v/>
      </c>
      <c r="I1625" s="18"/>
      <c r="J1625" s="18"/>
      <c r="K1625" s="18"/>
    </row>
    <row r="1626" customFormat="false" ht="15" hidden="false" customHeight="false" outlineLevel="0" collapsed="false">
      <c r="A1626" s="17"/>
      <c r="B1626" s="18"/>
      <c r="C1626" s="19"/>
      <c r="D1626" s="19"/>
      <c r="E1626" s="18"/>
      <c r="F1626" s="18"/>
      <c r="G1626" s="13" t="str">
        <f aca="false">IF(F1626="","",IFERROR(INDEX(Metas!$B$5:$B$54,MATCH(F1626,Metas!$A$5:$A$54,0)),"⚠ ID de meta no existe"))</f>
        <v/>
      </c>
      <c r="H1626" s="16" t="str">
        <f aca="false">IF(OR(C1626="",D1626=""),"",ROUND(MOD(D1626-C1626,1)*24,2))</f>
        <v/>
      </c>
      <c r="I1626" s="18"/>
      <c r="J1626" s="18"/>
      <c r="K1626" s="18"/>
    </row>
    <row r="1627" customFormat="false" ht="15" hidden="false" customHeight="false" outlineLevel="0" collapsed="false">
      <c r="A1627" s="17"/>
      <c r="B1627" s="18"/>
      <c r="C1627" s="19"/>
      <c r="D1627" s="19"/>
      <c r="E1627" s="18"/>
      <c r="F1627" s="18"/>
      <c r="G1627" s="13" t="str">
        <f aca="false">IF(F1627="","",IFERROR(INDEX(Metas!$B$5:$B$54,MATCH(F1627,Metas!$A$5:$A$54,0)),"⚠ ID de meta no existe"))</f>
        <v/>
      </c>
      <c r="H1627" s="16" t="str">
        <f aca="false">IF(OR(C1627="",D1627=""),"",ROUND(MOD(D1627-C1627,1)*24,2))</f>
        <v/>
      </c>
      <c r="I1627" s="18"/>
      <c r="J1627" s="18"/>
      <c r="K1627" s="18"/>
    </row>
    <row r="1628" customFormat="false" ht="15" hidden="false" customHeight="false" outlineLevel="0" collapsed="false">
      <c r="A1628" s="17"/>
      <c r="B1628" s="18"/>
      <c r="C1628" s="19"/>
      <c r="D1628" s="19"/>
      <c r="E1628" s="18"/>
      <c r="F1628" s="18"/>
      <c r="G1628" s="13" t="str">
        <f aca="false">IF(F1628="","",IFERROR(INDEX(Metas!$B$5:$B$54,MATCH(F1628,Metas!$A$5:$A$54,0)),"⚠ ID de meta no existe"))</f>
        <v/>
      </c>
      <c r="H1628" s="16" t="str">
        <f aca="false">IF(OR(C1628="",D1628=""),"",ROUND(MOD(D1628-C1628,1)*24,2))</f>
        <v/>
      </c>
      <c r="I1628" s="18"/>
      <c r="J1628" s="18"/>
      <c r="K1628" s="18"/>
    </row>
    <row r="1629" customFormat="false" ht="15" hidden="false" customHeight="false" outlineLevel="0" collapsed="false">
      <c r="A1629" s="17"/>
      <c r="B1629" s="18"/>
      <c r="C1629" s="19"/>
      <c r="D1629" s="19"/>
      <c r="E1629" s="18"/>
      <c r="F1629" s="18"/>
      <c r="G1629" s="13" t="str">
        <f aca="false">IF(F1629="","",IFERROR(INDEX(Metas!$B$5:$B$54,MATCH(F1629,Metas!$A$5:$A$54,0)),"⚠ ID de meta no existe"))</f>
        <v/>
      </c>
      <c r="H1629" s="16" t="str">
        <f aca="false">IF(OR(C1629="",D1629=""),"",ROUND(MOD(D1629-C1629,1)*24,2))</f>
        <v/>
      </c>
      <c r="I1629" s="18"/>
      <c r="J1629" s="18"/>
      <c r="K1629" s="18"/>
    </row>
    <row r="1630" customFormat="false" ht="15" hidden="false" customHeight="false" outlineLevel="0" collapsed="false">
      <c r="A1630" s="17"/>
      <c r="B1630" s="18"/>
      <c r="C1630" s="19"/>
      <c r="D1630" s="19"/>
      <c r="E1630" s="18"/>
      <c r="F1630" s="18"/>
      <c r="G1630" s="13" t="str">
        <f aca="false">IF(F1630="","",IFERROR(INDEX(Metas!$B$5:$B$54,MATCH(F1630,Metas!$A$5:$A$54,0)),"⚠ ID de meta no existe"))</f>
        <v/>
      </c>
      <c r="H1630" s="16" t="str">
        <f aca="false">IF(OR(C1630="",D1630=""),"",ROUND(MOD(D1630-C1630,1)*24,2))</f>
        <v/>
      </c>
      <c r="I1630" s="18"/>
      <c r="J1630" s="18"/>
      <c r="K1630" s="18"/>
    </row>
    <row r="1631" customFormat="false" ht="15" hidden="false" customHeight="false" outlineLevel="0" collapsed="false">
      <c r="A1631" s="17"/>
      <c r="B1631" s="18"/>
      <c r="C1631" s="19"/>
      <c r="D1631" s="19"/>
      <c r="E1631" s="18"/>
      <c r="F1631" s="18"/>
      <c r="G1631" s="13" t="str">
        <f aca="false">IF(F1631="","",IFERROR(INDEX(Metas!$B$5:$B$54,MATCH(F1631,Metas!$A$5:$A$54,0)),"⚠ ID de meta no existe"))</f>
        <v/>
      </c>
      <c r="H1631" s="16" t="str">
        <f aca="false">IF(OR(C1631="",D1631=""),"",ROUND(MOD(D1631-C1631,1)*24,2))</f>
        <v/>
      </c>
      <c r="I1631" s="18"/>
      <c r="J1631" s="18"/>
      <c r="K1631" s="18"/>
    </row>
    <row r="1632" customFormat="false" ht="15" hidden="false" customHeight="false" outlineLevel="0" collapsed="false">
      <c r="A1632" s="17"/>
      <c r="B1632" s="18"/>
      <c r="C1632" s="19"/>
      <c r="D1632" s="19"/>
      <c r="E1632" s="18"/>
      <c r="F1632" s="18"/>
      <c r="G1632" s="13" t="str">
        <f aca="false">IF(F1632="","",IFERROR(INDEX(Metas!$B$5:$B$54,MATCH(F1632,Metas!$A$5:$A$54,0)),"⚠ ID de meta no existe"))</f>
        <v/>
      </c>
      <c r="H1632" s="16" t="str">
        <f aca="false">IF(OR(C1632="",D1632=""),"",ROUND(MOD(D1632-C1632,1)*24,2))</f>
        <v/>
      </c>
      <c r="I1632" s="18"/>
      <c r="J1632" s="18"/>
      <c r="K1632" s="18"/>
    </row>
    <row r="1633" customFormat="false" ht="15" hidden="false" customHeight="false" outlineLevel="0" collapsed="false">
      <c r="A1633" s="17"/>
      <c r="B1633" s="18"/>
      <c r="C1633" s="19"/>
      <c r="D1633" s="19"/>
      <c r="E1633" s="18"/>
      <c r="F1633" s="18"/>
      <c r="G1633" s="13" t="str">
        <f aca="false">IF(F1633="","",IFERROR(INDEX(Metas!$B$5:$B$54,MATCH(F1633,Metas!$A$5:$A$54,0)),"⚠ ID de meta no existe"))</f>
        <v/>
      </c>
      <c r="H1633" s="16" t="str">
        <f aca="false">IF(OR(C1633="",D1633=""),"",ROUND(MOD(D1633-C1633,1)*24,2))</f>
        <v/>
      </c>
      <c r="I1633" s="18"/>
      <c r="J1633" s="18"/>
      <c r="K1633" s="18"/>
    </row>
    <row r="1634" customFormat="false" ht="15" hidden="false" customHeight="false" outlineLevel="0" collapsed="false">
      <c r="A1634" s="17"/>
      <c r="B1634" s="18"/>
      <c r="C1634" s="19"/>
      <c r="D1634" s="19"/>
      <c r="E1634" s="18"/>
      <c r="F1634" s="18"/>
      <c r="G1634" s="13" t="str">
        <f aca="false">IF(F1634="","",IFERROR(INDEX(Metas!$B$5:$B$54,MATCH(F1634,Metas!$A$5:$A$54,0)),"⚠ ID de meta no existe"))</f>
        <v/>
      </c>
      <c r="H1634" s="16" t="str">
        <f aca="false">IF(OR(C1634="",D1634=""),"",ROUND(MOD(D1634-C1634,1)*24,2))</f>
        <v/>
      </c>
      <c r="I1634" s="18"/>
      <c r="J1634" s="18"/>
      <c r="K1634" s="18"/>
    </row>
    <row r="1635" customFormat="false" ht="15" hidden="false" customHeight="false" outlineLevel="0" collapsed="false">
      <c r="A1635" s="17"/>
      <c r="B1635" s="18"/>
      <c r="C1635" s="19"/>
      <c r="D1635" s="19"/>
      <c r="E1635" s="18"/>
      <c r="F1635" s="18"/>
      <c r="G1635" s="13" t="str">
        <f aca="false">IF(F1635="","",IFERROR(INDEX(Metas!$B$5:$B$54,MATCH(F1635,Metas!$A$5:$A$54,0)),"⚠ ID de meta no existe"))</f>
        <v/>
      </c>
      <c r="H1635" s="16" t="str">
        <f aca="false">IF(OR(C1635="",D1635=""),"",ROUND(MOD(D1635-C1635,1)*24,2))</f>
        <v/>
      </c>
      <c r="I1635" s="18"/>
      <c r="J1635" s="18"/>
      <c r="K1635" s="18"/>
    </row>
    <row r="1636" customFormat="false" ht="15" hidden="false" customHeight="false" outlineLevel="0" collapsed="false">
      <c r="A1636" s="17"/>
      <c r="B1636" s="18"/>
      <c r="C1636" s="19"/>
      <c r="D1636" s="19"/>
      <c r="E1636" s="18"/>
      <c r="F1636" s="18"/>
      <c r="G1636" s="13" t="str">
        <f aca="false">IF(F1636="","",IFERROR(INDEX(Metas!$B$5:$B$54,MATCH(F1636,Metas!$A$5:$A$54,0)),"⚠ ID de meta no existe"))</f>
        <v/>
      </c>
      <c r="H1636" s="16" t="str">
        <f aca="false">IF(OR(C1636="",D1636=""),"",ROUND(MOD(D1636-C1636,1)*24,2))</f>
        <v/>
      </c>
      <c r="I1636" s="18"/>
      <c r="J1636" s="18"/>
      <c r="K1636" s="18"/>
    </row>
    <row r="1637" customFormat="false" ht="15" hidden="false" customHeight="false" outlineLevel="0" collapsed="false">
      <c r="A1637" s="17"/>
      <c r="B1637" s="18"/>
      <c r="C1637" s="19"/>
      <c r="D1637" s="19"/>
      <c r="E1637" s="18"/>
      <c r="F1637" s="18"/>
      <c r="G1637" s="13" t="str">
        <f aca="false">IF(F1637="","",IFERROR(INDEX(Metas!$B$5:$B$54,MATCH(F1637,Metas!$A$5:$A$54,0)),"⚠ ID de meta no existe"))</f>
        <v/>
      </c>
      <c r="H1637" s="16" t="str">
        <f aca="false">IF(OR(C1637="",D1637=""),"",ROUND(MOD(D1637-C1637,1)*24,2))</f>
        <v/>
      </c>
      <c r="I1637" s="18"/>
      <c r="J1637" s="18"/>
      <c r="K1637" s="18"/>
    </row>
    <row r="1638" customFormat="false" ht="15" hidden="false" customHeight="false" outlineLevel="0" collapsed="false">
      <c r="A1638" s="17"/>
      <c r="B1638" s="18"/>
      <c r="C1638" s="19"/>
      <c r="D1638" s="19"/>
      <c r="E1638" s="18"/>
      <c r="F1638" s="18"/>
      <c r="G1638" s="13" t="str">
        <f aca="false">IF(F1638="","",IFERROR(INDEX(Metas!$B$5:$B$54,MATCH(F1638,Metas!$A$5:$A$54,0)),"⚠ ID de meta no existe"))</f>
        <v/>
      </c>
      <c r="H1638" s="16" t="str">
        <f aca="false">IF(OR(C1638="",D1638=""),"",ROUND(MOD(D1638-C1638,1)*24,2))</f>
        <v/>
      </c>
      <c r="I1638" s="18"/>
      <c r="J1638" s="18"/>
      <c r="K1638" s="18"/>
    </row>
    <row r="1639" customFormat="false" ht="15" hidden="false" customHeight="false" outlineLevel="0" collapsed="false">
      <c r="A1639" s="17"/>
      <c r="B1639" s="18"/>
      <c r="C1639" s="19"/>
      <c r="D1639" s="19"/>
      <c r="E1639" s="18"/>
      <c r="F1639" s="18"/>
      <c r="G1639" s="13" t="str">
        <f aca="false">IF(F1639="","",IFERROR(INDEX(Metas!$B$5:$B$54,MATCH(F1639,Metas!$A$5:$A$54,0)),"⚠ ID de meta no existe"))</f>
        <v/>
      </c>
      <c r="H1639" s="16" t="str">
        <f aca="false">IF(OR(C1639="",D1639=""),"",ROUND(MOD(D1639-C1639,1)*24,2))</f>
        <v/>
      </c>
      <c r="I1639" s="18"/>
      <c r="J1639" s="18"/>
      <c r="K1639" s="18"/>
    </row>
    <row r="1640" customFormat="false" ht="15" hidden="false" customHeight="false" outlineLevel="0" collapsed="false">
      <c r="A1640" s="17"/>
      <c r="B1640" s="18"/>
      <c r="C1640" s="19"/>
      <c r="D1640" s="19"/>
      <c r="E1640" s="18"/>
      <c r="F1640" s="18"/>
      <c r="G1640" s="13" t="str">
        <f aca="false">IF(F1640="","",IFERROR(INDEX(Metas!$B$5:$B$54,MATCH(F1640,Metas!$A$5:$A$54,0)),"⚠ ID de meta no existe"))</f>
        <v/>
      </c>
      <c r="H1640" s="16" t="str">
        <f aca="false">IF(OR(C1640="",D1640=""),"",ROUND(MOD(D1640-C1640,1)*24,2))</f>
        <v/>
      </c>
      <c r="I1640" s="18"/>
      <c r="J1640" s="18"/>
      <c r="K1640" s="18"/>
    </row>
    <row r="1641" customFormat="false" ht="15" hidden="false" customHeight="false" outlineLevel="0" collapsed="false">
      <c r="A1641" s="17"/>
      <c r="B1641" s="18"/>
      <c r="C1641" s="19"/>
      <c r="D1641" s="19"/>
      <c r="E1641" s="18"/>
      <c r="F1641" s="18"/>
      <c r="G1641" s="13" t="str">
        <f aca="false">IF(F1641="","",IFERROR(INDEX(Metas!$B$5:$B$54,MATCH(F1641,Metas!$A$5:$A$54,0)),"⚠ ID de meta no existe"))</f>
        <v/>
      </c>
      <c r="H1641" s="16" t="str">
        <f aca="false">IF(OR(C1641="",D1641=""),"",ROUND(MOD(D1641-C1641,1)*24,2))</f>
        <v/>
      </c>
      <c r="I1641" s="18"/>
      <c r="J1641" s="18"/>
      <c r="K1641" s="18"/>
    </row>
    <row r="1642" customFormat="false" ht="15" hidden="false" customHeight="false" outlineLevel="0" collapsed="false">
      <c r="A1642" s="17"/>
      <c r="B1642" s="18"/>
      <c r="C1642" s="19"/>
      <c r="D1642" s="19"/>
      <c r="E1642" s="18"/>
      <c r="F1642" s="18"/>
      <c r="G1642" s="13" t="str">
        <f aca="false">IF(F1642="","",IFERROR(INDEX(Metas!$B$5:$B$54,MATCH(F1642,Metas!$A$5:$A$54,0)),"⚠ ID de meta no existe"))</f>
        <v/>
      </c>
      <c r="H1642" s="16" t="str">
        <f aca="false">IF(OR(C1642="",D1642=""),"",ROUND(MOD(D1642-C1642,1)*24,2))</f>
        <v/>
      </c>
      <c r="I1642" s="18"/>
      <c r="J1642" s="18"/>
      <c r="K1642" s="18"/>
    </row>
    <row r="1643" customFormat="false" ht="15" hidden="false" customHeight="false" outlineLevel="0" collapsed="false">
      <c r="A1643" s="17"/>
      <c r="B1643" s="18"/>
      <c r="C1643" s="19"/>
      <c r="D1643" s="19"/>
      <c r="E1643" s="18"/>
      <c r="F1643" s="18"/>
      <c r="G1643" s="13" t="str">
        <f aca="false">IF(F1643="","",IFERROR(INDEX(Metas!$B$5:$B$54,MATCH(F1643,Metas!$A$5:$A$54,0)),"⚠ ID de meta no existe"))</f>
        <v/>
      </c>
      <c r="H1643" s="16" t="str">
        <f aca="false">IF(OR(C1643="",D1643=""),"",ROUND(MOD(D1643-C1643,1)*24,2))</f>
        <v/>
      </c>
      <c r="I1643" s="18"/>
      <c r="J1643" s="18"/>
      <c r="K1643" s="18"/>
    </row>
    <row r="1644" customFormat="false" ht="15" hidden="false" customHeight="false" outlineLevel="0" collapsed="false">
      <c r="A1644" s="17"/>
      <c r="B1644" s="18"/>
      <c r="C1644" s="19"/>
      <c r="D1644" s="19"/>
      <c r="E1644" s="18"/>
      <c r="F1644" s="18"/>
      <c r="G1644" s="13" t="str">
        <f aca="false">IF(F1644="","",IFERROR(INDEX(Metas!$B$5:$B$54,MATCH(F1644,Metas!$A$5:$A$54,0)),"⚠ ID de meta no existe"))</f>
        <v/>
      </c>
      <c r="H1644" s="16" t="str">
        <f aca="false">IF(OR(C1644="",D1644=""),"",ROUND(MOD(D1644-C1644,1)*24,2))</f>
        <v/>
      </c>
      <c r="I1644" s="18"/>
      <c r="J1644" s="18"/>
      <c r="K1644" s="18"/>
    </row>
    <row r="1645" customFormat="false" ht="15" hidden="false" customHeight="false" outlineLevel="0" collapsed="false">
      <c r="A1645" s="17"/>
      <c r="B1645" s="18"/>
      <c r="C1645" s="19"/>
      <c r="D1645" s="19"/>
      <c r="E1645" s="18"/>
      <c r="F1645" s="18"/>
      <c r="G1645" s="13" t="str">
        <f aca="false">IF(F1645="","",IFERROR(INDEX(Metas!$B$5:$B$54,MATCH(F1645,Metas!$A$5:$A$54,0)),"⚠ ID de meta no existe"))</f>
        <v/>
      </c>
      <c r="H1645" s="16" t="str">
        <f aca="false">IF(OR(C1645="",D1645=""),"",ROUND(MOD(D1645-C1645,1)*24,2))</f>
        <v/>
      </c>
      <c r="I1645" s="18"/>
      <c r="J1645" s="18"/>
      <c r="K1645" s="18"/>
    </row>
    <row r="1646" customFormat="false" ht="15" hidden="false" customHeight="false" outlineLevel="0" collapsed="false">
      <c r="A1646" s="17"/>
      <c r="B1646" s="18"/>
      <c r="C1646" s="19"/>
      <c r="D1646" s="19"/>
      <c r="E1646" s="18"/>
      <c r="F1646" s="18"/>
      <c r="G1646" s="13" t="str">
        <f aca="false">IF(F1646="","",IFERROR(INDEX(Metas!$B$5:$B$54,MATCH(F1646,Metas!$A$5:$A$54,0)),"⚠ ID de meta no existe"))</f>
        <v/>
      </c>
      <c r="H1646" s="16" t="str">
        <f aca="false">IF(OR(C1646="",D1646=""),"",ROUND(MOD(D1646-C1646,1)*24,2))</f>
        <v/>
      </c>
      <c r="I1646" s="18"/>
      <c r="J1646" s="18"/>
      <c r="K1646" s="18"/>
    </row>
    <row r="1647" customFormat="false" ht="15" hidden="false" customHeight="false" outlineLevel="0" collapsed="false">
      <c r="A1647" s="17"/>
      <c r="B1647" s="18"/>
      <c r="C1647" s="19"/>
      <c r="D1647" s="19"/>
      <c r="E1647" s="18"/>
      <c r="F1647" s="18"/>
      <c r="G1647" s="13" t="str">
        <f aca="false">IF(F1647="","",IFERROR(INDEX(Metas!$B$5:$B$54,MATCH(F1647,Metas!$A$5:$A$54,0)),"⚠ ID de meta no existe"))</f>
        <v/>
      </c>
      <c r="H1647" s="16" t="str">
        <f aca="false">IF(OR(C1647="",D1647=""),"",ROUND(MOD(D1647-C1647,1)*24,2))</f>
        <v/>
      </c>
      <c r="I1647" s="18"/>
      <c r="J1647" s="18"/>
      <c r="K1647" s="18"/>
    </row>
    <row r="1648" customFormat="false" ht="15" hidden="false" customHeight="false" outlineLevel="0" collapsed="false">
      <c r="A1648" s="17"/>
      <c r="B1648" s="18"/>
      <c r="C1648" s="19"/>
      <c r="D1648" s="19"/>
      <c r="E1648" s="18"/>
      <c r="F1648" s="18"/>
      <c r="G1648" s="13" t="str">
        <f aca="false">IF(F1648="","",IFERROR(INDEX(Metas!$B$5:$B$54,MATCH(F1648,Metas!$A$5:$A$54,0)),"⚠ ID de meta no existe"))</f>
        <v/>
      </c>
      <c r="H1648" s="16" t="str">
        <f aca="false">IF(OR(C1648="",D1648=""),"",ROUND(MOD(D1648-C1648,1)*24,2))</f>
        <v/>
      </c>
      <c r="I1648" s="18"/>
      <c r="J1648" s="18"/>
      <c r="K1648" s="18"/>
    </row>
    <row r="1649" customFormat="false" ht="15" hidden="false" customHeight="false" outlineLevel="0" collapsed="false">
      <c r="A1649" s="17"/>
      <c r="B1649" s="18"/>
      <c r="C1649" s="19"/>
      <c r="D1649" s="19"/>
      <c r="E1649" s="18"/>
      <c r="F1649" s="18"/>
      <c r="G1649" s="13" t="str">
        <f aca="false">IF(F1649="","",IFERROR(INDEX(Metas!$B$5:$B$54,MATCH(F1649,Metas!$A$5:$A$54,0)),"⚠ ID de meta no existe"))</f>
        <v/>
      </c>
      <c r="H1649" s="16" t="str">
        <f aca="false">IF(OR(C1649="",D1649=""),"",ROUND(MOD(D1649-C1649,1)*24,2))</f>
        <v/>
      </c>
      <c r="I1649" s="18"/>
      <c r="J1649" s="18"/>
      <c r="K1649" s="18"/>
    </row>
    <row r="1650" customFormat="false" ht="15" hidden="false" customHeight="false" outlineLevel="0" collapsed="false">
      <c r="A1650" s="17"/>
      <c r="B1650" s="18"/>
      <c r="C1650" s="19"/>
      <c r="D1650" s="19"/>
      <c r="E1650" s="18"/>
      <c r="F1650" s="18"/>
      <c r="G1650" s="13" t="str">
        <f aca="false">IF(F1650="","",IFERROR(INDEX(Metas!$B$5:$B$54,MATCH(F1650,Metas!$A$5:$A$54,0)),"⚠ ID de meta no existe"))</f>
        <v/>
      </c>
      <c r="H1650" s="16" t="str">
        <f aca="false">IF(OR(C1650="",D1650=""),"",ROUND(MOD(D1650-C1650,1)*24,2))</f>
        <v/>
      </c>
      <c r="I1650" s="18"/>
      <c r="J1650" s="18"/>
      <c r="K1650" s="18"/>
    </row>
    <row r="1651" customFormat="false" ht="15" hidden="false" customHeight="false" outlineLevel="0" collapsed="false">
      <c r="A1651" s="17"/>
      <c r="B1651" s="18"/>
      <c r="C1651" s="19"/>
      <c r="D1651" s="19"/>
      <c r="E1651" s="18"/>
      <c r="F1651" s="18"/>
      <c r="G1651" s="13" t="str">
        <f aca="false">IF(F1651="","",IFERROR(INDEX(Metas!$B$5:$B$54,MATCH(F1651,Metas!$A$5:$A$54,0)),"⚠ ID de meta no existe"))</f>
        <v/>
      </c>
      <c r="H1651" s="16" t="str">
        <f aca="false">IF(OR(C1651="",D1651=""),"",ROUND(MOD(D1651-C1651,1)*24,2))</f>
        <v/>
      </c>
      <c r="I1651" s="18"/>
      <c r="J1651" s="18"/>
      <c r="K1651" s="18"/>
    </row>
    <row r="1652" customFormat="false" ht="15" hidden="false" customHeight="false" outlineLevel="0" collapsed="false">
      <c r="A1652" s="17"/>
      <c r="B1652" s="18"/>
      <c r="C1652" s="19"/>
      <c r="D1652" s="19"/>
      <c r="E1652" s="18"/>
      <c r="F1652" s="18"/>
      <c r="G1652" s="13" t="str">
        <f aca="false">IF(F1652="","",IFERROR(INDEX(Metas!$B$5:$B$54,MATCH(F1652,Metas!$A$5:$A$54,0)),"⚠ ID de meta no existe"))</f>
        <v/>
      </c>
      <c r="H1652" s="16" t="str">
        <f aca="false">IF(OR(C1652="",D1652=""),"",ROUND(MOD(D1652-C1652,1)*24,2))</f>
        <v/>
      </c>
      <c r="I1652" s="18"/>
      <c r="J1652" s="18"/>
      <c r="K1652" s="18"/>
    </row>
    <row r="1653" customFormat="false" ht="15" hidden="false" customHeight="false" outlineLevel="0" collapsed="false">
      <c r="A1653" s="17"/>
      <c r="B1653" s="18"/>
      <c r="C1653" s="19"/>
      <c r="D1653" s="19"/>
      <c r="E1653" s="18"/>
      <c r="F1653" s="18"/>
      <c r="G1653" s="13" t="str">
        <f aca="false">IF(F1653="","",IFERROR(INDEX(Metas!$B$5:$B$54,MATCH(F1653,Metas!$A$5:$A$54,0)),"⚠ ID de meta no existe"))</f>
        <v/>
      </c>
      <c r="H1653" s="16" t="str">
        <f aca="false">IF(OR(C1653="",D1653=""),"",ROUND(MOD(D1653-C1653,1)*24,2))</f>
        <v/>
      </c>
      <c r="I1653" s="18"/>
      <c r="J1653" s="18"/>
      <c r="K1653" s="18"/>
    </row>
    <row r="1654" customFormat="false" ht="15" hidden="false" customHeight="false" outlineLevel="0" collapsed="false">
      <c r="A1654" s="17"/>
      <c r="B1654" s="18"/>
      <c r="C1654" s="19"/>
      <c r="D1654" s="19"/>
      <c r="E1654" s="18"/>
      <c r="F1654" s="18"/>
      <c r="G1654" s="13" t="str">
        <f aca="false">IF(F1654="","",IFERROR(INDEX(Metas!$B$5:$B$54,MATCH(F1654,Metas!$A$5:$A$54,0)),"⚠ ID de meta no existe"))</f>
        <v/>
      </c>
      <c r="H1654" s="16" t="str">
        <f aca="false">IF(OR(C1654="",D1654=""),"",ROUND(MOD(D1654-C1654,1)*24,2))</f>
        <v/>
      </c>
      <c r="I1654" s="18"/>
      <c r="J1654" s="18"/>
      <c r="K1654" s="18"/>
    </row>
    <row r="1655" customFormat="false" ht="15" hidden="false" customHeight="false" outlineLevel="0" collapsed="false">
      <c r="A1655" s="17"/>
      <c r="B1655" s="18"/>
      <c r="C1655" s="19"/>
      <c r="D1655" s="19"/>
      <c r="E1655" s="18"/>
      <c r="F1655" s="18"/>
      <c r="G1655" s="13" t="str">
        <f aca="false">IF(F1655="","",IFERROR(INDEX(Metas!$B$5:$B$54,MATCH(F1655,Metas!$A$5:$A$54,0)),"⚠ ID de meta no existe"))</f>
        <v/>
      </c>
      <c r="H1655" s="16" t="str">
        <f aca="false">IF(OR(C1655="",D1655=""),"",ROUND(MOD(D1655-C1655,1)*24,2))</f>
        <v/>
      </c>
      <c r="I1655" s="18"/>
      <c r="J1655" s="18"/>
      <c r="K1655" s="18"/>
    </row>
    <row r="1656" customFormat="false" ht="15" hidden="false" customHeight="false" outlineLevel="0" collapsed="false">
      <c r="A1656" s="17"/>
      <c r="B1656" s="18"/>
      <c r="C1656" s="19"/>
      <c r="D1656" s="19"/>
      <c r="E1656" s="18"/>
      <c r="F1656" s="18"/>
      <c r="G1656" s="13" t="str">
        <f aca="false">IF(F1656="","",IFERROR(INDEX(Metas!$B$5:$B$54,MATCH(F1656,Metas!$A$5:$A$54,0)),"⚠ ID de meta no existe"))</f>
        <v/>
      </c>
      <c r="H1656" s="16" t="str">
        <f aca="false">IF(OR(C1656="",D1656=""),"",ROUND(MOD(D1656-C1656,1)*24,2))</f>
        <v/>
      </c>
      <c r="I1656" s="18"/>
      <c r="J1656" s="18"/>
      <c r="K1656" s="18"/>
    </row>
    <row r="1657" customFormat="false" ht="15" hidden="false" customHeight="false" outlineLevel="0" collapsed="false">
      <c r="A1657" s="17"/>
      <c r="B1657" s="18"/>
      <c r="C1657" s="19"/>
      <c r="D1657" s="19"/>
      <c r="E1657" s="18"/>
      <c r="F1657" s="18"/>
      <c r="G1657" s="13" t="str">
        <f aca="false">IF(F1657="","",IFERROR(INDEX(Metas!$B$5:$B$54,MATCH(F1657,Metas!$A$5:$A$54,0)),"⚠ ID de meta no existe"))</f>
        <v/>
      </c>
      <c r="H1657" s="16" t="str">
        <f aca="false">IF(OR(C1657="",D1657=""),"",ROUND(MOD(D1657-C1657,1)*24,2))</f>
        <v/>
      </c>
      <c r="I1657" s="18"/>
      <c r="J1657" s="18"/>
      <c r="K1657" s="18"/>
    </row>
    <row r="1658" customFormat="false" ht="15" hidden="false" customHeight="false" outlineLevel="0" collapsed="false">
      <c r="A1658" s="17"/>
      <c r="B1658" s="18"/>
      <c r="C1658" s="19"/>
      <c r="D1658" s="19"/>
      <c r="E1658" s="18"/>
      <c r="F1658" s="18"/>
      <c r="G1658" s="13" t="str">
        <f aca="false">IF(F1658="","",IFERROR(INDEX(Metas!$B$5:$B$54,MATCH(F1658,Metas!$A$5:$A$54,0)),"⚠ ID de meta no existe"))</f>
        <v/>
      </c>
      <c r="H1658" s="16" t="str">
        <f aca="false">IF(OR(C1658="",D1658=""),"",ROUND(MOD(D1658-C1658,1)*24,2))</f>
        <v/>
      </c>
      <c r="I1658" s="18"/>
      <c r="J1658" s="18"/>
      <c r="K1658" s="18"/>
    </row>
    <row r="1659" customFormat="false" ht="15" hidden="false" customHeight="false" outlineLevel="0" collapsed="false">
      <c r="A1659" s="17"/>
      <c r="B1659" s="18"/>
      <c r="C1659" s="19"/>
      <c r="D1659" s="19"/>
      <c r="E1659" s="18"/>
      <c r="F1659" s="18"/>
      <c r="G1659" s="13" t="str">
        <f aca="false">IF(F1659="","",IFERROR(INDEX(Metas!$B$5:$B$54,MATCH(F1659,Metas!$A$5:$A$54,0)),"⚠ ID de meta no existe"))</f>
        <v/>
      </c>
      <c r="H1659" s="16" t="str">
        <f aca="false">IF(OR(C1659="",D1659=""),"",ROUND(MOD(D1659-C1659,1)*24,2))</f>
        <v/>
      </c>
      <c r="I1659" s="18"/>
      <c r="J1659" s="18"/>
      <c r="K1659" s="18"/>
    </row>
    <row r="1660" customFormat="false" ht="15" hidden="false" customHeight="false" outlineLevel="0" collapsed="false">
      <c r="A1660" s="17"/>
      <c r="B1660" s="18"/>
      <c r="C1660" s="19"/>
      <c r="D1660" s="19"/>
      <c r="E1660" s="18"/>
      <c r="F1660" s="18"/>
      <c r="G1660" s="13" t="str">
        <f aca="false">IF(F1660="","",IFERROR(INDEX(Metas!$B$5:$B$54,MATCH(F1660,Metas!$A$5:$A$54,0)),"⚠ ID de meta no existe"))</f>
        <v/>
      </c>
      <c r="H1660" s="16" t="str">
        <f aca="false">IF(OR(C1660="",D1660=""),"",ROUND(MOD(D1660-C1660,1)*24,2))</f>
        <v/>
      </c>
      <c r="I1660" s="18"/>
      <c r="J1660" s="18"/>
      <c r="K1660" s="18"/>
    </row>
    <row r="1661" customFormat="false" ht="15" hidden="false" customHeight="false" outlineLevel="0" collapsed="false">
      <c r="A1661" s="17"/>
      <c r="B1661" s="18"/>
      <c r="C1661" s="19"/>
      <c r="D1661" s="19"/>
      <c r="E1661" s="18"/>
      <c r="F1661" s="18"/>
      <c r="G1661" s="13" t="str">
        <f aca="false">IF(F1661="","",IFERROR(INDEX(Metas!$B$5:$B$54,MATCH(F1661,Metas!$A$5:$A$54,0)),"⚠ ID de meta no existe"))</f>
        <v/>
      </c>
      <c r="H1661" s="16" t="str">
        <f aca="false">IF(OR(C1661="",D1661=""),"",ROUND(MOD(D1661-C1661,1)*24,2))</f>
        <v/>
      </c>
      <c r="I1661" s="18"/>
      <c r="J1661" s="18"/>
      <c r="K1661" s="18"/>
    </row>
    <row r="1662" customFormat="false" ht="15" hidden="false" customHeight="false" outlineLevel="0" collapsed="false">
      <c r="A1662" s="17"/>
      <c r="B1662" s="18"/>
      <c r="C1662" s="19"/>
      <c r="D1662" s="19"/>
      <c r="E1662" s="18"/>
      <c r="F1662" s="18"/>
      <c r="G1662" s="13" t="str">
        <f aca="false">IF(F1662="","",IFERROR(INDEX(Metas!$B$5:$B$54,MATCH(F1662,Metas!$A$5:$A$54,0)),"⚠ ID de meta no existe"))</f>
        <v/>
      </c>
      <c r="H1662" s="16" t="str">
        <f aca="false">IF(OR(C1662="",D1662=""),"",ROUND(MOD(D1662-C1662,1)*24,2))</f>
        <v/>
      </c>
      <c r="I1662" s="18"/>
      <c r="J1662" s="18"/>
      <c r="K1662" s="18"/>
    </row>
    <row r="1663" customFormat="false" ht="15" hidden="false" customHeight="false" outlineLevel="0" collapsed="false">
      <c r="A1663" s="17"/>
      <c r="B1663" s="18"/>
      <c r="C1663" s="19"/>
      <c r="D1663" s="19"/>
      <c r="E1663" s="18"/>
      <c r="F1663" s="18"/>
      <c r="G1663" s="13" t="str">
        <f aca="false">IF(F1663="","",IFERROR(INDEX(Metas!$B$5:$B$54,MATCH(F1663,Metas!$A$5:$A$54,0)),"⚠ ID de meta no existe"))</f>
        <v/>
      </c>
      <c r="H1663" s="16" t="str">
        <f aca="false">IF(OR(C1663="",D1663=""),"",ROUND(MOD(D1663-C1663,1)*24,2))</f>
        <v/>
      </c>
      <c r="I1663" s="18"/>
      <c r="J1663" s="18"/>
      <c r="K1663" s="18"/>
    </row>
    <row r="1664" customFormat="false" ht="15" hidden="false" customHeight="false" outlineLevel="0" collapsed="false">
      <c r="A1664" s="17"/>
      <c r="B1664" s="18"/>
      <c r="C1664" s="19"/>
      <c r="D1664" s="19"/>
      <c r="E1664" s="18"/>
      <c r="F1664" s="18"/>
      <c r="G1664" s="13" t="str">
        <f aca="false">IF(F1664="","",IFERROR(INDEX(Metas!$B$5:$B$54,MATCH(F1664,Metas!$A$5:$A$54,0)),"⚠ ID de meta no existe"))</f>
        <v/>
      </c>
      <c r="H1664" s="16" t="str">
        <f aca="false">IF(OR(C1664="",D1664=""),"",ROUND(MOD(D1664-C1664,1)*24,2))</f>
        <v/>
      </c>
      <c r="I1664" s="18"/>
      <c r="J1664" s="18"/>
      <c r="K1664" s="18"/>
    </row>
    <row r="1665" customFormat="false" ht="15" hidden="false" customHeight="false" outlineLevel="0" collapsed="false">
      <c r="A1665" s="17"/>
      <c r="B1665" s="18"/>
      <c r="C1665" s="19"/>
      <c r="D1665" s="19"/>
      <c r="E1665" s="18"/>
      <c r="F1665" s="18"/>
      <c r="G1665" s="13" t="str">
        <f aca="false">IF(F1665="","",IFERROR(INDEX(Metas!$B$5:$B$54,MATCH(F1665,Metas!$A$5:$A$54,0)),"⚠ ID de meta no existe"))</f>
        <v/>
      </c>
      <c r="H1665" s="16" t="str">
        <f aca="false">IF(OR(C1665="",D1665=""),"",ROUND(MOD(D1665-C1665,1)*24,2))</f>
        <v/>
      </c>
      <c r="I1665" s="18"/>
      <c r="J1665" s="18"/>
      <c r="K1665" s="18"/>
    </row>
    <row r="1666" customFormat="false" ht="15" hidden="false" customHeight="false" outlineLevel="0" collapsed="false">
      <c r="A1666" s="17"/>
      <c r="B1666" s="18"/>
      <c r="C1666" s="19"/>
      <c r="D1666" s="19"/>
      <c r="E1666" s="18"/>
      <c r="F1666" s="18"/>
      <c r="G1666" s="13" t="str">
        <f aca="false">IF(F1666="","",IFERROR(INDEX(Metas!$B$5:$B$54,MATCH(F1666,Metas!$A$5:$A$54,0)),"⚠ ID de meta no existe"))</f>
        <v/>
      </c>
      <c r="H1666" s="16" t="str">
        <f aca="false">IF(OR(C1666="",D1666=""),"",ROUND(MOD(D1666-C1666,1)*24,2))</f>
        <v/>
      </c>
      <c r="I1666" s="18"/>
      <c r="J1666" s="18"/>
      <c r="K1666" s="18"/>
    </row>
    <row r="1667" customFormat="false" ht="15" hidden="false" customHeight="false" outlineLevel="0" collapsed="false">
      <c r="A1667" s="17"/>
      <c r="B1667" s="18"/>
      <c r="C1667" s="19"/>
      <c r="D1667" s="19"/>
      <c r="E1667" s="18"/>
      <c r="F1667" s="18"/>
      <c r="G1667" s="13" t="str">
        <f aca="false">IF(F1667="","",IFERROR(INDEX(Metas!$B$5:$B$54,MATCH(F1667,Metas!$A$5:$A$54,0)),"⚠ ID de meta no existe"))</f>
        <v/>
      </c>
      <c r="H1667" s="16" t="str">
        <f aca="false">IF(OR(C1667="",D1667=""),"",ROUND(MOD(D1667-C1667,1)*24,2))</f>
        <v/>
      </c>
      <c r="I1667" s="18"/>
      <c r="J1667" s="18"/>
      <c r="K1667" s="18"/>
    </row>
    <row r="1668" customFormat="false" ht="15" hidden="false" customHeight="false" outlineLevel="0" collapsed="false">
      <c r="A1668" s="17"/>
      <c r="B1668" s="18"/>
      <c r="C1668" s="19"/>
      <c r="D1668" s="19"/>
      <c r="E1668" s="18"/>
      <c r="F1668" s="18"/>
      <c r="G1668" s="13" t="str">
        <f aca="false">IF(F1668="","",IFERROR(INDEX(Metas!$B$5:$B$54,MATCH(F1668,Metas!$A$5:$A$54,0)),"⚠ ID de meta no existe"))</f>
        <v/>
      </c>
      <c r="H1668" s="16" t="str">
        <f aca="false">IF(OR(C1668="",D1668=""),"",ROUND(MOD(D1668-C1668,1)*24,2))</f>
        <v/>
      </c>
      <c r="I1668" s="18"/>
      <c r="J1668" s="18"/>
      <c r="K1668" s="18"/>
    </row>
    <row r="1669" customFormat="false" ht="15" hidden="false" customHeight="false" outlineLevel="0" collapsed="false">
      <c r="A1669" s="17"/>
      <c r="B1669" s="18"/>
      <c r="C1669" s="19"/>
      <c r="D1669" s="19"/>
      <c r="E1669" s="18"/>
      <c r="F1669" s="18"/>
      <c r="G1669" s="13" t="str">
        <f aca="false">IF(F1669="","",IFERROR(INDEX(Metas!$B$5:$B$54,MATCH(F1669,Metas!$A$5:$A$54,0)),"⚠ ID de meta no existe"))</f>
        <v/>
      </c>
      <c r="H1669" s="16" t="str">
        <f aca="false">IF(OR(C1669="",D1669=""),"",ROUND(MOD(D1669-C1669,1)*24,2))</f>
        <v/>
      </c>
      <c r="I1669" s="18"/>
      <c r="J1669" s="18"/>
      <c r="K1669" s="18"/>
    </row>
    <row r="1670" customFormat="false" ht="15" hidden="false" customHeight="false" outlineLevel="0" collapsed="false">
      <c r="A1670" s="17"/>
      <c r="B1670" s="18"/>
      <c r="C1670" s="19"/>
      <c r="D1670" s="19"/>
      <c r="E1670" s="18"/>
      <c r="F1670" s="18"/>
      <c r="G1670" s="13" t="str">
        <f aca="false">IF(F1670="","",IFERROR(INDEX(Metas!$B$5:$B$54,MATCH(F1670,Metas!$A$5:$A$54,0)),"⚠ ID de meta no existe"))</f>
        <v/>
      </c>
      <c r="H1670" s="16" t="str">
        <f aca="false">IF(OR(C1670="",D1670=""),"",ROUND(MOD(D1670-C1670,1)*24,2))</f>
        <v/>
      </c>
      <c r="I1670" s="18"/>
      <c r="J1670" s="18"/>
      <c r="K1670" s="18"/>
    </row>
    <row r="1671" customFormat="false" ht="15" hidden="false" customHeight="false" outlineLevel="0" collapsed="false">
      <c r="A1671" s="17"/>
      <c r="B1671" s="18"/>
      <c r="C1671" s="19"/>
      <c r="D1671" s="19"/>
      <c r="E1671" s="18"/>
      <c r="F1671" s="18"/>
      <c r="G1671" s="13" t="str">
        <f aca="false">IF(F1671="","",IFERROR(INDEX(Metas!$B$5:$B$54,MATCH(F1671,Metas!$A$5:$A$54,0)),"⚠ ID de meta no existe"))</f>
        <v/>
      </c>
      <c r="H1671" s="16" t="str">
        <f aca="false">IF(OR(C1671="",D1671=""),"",ROUND(MOD(D1671-C1671,1)*24,2))</f>
        <v/>
      </c>
      <c r="I1671" s="18"/>
      <c r="J1671" s="18"/>
      <c r="K1671" s="18"/>
    </row>
    <row r="1672" customFormat="false" ht="15" hidden="false" customHeight="false" outlineLevel="0" collapsed="false">
      <c r="A1672" s="17"/>
      <c r="B1672" s="18"/>
      <c r="C1672" s="19"/>
      <c r="D1672" s="19"/>
      <c r="E1672" s="18"/>
      <c r="F1672" s="18"/>
      <c r="G1672" s="13" t="str">
        <f aca="false">IF(F1672="","",IFERROR(INDEX(Metas!$B$5:$B$54,MATCH(F1672,Metas!$A$5:$A$54,0)),"⚠ ID de meta no existe"))</f>
        <v/>
      </c>
      <c r="H1672" s="16" t="str">
        <f aca="false">IF(OR(C1672="",D1672=""),"",ROUND(MOD(D1672-C1672,1)*24,2))</f>
        <v/>
      </c>
      <c r="I1672" s="18"/>
      <c r="J1672" s="18"/>
      <c r="K1672" s="18"/>
    </row>
    <row r="1673" customFormat="false" ht="15" hidden="false" customHeight="false" outlineLevel="0" collapsed="false">
      <c r="A1673" s="17"/>
      <c r="B1673" s="18"/>
      <c r="C1673" s="19"/>
      <c r="D1673" s="19"/>
      <c r="E1673" s="18"/>
      <c r="F1673" s="18"/>
      <c r="G1673" s="13" t="str">
        <f aca="false">IF(F1673="","",IFERROR(INDEX(Metas!$B$5:$B$54,MATCH(F1673,Metas!$A$5:$A$54,0)),"⚠ ID de meta no existe"))</f>
        <v/>
      </c>
      <c r="H1673" s="16" t="str">
        <f aca="false">IF(OR(C1673="",D1673=""),"",ROUND(MOD(D1673-C1673,1)*24,2))</f>
        <v/>
      </c>
      <c r="I1673" s="18"/>
      <c r="J1673" s="18"/>
      <c r="K1673" s="18"/>
    </row>
    <row r="1674" customFormat="false" ht="15" hidden="false" customHeight="false" outlineLevel="0" collapsed="false">
      <c r="A1674" s="17"/>
      <c r="B1674" s="18"/>
      <c r="C1674" s="19"/>
      <c r="D1674" s="19"/>
      <c r="E1674" s="18"/>
      <c r="F1674" s="18"/>
      <c r="G1674" s="13" t="str">
        <f aca="false">IF(F1674="","",IFERROR(INDEX(Metas!$B$5:$B$54,MATCH(F1674,Metas!$A$5:$A$54,0)),"⚠ ID de meta no existe"))</f>
        <v/>
      </c>
      <c r="H1674" s="16" t="str">
        <f aca="false">IF(OR(C1674="",D1674=""),"",ROUND(MOD(D1674-C1674,1)*24,2))</f>
        <v/>
      </c>
      <c r="I1674" s="18"/>
      <c r="J1674" s="18"/>
      <c r="K1674" s="18"/>
    </row>
    <row r="1675" customFormat="false" ht="15" hidden="false" customHeight="false" outlineLevel="0" collapsed="false">
      <c r="A1675" s="17"/>
      <c r="B1675" s="18"/>
      <c r="C1675" s="19"/>
      <c r="D1675" s="19"/>
      <c r="E1675" s="18"/>
      <c r="F1675" s="18"/>
      <c r="G1675" s="13" t="str">
        <f aca="false">IF(F1675="","",IFERROR(INDEX(Metas!$B$5:$B$54,MATCH(F1675,Metas!$A$5:$A$54,0)),"⚠ ID de meta no existe"))</f>
        <v/>
      </c>
      <c r="H1675" s="16" t="str">
        <f aca="false">IF(OR(C1675="",D1675=""),"",ROUND(MOD(D1675-C1675,1)*24,2))</f>
        <v/>
      </c>
      <c r="I1675" s="18"/>
      <c r="J1675" s="18"/>
      <c r="K1675" s="18"/>
    </row>
    <row r="1676" customFormat="false" ht="15" hidden="false" customHeight="false" outlineLevel="0" collapsed="false">
      <c r="A1676" s="17"/>
      <c r="B1676" s="18"/>
      <c r="C1676" s="19"/>
      <c r="D1676" s="19"/>
      <c r="E1676" s="18"/>
      <c r="F1676" s="18"/>
      <c r="G1676" s="13" t="str">
        <f aca="false">IF(F1676="","",IFERROR(INDEX(Metas!$B$5:$B$54,MATCH(F1676,Metas!$A$5:$A$54,0)),"⚠ ID de meta no existe"))</f>
        <v/>
      </c>
      <c r="H1676" s="16" t="str">
        <f aca="false">IF(OR(C1676="",D1676=""),"",ROUND(MOD(D1676-C1676,1)*24,2))</f>
        <v/>
      </c>
      <c r="I1676" s="18"/>
      <c r="J1676" s="18"/>
      <c r="K1676" s="18"/>
    </row>
    <row r="1677" customFormat="false" ht="15" hidden="false" customHeight="false" outlineLevel="0" collapsed="false">
      <c r="A1677" s="17"/>
      <c r="B1677" s="18"/>
      <c r="C1677" s="19"/>
      <c r="D1677" s="19"/>
      <c r="E1677" s="18"/>
      <c r="F1677" s="18"/>
      <c r="G1677" s="13" t="str">
        <f aca="false">IF(F1677="","",IFERROR(INDEX(Metas!$B$5:$B$54,MATCH(F1677,Metas!$A$5:$A$54,0)),"⚠ ID de meta no existe"))</f>
        <v/>
      </c>
      <c r="H1677" s="16" t="str">
        <f aca="false">IF(OR(C1677="",D1677=""),"",ROUND(MOD(D1677-C1677,1)*24,2))</f>
        <v/>
      </c>
      <c r="I1677" s="18"/>
      <c r="J1677" s="18"/>
      <c r="K1677" s="18"/>
    </row>
    <row r="1678" customFormat="false" ht="15" hidden="false" customHeight="false" outlineLevel="0" collapsed="false">
      <c r="A1678" s="17"/>
      <c r="B1678" s="18"/>
      <c r="C1678" s="19"/>
      <c r="D1678" s="19"/>
      <c r="E1678" s="18"/>
      <c r="F1678" s="18"/>
      <c r="G1678" s="13" t="str">
        <f aca="false">IF(F1678="","",IFERROR(INDEX(Metas!$B$5:$B$54,MATCH(F1678,Metas!$A$5:$A$54,0)),"⚠ ID de meta no existe"))</f>
        <v/>
      </c>
      <c r="H1678" s="16" t="str">
        <f aca="false">IF(OR(C1678="",D1678=""),"",ROUND(MOD(D1678-C1678,1)*24,2))</f>
        <v/>
      </c>
      <c r="I1678" s="18"/>
      <c r="J1678" s="18"/>
      <c r="K1678" s="18"/>
    </row>
    <row r="1679" customFormat="false" ht="15" hidden="false" customHeight="false" outlineLevel="0" collapsed="false">
      <c r="A1679" s="17"/>
      <c r="B1679" s="18"/>
      <c r="C1679" s="19"/>
      <c r="D1679" s="19"/>
      <c r="E1679" s="18"/>
      <c r="F1679" s="18"/>
      <c r="G1679" s="13" t="str">
        <f aca="false">IF(F1679="","",IFERROR(INDEX(Metas!$B$5:$B$54,MATCH(F1679,Metas!$A$5:$A$54,0)),"⚠ ID de meta no existe"))</f>
        <v/>
      </c>
      <c r="H1679" s="16" t="str">
        <f aca="false">IF(OR(C1679="",D1679=""),"",ROUND(MOD(D1679-C1679,1)*24,2))</f>
        <v/>
      </c>
      <c r="I1679" s="18"/>
      <c r="J1679" s="18"/>
      <c r="K1679" s="18"/>
    </row>
    <row r="1680" customFormat="false" ht="15" hidden="false" customHeight="false" outlineLevel="0" collapsed="false">
      <c r="A1680" s="17"/>
      <c r="B1680" s="18"/>
      <c r="C1680" s="19"/>
      <c r="D1680" s="19"/>
      <c r="E1680" s="18"/>
      <c r="F1680" s="18"/>
      <c r="G1680" s="13" t="str">
        <f aca="false">IF(F1680="","",IFERROR(INDEX(Metas!$B$5:$B$54,MATCH(F1680,Metas!$A$5:$A$54,0)),"⚠ ID de meta no existe"))</f>
        <v/>
      </c>
      <c r="H1680" s="16" t="str">
        <f aca="false">IF(OR(C1680="",D1680=""),"",ROUND(MOD(D1680-C1680,1)*24,2))</f>
        <v/>
      </c>
      <c r="I1680" s="18"/>
      <c r="J1680" s="18"/>
      <c r="K1680" s="18"/>
    </row>
    <row r="1681" customFormat="false" ht="15" hidden="false" customHeight="false" outlineLevel="0" collapsed="false">
      <c r="A1681" s="17"/>
      <c r="B1681" s="18"/>
      <c r="C1681" s="19"/>
      <c r="D1681" s="19"/>
      <c r="E1681" s="18"/>
      <c r="F1681" s="18"/>
      <c r="G1681" s="13" t="str">
        <f aca="false">IF(F1681="","",IFERROR(INDEX(Metas!$B$5:$B$54,MATCH(F1681,Metas!$A$5:$A$54,0)),"⚠ ID de meta no existe"))</f>
        <v/>
      </c>
      <c r="H1681" s="16" t="str">
        <f aca="false">IF(OR(C1681="",D1681=""),"",ROUND(MOD(D1681-C1681,1)*24,2))</f>
        <v/>
      </c>
      <c r="I1681" s="18"/>
      <c r="J1681" s="18"/>
      <c r="K1681" s="18"/>
    </row>
    <row r="1682" customFormat="false" ht="15" hidden="false" customHeight="false" outlineLevel="0" collapsed="false">
      <c r="A1682" s="17"/>
      <c r="B1682" s="18"/>
      <c r="C1682" s="19"/>
      <c r="D1682" s="19"/>
      <c r="E1682" s="18"/>
      <c r="F1682" s="18"/>
      <c r="G1682" s="13" t="str">
        <f aca="false">IF(F1682="","",IFERROR(INDEX(Metas!$B$5:$B$54,MATCH(F1682,Metas!$A$5:$A$54,0)),"⚠ ID de meta no existe"))</f>
        <v/>
      </c>
      <c r="H1682" s="16" t="str">
        <f aca="false">IF(OR(C1682="",D1682=""),"",ROUND(MOD(D1682-C1682,1)*24,2))</f>
        <v/>
      </c>
      <c r="I1682" s="18"/>
      <c r="J1682" s="18"/>
      <c r="K1682" s="18"/>
    </row>
    <row r="1683" customFormat="false" ht="15" hidden="false" customHeight="false" outlineLevel="0" collapsed="false">
      <c r="A1683" s="17"/>
      <c r="B1683" s="18"/>
      <c r="C1683" s="19"/>
      <c r="D1683" s="19"/>
      <c r="E1683" s="18"/>
      <c r="F1683" s="18"/>
      <c r="G1683" s="13" t="str">
        <f aca="false">IF(F1683="","",IFERROR(INDEX(Metas!$B$5:$B$54,MATCH(F1683,Metas!$A$5:$A$54,0)),"⚠ ID de meta no existe"))</f>
        <v/>
      </c>
      <c r="H1683" s="16" t="str">
        <f aca="false">IF(OR(C1683="",D1683=""),"",ROUND(MOD(D1683-C1683,1)*24,2))</f>
        <v/>
      </c>
      <c r="I1683" s="18"/>
      <c r="J1683" s="18"/>
      <c r="K1683" s="18"/>
    </row>
    <row r="1684" customFormat="false" ht="15" hidden="false" customHeight="false" outlineLevel="0" collapsed="false">
      <c r="A1684" s="17"/>
      <c r="B1684" s="18"/>
      <c r="C1684" s="19"/>
      <c r="D1684" s="19"/>
      <c r="E1684" s="18"/>
      <c r="F1684" s="18"/>
      <c r="G1684" s="13" t="str">
        <f aca="false">IF(F1684="","",IFERROR(INDEX(Metas!$B$5:$B$54,MATCH(F1684,Metas!$A$5:$A$54,0)),"⚠ ID de meta no existe"))</f>
        <v/>
      </c>
      <c r="H1684" s="16" t="str">
        <f aca="false">IF(OR(C1684="",D1684=""),"",ROUND(MOD(D1684-C1684,1)*24,2))</f>
        <v/>
      </c>
      <c r="I1684" s="18"/>
      <c r="J1684" s="18"/>
      <c r="K1684" s="18"/>
    </row>
    <row r="1685" customFormat="false" ht="15" hidden="false" customHeight="false" outlineLevel="0" collapsed="false">
      <c r="A1685" s="17"/>
      <c r="B1685" s="18"/>
      <c r="C1685" s="19"/>
      <c r="D1685" s="19"/>
      <c r="E1685" s="18"/>
      <c r="F1685" s="18"/>
      <c r="G1685" s="13" t="str">
        <f aca="false">IF(F1685="","",IFERROR(INDEX(Metas!$B$5:$B$54,MATCH(F1685,Metas!$A$5:$A$54,0)),"⚠ ID de meta no existe"))</f>
        <v/>
      </c>
      <c r="H1685" s="16" t="str">
        <f aca="false">IF(OR(C1685="",D1685=""),"",ROUND(MOD(D1685-C1685,1)*24,2))</f>
        <v/>
      </c>
      <c r="I1685" s="18"/>
      <c r="J1685" s="18"/>
      <c r="K1685" s="18"/>
    </row>
    <row r="1686" customFormat="false" ht="15" hidden="false" customHeight="false" outlineLevel="0" collapsed="false">
      <c r="A1686" s="17"/>
      <c r="B1686" s="18"/>
      <c r="C1686" s="19"/>
      <c r="D1686" s="19"/>
      <c r="E1686" s="18"/>
      <c r="F1686" s="18"/>
      <c r="G1686" s="13" t="str">
        <f aca="false">IF(F1686="","",IFERROR(INDEX(Metas!$B$5:$B$54,MATCH(F1686,Metas!$A$5:$A$54,0)),"⚠ ID de meta no existe"))</f>
        <v/>
      </c>
      <c r="H1686" s="16" t="str">
        <f aca="false">IF(OR(C1686="",D1686=""),"",ROUND(MOD(D1686-C1686,1)*24,2))</f>
        <v/>
      </c>
      <c r="I1686" s="18"/>
      <c r="J1686" s="18"/>
      <c r="K1686" s="18"/>
    </row>
    <row r="1687" customFormat="false" ht="15" hidden="false" customHeight="false" outlineLevel="0" collapsed="false">
      <c r="A1687" s="17"/>
      <c r="B1687" s="18"/>
      <c r="C1687" s="19"/>
      <c r="D1687" s="19"/>
      <c r="E1687" s="18"/>
      <c r="F1687" s="18"/>
      <c r="G1687" s="13" t="str">
        <f aca="false">IF(F1687="","",IFERROR(INDEX(Metas!$B$5:$B$54,MATCH(F1687,Metas!$A$5:$A$54,0)),"⚠ ID de meta no existe"))</f>
        <v/>
      </c>
      <c r="H1687" s="16" t="str">
        <f aca="false">IF(OR(C1687="",D1687=""),"",ROUND(MOD(D1687-C1687,1)*24,2))</f>
        <v/>
      </c>
      <c r="I1687" s="18"/>
      <c r="J1687" s="18"/>
      <c r="K1687" s="18"/>
    </row>
    <row r="1688" customFormat="false" ht="15" hidden="false" customHeight="false" outlineLevel="0" collapsed="false">
      <c r="A1688" s="17"/>
      <c r="B1688" s="18"/>
      <c r="C1688" s="19"/>
      <c r="D1688" s="19"/>
      <c r="E1688" s="18"/>
      <c r="F1688" s="18"/>
      <c r="G1688" s="13" t="str">
        <f aca="false">IF(F1688="","",IFERROR(INDEX(Metas!$B$5:$B$54,MATCH(F1688,Metas!$A$5:$A$54,0)),"⚠ ID de meta no existe"))</f>
        <v/>
      </c>
      <c r="H1688" s="16" t="str">
        <f aca="false">IF(OR(C1688="",D1688=""),"",ROUND(MOD(D1688-C1688,1)*24,2))</f>
        <v/>
      </c>
      <c r="I1688" s="18"/>
      <c r="J1688" s="18"/>
      <c r="K1688" s="18"/>
    </row>
    <row r="1689" customFormat="false" ht="15" hidden="false" customHeight="false" outlineLevel="0" collapsed="false">
      <c r="A1689" s="17"/>
      <c r="B1689" s="18"/>
      <c r="C1689" s="19"/>
      <c r="D1689" s="19"/>
      <c r="E1689" s="18"/>
      <c r="F1689" s="18"/>
      <c r="G1689" s="13" t="str">
        <f aca="false">IF(F1689="","",IFERROR(INDEX(Metas!$B$5:$B$54,MATCH(F1689,Metas!$A$5:$A$54,0)),"⚠ ID de meta no existe"))</f>
        <v/>
      </c>
      <c r="H1689" s="16" t="str">
        <f aca="false">IF(OR(C1689="",D1689=""),"",ROUND(MOD(D1689-C1689,1)*24,2))</f>
        <v/>
      </c>
      <c r="I1689" s="18"/>
      <c r="J1689" s="18"/>
      <c r="K1689" s="18"/>
    </row>
    <row r="1690" customFormat="false" ht="15" hidden="false" customHeight="false" outlineLevel="0" collapsed="false">
      <c r="A1690" s="17"/>
      <c r="B1690" s="18"/>
      <c r="C1690" s="19"/>
      <c r="D1690" s="19"/>
      <c r="E1690" s="18"/>
      <c r="F1690" s="18"/>
      <c r="G1690" s="13" t="str">
        <f aca="false">IF(F1690="","",IFERROR(INDEX(Metas!$B$5:$B$54,MATCH(F1690,Metas!$A$5:$A$54,0)),"⚠ ID de meta no existe"))</f>
        <v/>
      </c>
      <c r="H1690" s="16" t="str">
        <f aca="false">IF(OR(C1690="",D1690=""),"",ROUND(MOD(D1690-C1690,1)*24,2))</f>
        <v/>
      </c>
      <c r="I1690" s="18"/>
      <c r="J1690" s="18"/>
      <c r="K1690" s="18"/>
    </row>
    <row r="1691" customFormat="false" ht="15" hidden="false" customHeight="false" outlineLevel="0" collapsed="false">
      <c r="A1691" s="17"/>
      <c r="B1691" s="18"/>
      <c r="C1691" s="19"/>
      <c r="D1691" s="19"/>
      <c r="E1691" s="18"/>
      <c r="F1691" s="18"/>
      <c r="G1691" s="13" t="str">
        <f aca="false">IF(F1691="","",IFERROR(INDEX(Metas!$B$5:$B$54,MATCH(F1691,Metas!$A$5:$A$54,0)),"⚠ ID de meta no existe"))</f>
        <v/>
      </c>
      <c r="H1691" s="16" t="str">
        <f aca="false">IF(OR(C1691="",D1691=""),"",ROUND(MOD(D1691-C1691,1)*24,2))</f>
        <v/>
      </c>
      <c r="I1691" s="18"/>
      <c r="J1691" s="18"/>
      <c r="K1691" s="18"/>
    </row>
    <row r="1692" customFormat="false" ht="15" hidden="false" customHeight="false" outlineLevel="0" collapsed="false">
      <c r="A1692" s="17"/>
      <c r="B1692" s="18"/>
      <c r="C1692" s="19"/>
      <c r="D1692" s="19"/>
      <c r="E1692" s="18"/>
      <c r="F1692" s="18"/>
      <c r="G1692" s="13" t="str">
        <f aca="false">IF(F1692="","",IFERROR(INDEX(Metas!$B$5:$B$54,MATCH(F1692,Metas!$A$5:$A$54,0)),"⚠ ID de meta no existe"))</f>
        <v/>
      </c>
      <c r="H1692" s="16" t="str">
        <f aca="false">IF(OR(C1692="",D1692=""),"",ROUND(MOD(D1692-C1692,1)*24,2))</f>
        <v/>
      </c>
      <c r="I1692" s="18"/>
      <c r="J1692" s="18"/>
      <c r="K1692" s="18"/>
    </row>
    <row r="1693" customFormat="false" ht="15" hidden="false" customHeight="false" outlineLevel="0" collapsed="false">
      <c r="A1693" s="17"/>
      <c r="B1693" s="18"/>
      <c r="C1693" s="19"/>
      <c r="D1693" s="19"/>
      <c r="E1693" s="18"/>
      <c r="F1693" s="18"/>
      <c r="G1693" s="13" t="str">
        <f aca="false">IF(F1693="","",IFERROR(INDEX(Metas!$B$5:$B$54,MATCH(F1693,Metas!$A$5:$A$54,0)),"⚠ ID de meta no existe"))</f>
        <v/>
      </c>
      <c r="H1693" s="16" t="str">
        <f aca="false">IF(OR(C1693="",D1693=""),"",ROUND(MOD(D1693-C1693,1)*24,2))</f>
        <v/>
      </c>
      <c r="I1693" s="18"/>
      <c r="J1693" s="18"/>
      <c r="K1693" s="18"/>
    </row>
    <row r="1694" customFormat="false" ht="15" hidden="false" customHeight="false" outlineLevel="0" collapsed="false">
      <c r="A1694" s="17"/>
      <c r="B1694" s="18"/>
      <c r="C1694" s="19"/>
      <c r="D1694" s="19"/>
      <c r="E1694" s="18"/>
      <c r="F1694" s="18"/>
      <c r="G1694" s="13" t="str">
        <f aca="false">IF(F1694="","",IFERROR(INDEX(Metas!$B$5:$B$54,MATCH(F1694,Metas!$A$5:$A$54,0)),"⚠ ID de meta no existe"))</f>
        <v/>
      </c>
      <c r="H1694" s="16" t="str">
        <f aca="false">IF(OR(C1694="",D1694=""),"",ROUND(MOD(D1694-C1694,1)*24,2))</f>
        <v/>
      </c>
      <c r="I1694" s="18"/>
      <c r="J1694" s="18"/>
      <c r="K1694" s="18"/>
    </row>
    <row r="1695" customFormat="false" ht="15" hidden="false" customHeight="false" outlineLevel="0" collapsed="false">
      <c r="A1695" s="17"/>
      <c r="B1695" s="18"/>
      <c r="C1695" s="19"/>
      <c r="D1695" s="19"/>
      <c r="E1695" s="18"/>
      <c r="F1695" s="18"/>
      <c r="G1695" s="13" t="str">
        <f aca="false">IF(F1695="","",IFERROR(INDEX(Metas!$B$5:$B$54,MATCH(F1695,Metas!$A$5:$A$54,0)),"⚠ ID de meta no existe"))</f>
        <v/>
      </c>
      <c r="H1695" s="16" t="str">
        <f aca="false">IF(OR(C1695="",D1695=""),"",ROUND(MOD(D1695-C1695,1)*24,2))</f>
        <v/>
      </c>
      <c r="I1695" s="18"/>
      <c r="J1695" s="18"/>
      <c r="K1695" s="18"/>
    </row>
    <row r="1696" customFormat="false" ht="15" hidden="false" customHeight="false" outlineLevel="0" collapsed="false">
      <c r="A1696" s="17"/>
      <c r="B1696" s="18"/>
      <c r="C1696" s="19"/>
      <c r="D1696" s="19"/>
      <c r="E1696" s="18"/>
      <c r="F1696" s="18"/>
      <c r="G1696" s="13" t="str">
        <f aca="false">IF(F1696="","",IFERROR(INDEX(Metas!$B$5:$B$54,MATCH(F1696,Metas!$A$5:$A$54,0)),"⚠ ID de meta no existe"))</f>
        <v/>
      </c>
      <c r="H1696" s="16" t="str">
        <f aca="false">IF(OR(C1696="",D1696=""),"",ROUND(MOD(D1696-C1696,1)*24,2))</f>
        <v/>
      </c>
      <c r="I1696" s="18"/>
      <c r="J1696" s="18"/>
      <c r="K1696" s="18"/>
    </row>
    <row r="1697" customFormat="false" ht="15" hidden="false" customHeight="false" outlineLevel="0" collapsed="false">
      <c r="A1697" s="17"/>
      <c r="B1697" s="18"/>
      <c r="C1697" s="19"/>
      <c r="D1697" s="19"/>
      <c r="E1697" s="18"/>
      <c r="F1697" s="18"/>
      <c r="G1697" s="13" t="str">
        <f aca="false">IF(F1697="","",IFERROR(INDEX(Metas!$B$5:$B$54,MATCH(F1697,Metas!$A$5:$A$54,0)),"⚠ ID de meta no existe"))</f>
        <v/>
      </c>
      <c r="H1697" s="16" t="str">
        <f aca="false">IF(OR(C1697="",D1697=""),"",ROUND(MOD(D1697-C1697,1)*24,2))</f>
        <v/>
      </c>
      <c r="I1697" s="18"/>
      <c r="J1697" s="18"/>
      <c r="K1697" s="18"/>
    </row>
    <row r="1698" customFormat="false" ht="15" hidden="false" customHeight="false" outlineLevel="0" collapsed="false">
      <c r="A1698" s="17"/>
      <c r="B1698" s="18"/>
      <c r="C1698" s="19"/>
      <c r="D1698" s="19"/>
      <c r="E1698" s="18"/>
      <c r="F1698" s="18"/>
      <c r="G1698" s="13" t="str">
        <f aca="false">IF(F1698="","",IFERROR(INDEX(Metas!$B$5:$B$54,MATCH(F1698,Metas!$A$5:$A$54,0)),"⚠ ID de meta no existe"))</f>
        <v/>
      </c>
      <c r="H1698" s="16" t="str">
        <f aca="false">IF(OR(C1698="",D1698=""),"",ROUND(MOD(D1698-C1698,1)*24,2))</f>
        <v/>
      </c>
      <c r="I1698" s="18"/>
      <c r="J1698" s="18"/>
      <c r="K1698" s="18"/>
    </row>
    <row r="1699" customFormat="false" ht="15" hidden="false" customHeight="false" outlineLevel="0" collapsed="false">
      <c r="A1699" s="17"/>
      <c r="B1699" s="18"/>
      <c r="C1699" s="19"/>
      <c r="D1699" s="19"/>
      <c r="E1699" s="18"/>
      <c r="F1699" s="18"/>
      <c r="G1699" s="13" t="str">
        <f aca="false">IF(F1699="","",IFERROR(INDEX(Metas!$B$5:$B$54,MATCH(F1699,Metas!$A$5:$A$54,0)),"⚠ ID de meta no existe"))</f>
        <v/>
      </c>
      <c r="H1699" s="16" t="str">
        <f aca="false">IF(OR(C1699="",D1699=""),"",ROUND(MOD(D1699-C1699,1)*24,2))</f>
        <v/>
      </c>
      <c r="I1699" s="18"/>
      <c r="J1699" s="18"/>
      <c r="K1699" s="18"/>
    </row>
    <row r="1700" customFormat="false" ht="15" hidden="false" customHeight="false" outlineLevel="0" collapsed="false">
      <c r="A1700" s="17"/>
      <c r="B1700" s="18"/>
      <c r="C1700" s="19"/>
      <c r="D1700" s="19"/>
      <c r="E1700" s="18"/>
      <c r="F1700" s="18"/>
      <c r="G1700" s="13" t="str">
        <f aca="false">IF(F1700="","",IFERROR(INDEX(Metas!$B$5:$B$54,MATCH(F1700,Metas!$A$5:$A$54,0)),"⚠ ID de meta no existe"))</f>
        <v/>
      </c>
      <c r="H1700" s="16" t="str">
        <f aca="false">IF(OR(C1700="",D1700=""),"",ROUND(MOD(D1700-C1700,1)*24,2))</f>
        <v/>
      </c>
      <c r="I1700" s="18"/>
      <c r="J1700" s="18"/>
      <c r="K1700" s="18"/>
    </row>
    <row r="1701" customFormat="false" ht="15" hidden="false" customHeight="false" outlineLevel="0" collapsed="false">
      <c r="A1701" s="17"/>
      <c r="B1701" s="18"/>
      <c r="C1701" s="19"/>
      <c r="D1701" s="19"/>
      <c r="E1701" s="18"/>
      <c r="F1701" s="18"/>
      <c r="G1701" s="13" t="str">
        <f aca="false">IF(F1701="","",IFERROR(INDEX(Metas!$B$5:$B$54,MATCH(F1701,Metas!$A$5:$A$54,0)),"⚠ ID de meta no existe"))</f>
        <v/>
      </c>
      <c r="H1701" s="16" t="str">
        <f aca="false">IF(OR(C1701="",D1701=""),"",ROUND(MOD(D1701-C1701,1)*24,2))</f>
        <v/>
      </c>
      <c r="I1701" s="18"/>
      <c r="J1701" s="18"/>
      <c r="K1701" s="18"/>
    </row>
    <row r="1702" customFormat="false" ht="15" hidden="false" customHeight="false" outlineLevel="0" collapsed="false">
      <c r="A1702" s="17"/>
      <c r="B1702" s="18"/>
      <c r="C1702" s="19"/>
      <c r="D1702" s="19"/>
      <c r="E1702" s="18"/>
      <c r="F1702" s="18"/>
      <c r="G1702" s="13" t="str">
        <f aca="false">IF(F1702="","",IFERROR(INDEX(Metas!$B$5:$B$54,MATCH(F1702,Metas!$A$5:$A$54,0)),"⚠ ID de meta no existe"))</f>
        <v/>
      </c>
      <c r="H1702" s="16" t="str">
        <f aca="false">IF(OR(C1702="",D1702=""),"",ROUND(MOD(D1702-C1702,1)*24,2))</f>
        <v/>
      </c>
      <c r="I1702" s="18"/>
      <c r="J1702" s="18"/>
      <c r="K1702" s="18"/>
    </row>
    <row r="1703" customFormat="false" ht="15" hidden="false" customHeight="false" outlineLevel="0" collapsed="false">
      <c r="A1703" s="17"/>
      <c r="B1703" s="18"/>
      <c r="C1703" s="19"/>
      <c r="D1703" s="19"/>
      <c r="E1703" s="18"/>
      <c r="F1703" s="18"/>
      <c r="G1703" s="13" t="str">
        <f aca="false">IF(F1703="","",IFERROR(INDEX(Metas!$B$5:$B$54,MATCH(F1703,Metas!$A$5:$A$54,0)),"⚠ ID de meta no existe"))</f>
        <v/>
      </c>
      <c r="H1703" s="16" t="str">
        <f aca="false">IF(OR(C1703="",D1703=""),"",ROUND(MOD(D1703-C1703,1)*24,2))</f>
        <v/>
      </c>
      <c r="I1703" s="18"/>
      <c r="J1703" s="18"/>
      <c r="K1703" s="18"/>
    </row>
    <row r="1704" customFormat="false" ht="15" hidden="false" customHeight="false" outlineLevel="0" collapsed="false">
      <c r="A1704" s="17"/>
      <c r="B1704" s="18"/>
      <c r="C1704" s="19"/>
      <c r="D1704" s="19"/>
      <c r="E1704" s="18"/>
      <c r="F1704" s="18"/>
      <c r="G1704" s="13" t="str">
        <f aca="false">IF(F1704="","",IFERROR(INDEX(Metas!$B$5:$B$54,MATCH(F1704,Metas!$A$5:$A$54,0)),"⚠ ID de meta no existe"))</f>
        <v/>
      </c>
      <c r="H1704" s="16" t="str">
        <f aca="false">IF(OR(C1704="",D1704=""),"",ROUND(MOD(D1704-C1704,1)*24,2))</f>
        <v/>
      </c>
      <c r="I1704" s="18"/>
      <c r="J1704" s="18"/>
      <c r="K1704" s="18"/>
    </row>
    <row r="1705" customFormat="false" ht="15" hidden="false" customHeight="false" outlineLevel="0" collapsed="false">
      <c r="A1705" s="17"/>
      <c r="B1705" s="18"/>
      <c r="C1705" s="19"/>
      <c r="D1705" s="19"/>
      <c r="E1705" s="18"/>
      <c r="F1705" s="18"/>
      <c r="G1705" s="13" t="str">
        <f aca="false">IF(F1705="","",IFERROR(INDEX(Metas!$B$5:$B$54,MATCH(F1705,Metas!$A$5:$A$54,0)),"⚠ ID de meta no existe"))</f>
        <v/>
      </c>
      <c r="H1705" s="16" t="str">
        <f aca="false">IF(OR(C1705="",D1705=""),"",ROUND(MOD(D1705-C1705,1)*24,2))</f>
        <v/>
      </c>
      <c r="I1705" s="18"/>
      <c r="J1705" s="18"/>
      <c r="K1705" s="18"/>
    </row>
    <row r="1706" customFormat="false" ht="15" hidden="false" customHeight="false" outlineLevel="0" collapsed="false">
      <c r="A1706" s="17"/>
      <c r="B1706" s="18"/>
      <c r="C1706" s="19"/>
      <c r="D1706" s="19"/>
      <c r="E1706" s="18"/>
      <c r="F1706" s="18"/>
      <c r="G1706" s="13" t="str">
        <f aca="false">IF(F1706="","",IFERROR(INDEX(Metas!$B$5:$B$54,MATCH(F1706,Metas!$A$5:$A$54,0)),"⚠ ID de meta no existe"))</f>
        <v/>
      </c>
      <c r="H1706" s="16" t="str">
        <f aca="false">IF(OR(C1706="",D1706=""),"",ROUND(MOD(D1706-C1706,1)*24,2))</f>
        <v/>
      </c>
      <c r="I1706" s="18"/>
      <c r="J1706" s="18"/>
      <c r="K1706" s="18"/>
    </row>
    <row r="1707" customFormat="false" ht="15" hidden="false" customHeight="false" outlineLevel="0" collapsed="false">
      <c r="A1707" s="17"/>
      <c r="B1707" s="18"/>
      <c r="C1707" s="19"/>
      <c r="D1707" s="19"/>
      <c r="E1707" s="18"/>
      <c r="F1707" s="18"/>
      <c r="G1707" s="13" t="str">
        <f aca="false">IF(F1707="","",IFERROR(INDEX(Metas!$B$5:$B$54,MATCH(F1707,Metas!$A$5:$A$54,0)),"⚠ ID de meta no existe"))</f>
        <v/>
      </c>
      <c r="H1707" s="16" t="str">
        <f aca="false">IF(OR(C1707="",D1707=""),"",ROUND(MOD(D1707-C1707,1)*24,2))</f>
        <v/>
      </c>
      <c r="I1707" s="18"/>
      <c r="J1707" s="18"/>
      <c r="K1707" s="18"/>
    </row>
    <row r="1708" customFormat="false" ht="15" hidden="false" customHeight="false" outlineLevel="0" collapsed="false">
      <c r="A1708" s="17"/>
      <c r="B1708" s="18"/>
      <c r="C1708" s="19"/>
      <c r="D1708" s="19"/>
      <c r="E1708" s="18"/>
      <c r="F1708" s="18"/>
      <c r="G1708" s="13" t="str">
        <f aca="false">IF(F1708="","",IFERROR(INDEX(Metas!$B$5:$B$54,MATCH(F1708,Metas!$A$5:$A$54,0)),"⚠ ID de meta no existe"))</f>
        <v/>
      </c>
      <c r="H1708" s="16" t="str">
        <f aca="false">IF(OR(C1708="",D1708=""),"",ROUND(MOD(D1708-C1708,1)*24,2))</f>
        <v/>
      </c>
      <c r="I1708" s="18"/>
      <c r="J1708" s="18"/>
      <c r="K1708" s="18"/>
    </row>
    <row r="1709" customFormat="false" ht="15" hidden="false" customHeight="false" outlineLevel="0" collapsed="false">
      <c r="A1709" s="17"/>
      <c r="B1709" s="18"/>
      <c r="C1709" s="19"/>
      <c r="D1709" s="19"/>
      <c r="E1709" s="18"/>
      <c r="F1709" s="18"/>
      <c r="G1709" s="13" t="str">
        <f aca="false">IF(F1709="","",IFERROR(INDEX(Metas!$B$5:$B$54,MATCH(F1709,Metas!$A$5:$A$54,0)),"⚠ ID de meta no existe"))</f>
        <v/>
      </c>
      <c r="H1709" s="16" t="str">
        <f aca="false">IF(OR(C1709="",D1709=""),"",ROUND(MOD(D1709-C1709,1)*24,2))</f>
        <v/>
      </c>
      <c r="I1709" s="18"/>
      <c r="J1709" s="18"/>
      <c r="K1709" s="18"/>
    </row>
    <row r="1710" customFormat="false" ht="15" hidden="false" customHeight="false" outlineLevel="0" collapsed="false">
      <c r="A1710" s="17"/>
      <c r="B1710" s="18"/>
      <c r="C1710" s="19"/>
      <c r="D1710" s="19"/>
      <c r="E1710" s="18"/>
      <c r="F1710" s="18"/>
      <c r="G1710" s="13" t="str">
        <f aca="false">IF(F1710="","",IFERROR(INDEX(Metas!$B$5:$B$54,MATCH(F1710,Metas!$A$5:$A$54,0)),"⚠ ID de meta no existe"))</f>
        <v/>
      </c>
      <c r="H1710" s="16" t="str">
        <f aca="false">IF(OR(C1710="",D1710=""),"",ROUND(MOD(D1710-C1710,1)*24,2))</f>
        <v/>
      </c>
      <c r="I1710" s="18"/>
      <c r="J1710" s="18"/>
      <c r="K1710" s="18"/>
    </row>
    <row r="1711" customFormat="false" ht="15" hidden="false" customHeight="false" outlineLevel="0" collapsed="false">
      <c r="A1711" s="17"/>
      <c r="B1711" s="18"/>
      <c r="C1711" s="19"/>
      <c r="D1711" s="19"/>
      <c r="E1711" s="18"/>
      <c r="F1711" s="18"/>
      <c r="G1711" s="13" t="str">
        <f aca="false">IF(F1711="","",IFERROR(INDEX(Metas!$B$5:$B$54,MATCH(F1711,Metas!$A$5:$A$54,0)),"⚠ ID de meta no existe"))</f>
        <v/>
      </c>
      <c r="H1711" s="16" t="str">
        <f aca="false">IF(OR(C1711="",D1711=""),"",ROUND(MOD(D1711-C1711,1)*24,2))</f>
        <v/>
      </c>
      <c r="I1711" s="18"/>
      <c r="J1711" s="18"/>
      <c r="K1711" s="18"/>
    </row>
    <row r="1712" customFormat="false" ht="15" hidden="false" customHeight="false" outlineLevel="0" collapsed="false">
      <c r="A1712" s="17"/>
      <c r="B1712" s="18"/>
      <c r="C1712" s="19"/>
      <c r="D1712" s="19"/>
      <c r="E1712" s="18"/>
      <c r="F1712" s="18"/>
      <c r="G1712" s="13" t="str">
        <f aca="false">IF(F1712="","",IFERROR(INDEX(Metas!$B$5:$B$54,MATCH(F1712,Metas!$A$5:$A$54,0)),"⚠ ID de meta no existe"))</f>
        <v/>
      </c>
      <c r="H1712" s="16" t="str">
        <f aca="false">IF(OR(C1712="",D1712=""),"",ROUND(MOD(D1712-C1712,1)*24,2))</f>
        <v/>
      </c>
      <c r="I1712" s="18"/>
      <c r="J1712" s="18"/>
      <c r="K1712" s="18"/>
    </row>
    <row r="1713" customFormat="false" ht="15" hidden="false" customHeight="false" outlineLevel="0" collapsed="false">
      <c r="A1713" s="17"/>
      <c r="B1713" s="18"/>
      <c r="C1713" s="19"/>
      <c r="D1713" s="19"/>
      <c r="E1713" s="18"/>
      <c r="F1713" s="18"/>
      <c r="G1713" s="13" t="str">
        <f aca="false">IF(F1713="","",IFERROR(INDEX(Metas!$B$5:$B$54,MATCH(F1713,Metas!$A$5:$A$54,0)),"⚠ ID de meta no existe"))</f>
        <v/>
      </c>
      <c r="H1713" s="16" t="str">
        <f aca="false">IF(OR(C1713="",D1713=""),"",ROUND(MOD(D1713-C1713,1)*24,2))</f>
        <v/>
      </c>
      <c r="I1713" s="18"/>
      <c r="J1713" s="18"/>
      <c r="K1713" s="18"/>
    </row>
    <row r="1714" customFormat="false" ht="15" hidden="false" customHeight="false" outlineLevel="0" collapsed="false">
      <c r="A1714" s="17"/>
      <c r="B1714" s="18"/>
      <c r="C1714" s="19"/>
      <c r="D1714" s="19"/>
      <c r="E1714" s="18"/>
      <c r="F1714" s="18"/>
      <c r="G1714" s="13" t="str">
        <f aca="false">IF(F1714="","",IFERROR(INDEX(Metas!$B$5:$B$54,MATCH(F1714,Metas!$A$5:$A$54,0)),"⚠ ID de meta no existe"))</f>
        <v/>
      </c>
      <c r="H1714" s="16" t="str">
        <f aca="false">IF(OR(C1714="",D1714=""),"",ROUND(MOD(D1714-C1714,1)*24,2))</f>
        <v/>
      </c>
      <c r="I1714" s="18"/>
      <c r="J1714" s="18"/>
      <c r="K1714" s="18"/>
    </row>
    <row r="1715" customFormat="false" ht="15" hidden="false" customHeight="false" outlineLevel="0" collapsed="false">
      <c r="A1715" s="17"/>
      <c r="B1715" s="18"/>
      <c r="C1715" s="19"/>
      <c r="D1715" s="19"/>
      <c r="E1715" s="18"/>
      <c r="F1715" s="18"/>
      <c r="G1715" s="13" t="str">
        <f aca="false">IF(F1715="","",IFERROR(INDEX(Metas!$B$5:$B$54,MATCH(F1715,Metas!$A$5:$A$54,0)),"⚠ ID de meta no existe"))</f>
        <v/>
      </c>
      <c r="H1715" s="16" t="str">
        <f aca="false">IF(OR(C1715="",D1715=""),"",ROUND(MOD(D1715-C1715,1)*24,2))</f>
        <v/>
      </c>
      <c r="I1715" s="18"/>
      <c r="J1715" s="18"/>
      <c r="K1715" s="18"/>
    </row>
    <row r="1716" customFormat="false" ht="15" hidden="false" customHeight="false" outlineLevel="0" collapsed="false">
      <c r="A1716" s="17"/>
      <c r="B1716" s="18"/>
      <c r="C1716" s="19"/>
      <c r="D1716" s="19"/>
      <c r="E1716" s="18"/>
      <c r="F1716" s="18"/>
      <c r="G1716" s="13" t="str">
        <f aca="false">IF(F1716="","",IFERROR(INDEX(Metas!$B$5:$B$54,MATCH(F1716,Metas!$A$5:$A$54,0)),"⚠ ID de meta no existe"))</f>
        <v/>
      </c>
      <c r="H1716" s="16" t="str">
        <f aca="false">IF(OR(C1716="",D1716=""),"",ROUND(MOD(D1716-C1716,1)*24,2))</f>
        <v/>
      </c>
      <c r="I1716" s="18"/>
      <c r="J1716" s="18"/>
      <c r="K1716" s="18"/>
    </row>
    <row r="1717" customFormat="false" ht="15" hidden="false" customHeight="false" outlineLevel="0" collapsed="false">
      <c r="A1717" s="17"/>
      <c r="B1717" s="18"/>
      <c r="C1717" s="19"/>
      <c r="D1717" s="19"/>
      <c r="E1717" s="18"/>
      <c r="F1717" s="18"/>
      <c r="G1717" s="13" t="str">
        <f aca="false">IF(F1717="","",IFERROR(INDEX(Metas!$B$5:$B$54,MATCH(F1717,Metas!$A$5:$A$54,0)),"⚠ ID de meta no existe"))</f>
        <v/>
      </c>
      <c r="H1717" s="16" t="str">
        <f aca="false">IF(OR(C1717="",D1717=""),"",ROUND(MOD(D1717-C1717,1)*24,2))</f>
        <v/>
      </c>
      <c r="I1717" s="18"/>
      <c r="J1717" s="18"/>
      <c r="K1717" s="18"/>
    </row>
    <row r="1718" customFormat="false" ht="15" hidden="false" customHeight="false" outlineLevel="0" collapsed="false">
      <c r="A1718" s="17"/>
      <c r="B1718" s="18"/>
      <c r="C1718" s="19"/>
      <c r="D1718" s="19"/>
      <c r="E1718" s="18"/>
      <c r="F1718" s="18"/>
      <c r="G1718" s="13" t="str">
        <f aca="false">IF(F1718="","",IFERROR(INDEX(Metas!$B$5:$B$54,MATCH(F1718,Metas!$A$5:$A$54,0)),"⚠ ID de meta no existe"))</f>
        <v/>
      </c>
      <c r="H1718" s="16" t="str">
        <f aca="false">IF(OR(C1718="",D1718=""),"",ROUND(MOD(D1718-C1718,1)*24,2))</f>
        <v/>
      </c>
      <c r="I1718" s="18"/>
      <c r="J1718" s="18"/>
      <c r="K1718" s="18"/>
    </row>
    <row r="1719" customFormat="false" ht="15" hidden="false" customHeight="false" outlineLevel="0" collapsed="false">
      <c r="A1719" s="17"/>
      <c r="B1719" s="18"/>
      <c r="C1719" s="19"/>
      <c r="D1719" s="19"/>
      <c r="E1719" s="18"/>
      <c r="F1719" s="18"/>
      <c r="G1719" s="13" t="str">
        <f aca="false">IF(F1719="","",IFERROR(INDEX(Metas!$B$5:$B$54,MATCH(F1719,Metas!$A$5:$A$54,0)),"⚠ ID de meta no existe"))</f>
        <v/>
      </c>
      <c r="H1719" s="16" t="str">
        <f aca="false">IF(OR(C1719="",D1719=""),"",ROUND(MOD(D1719-C1719,1)*24,2))</f>
        <v/>
      </c>
      <c r="I1719" s="18"/>
      <c r="J1719" s="18"/>
      <c r="K1719" s="18"/>
    </row>
    <row r="1720" customFormat="false" ht="15" hidden="false" customHeight="false" outlineLevel="0" collapsed="false">
      <c r="A1720" s="17"/>
      <c r="B1720" s="18"/>
      <c r="C1720" s="19"/>
      <c r="D1720" s="19"/>
      <c r="E1720" s="18"/>
      <c r="F1720" s="18"/>
      <c r="G1720" s="13" t="str">
        <f aca="false">IF(F1720="","",IFERROR(INDEX(Metas!$B$5:$B$54,MATCH(F1720,Metas!$A$5:$A$54,0)),"⚠ ID de meta no existe"))</f>
        <v/>
      </c>
      <c r="H1720" s="16" t="str">
        <f aca="false">IF(OR(C1720="",D1720=""),"",ROUND(MOD(D1720-C1720,1)*24,2))</f>
        <v/>
      </c>
      <c r="I1720" s="18"/>
      <c r="J1720" s="18"/>
      <c r="K1720" s="18"/>
    </row>
    <row r="1721" customFormat="false" ht="15" hidden="false" customHeight="false" outlineLevel="0" collapsed="false">
      <c r="A1721" s="17"/>
      <c r="B1721" s="18"/>
      <c r="C1721" s="19"/>
      <c r="D1721" s="19"/>
      <c r="E1721" s="18"/>
      <c r="F1721" s="18"/>
      <c r="G1721" s="13" t="str">
        <f aca="false">IF(F1721="","",IFERROR(INDEX(Metas!$B$5:$B$54,MATCH(F1721,Metas!$A$5:$A$54,0)),"⚠ ID de meta no existe"))</f>
        <v/>
      </c>
      <c r="H1721" s="16" t="str">
        <f aca="false">IF(OR(C1721="",D1721=""),"",ROUND(MOD(D1721-C1721,1)*24,2))</f>
        <v/>
      </c>
      <c r="I1721" s="18"/>
      <c r="J1721" s="18"/>
      <c r="K1721" s="18"/>
    </row>
    <row r="1722" customFormat="false" ht="15" hidden="false" customHeight="false" outlineLevel="0" collapsed="false">
      <c r="A1722" s="17"/>
      <c r="B1722" s="18"/>
      <c r="C1722" s="19"/>
      <c r="D1722" s="19"/>
      <c r="E1722" s="18"/>
      <c r="F1722" s="18"/>
      <c r="G1722" s="13" t="str">
        <f aca="false">IF(F1722="","",IFERROR(INDEX(Metas!$B$5:$B$54,MATCH(F1722,Metas!$A$5:$A$54,0)),"⚠ ID de meta no existe"))</f>
        <v/>
      </c>
      <c r="H1722" s="16" t="str">
        <f aca="false">IF(OR(C1722="",D1722=""),"",ROUND(MOD(D1722-C1722,1)*24,2))</f>
        <v/>
      </c>
      <c r="I1722" s="18"/>
      <c r="J1722" s="18"/>
      <c r="K1722" s="18"/>
    </row>
    <row r="1723" customFormat="false" ht="15" hidden="false" customHeight="false" outlineLevel="0" collapsed="false">
      <c r="A1723" s="17"/>
      <c r="B1723" s="18"/>
      <c r="C1723" s="19"/>
      <c r="D1723" s="19"/>
      <c r="E1723" s="18"/>
      <c r="F1723" s="18"/>
      <c r="G1723" s="13" t="str">
        <f aca="false">IF(F1723="","",IFERROR(INDEX(Metas!$B$5:$B$54,MATCH(F1723,Metas!$A$5:$A$54,0)),"⚠ ID de meta no existe"))</f>
        <v/>
      </c>
      <c r="H1723" s="16" t="str">
        <f aca="false">IF(OR(C1723="",D1723=""),"",ROUND(MOD(D1723-C1723,1)*24,2))</f>
        <v/>
      </c>
      <c r="I1723" s="18"/>
      <c r="J1723" s="18"/>
      <c r="K1723" s="18"/>
    </row>
    <row r="1724" customFormat="false" ht="15" hidden="false" customHeight="false" outlineLevel="0" collapsed="false">
      <c r="A1724" s="17"/>
      <c r="B1724" s="18"/>
      <c r="C1724" s="19"/>
      <c r="D1724" s="19"/>
      <c r="E1724" s="18"/>
      <c r="F1724" s="18"/>
      <c r="G1724" s="13" t="str">
        <f aca="false">IF(F1724="","",IFERROR(INDEX(Metas!$B$5:$B$54,MATCH(F1724,Metas!$A$5:$A$54,0)),"⚠ ID de meta no existe"))</f>
        <v/>
      </c>
      <c r="H1724" s="16" t="str">
        <f aca="false">IF(OR(C1724="",D1724=""),"",ROUND(MOD(D1724-C1724,1)*24,2))</f>
        <v/>
      </c>
      <c r="I1724" s="18"/>
      <c r="J1724" s="18"/>
      <c r="K1724" s="18"/>
    </row>
    <row r="1725" customFormat="false" ht="15" hidden="false" customHeight="false" outlineLevel="0" collapsed="false">
      <c r="A1725" s="17"/>
      <c r="B1725" s="18"/>
      <c r="C1725" s="19"/>
      <c r="D1725" s="19"/>
      <c r="E1725" s="18"/>
      <c r="F1725" s="18"/>
      <c r="G1725" s="13" t="str">
        <f aca="false">IF(F1725="","",IFERROR(INDEX(Metas!$B$5:$B$54,MATCH(F1725,Metas!$A$5:$A$54,0)),"⚠ ID de meta no existe"))</f>
        <v/>
      </c>
      <c r="H1725" s="16" t="str">
        <f aca="false">IF(OR(C1725="",D1725=""),"",ROUND(MOD(D1725-C1725,1)*24,2))</f>
        <v/>
      </c>
      <c r="I1725" s="18"/>
      <c r="J1725" s="18"/>
      <c r="K1725" s="18"/>
    </row>
    <row r="1726" customFormat="false" ht="15" hidden="false" customHeight="false" outlineLevel="0" collapsed="false">
      <c r="A1726" s="17"/>
      <c r="B1726" s="18"/>
      <c r="C1726" s="19"/>
      <c r="D1726" s="19"/>
      <c r="E1726" s="18"/>
      <c r="F1726" s="18"/>
      <c r="G1726" s="13" t="str">
        <f aca="false">IF(F1726="","",IFERROR(INDEX(Metas!$B$5:$B$54,MATCH(F1726,Metas!$A$5:$A$54,0)),"⚠ ID de meta no existe"))</f>
        <v/>
      </c>
      <c r="H1726" s="16" t="str">
        <f aca="false">IF(OR(C1726="",D1726=""),"",ROUND(MOD(D1726-C1726,1)*24,2))</f>
        <v/>
      </c>
      <c r="I1726" s="18"/>
      <c r="J1726" s="18"/>
      <c r="K1726" s="18"/>
    </row>
    <row r="1727" customFormat="false" ht="15" hidden="false" customHeight="false" outlineLevel="0" collapsed="false">
      <c r="A1727" s="17"/>
      <c r="B1727" s="18"/>
      <c r="C1727" s="19"/>
      <c r="D1727" s="19"/>
      <c r="E1727" s="18"/>
      <c r="F1727" s="18"/>
      <c r="G1727" s="13" t="str">
        <f aca="false">IF(F1727="","",IFERROR(INDEX(Metas!$B$5:$B$54,MATCH(F1727,Metas!$A$5:$A$54,0)),"⚠ ID de meta no existe"))</f>
        <v/>
      </c>
      <c r="H1727" s="16" t="str">
        <f aca="false">IF(OR(C1727="",D1727=""),"",ROUND(MOD(D1727-C1727,1)*24,2))</f>
        <v/>
      </c>
      <c r="I1727" s="18"/>
      <c r="J1727" s="18"/>
      <c r="K1727" s="18"/>
    </row>
    <row r="1728" customFormat="false" ht="15" hidden="false" customHeight="false" outlineLevel="0" collapsed="false">
      <c r="A1728" s="17"/>
      <c r="B1728" s="18"/>
      <c r="C1728" s="19"/>
      <c r="D1728" s="19"/>
      <c r="E1728" s="18"/>
      <c r="F1728" s="18"/>
      <c r="G1728" s="13" t="str">
        <f aca="false">IF(F1728="","",IFERROR(INDEX(Metas!$B$5:$B$54,MATCH(F1728,Metas!$A$5:$A$54,0)),"⚠ ID de meta no existe"))</f>
        <v/>
      </c>
      <c r="H1728" s="16" t="str">
        <f aca="false">IF(OR(C1728="",D1728=""),"",ROUND(MOD(D1728-C1728,1)*24,2))</f>
        <v/>
      </c>
      <c r="I1728" s="18"/>
      <c r="J1728" s="18"/>
      <c r="K1728" s="18"/>
    </row>
    <row r="1729" customFormat="false" ht="15" hidden="false" customHeight="false" outlineLevel="0" collapsed="false">
      <c r="A1729" s="17"/>
      <c r="B1729" s="18"/>
      <c r="C1729" s="19"/>
      <c r="D1729" s="19"/>
      <c r="E1729" s="18"/>
      <c r="F1729" s="18"/>
      <c r="G1729" s="13" t="str">
        <f aca="false">IF(F1729="","",IFERROR(INDEX(Metas!$B$5:$B$54,MATCH(F1729,Metas!$A$5:$A$54,0)),"⚠ ID de meta no existe"))</f>
        <v/>
      </c>
      <c r="H1729" s="16" t="str">
        <f aca="false">IF(OR(C1729="",D1729=""),"",ROUND(MOD(D1729-C1729,1)*24,2))</f>
        <v/>
      </c>
      <c r="I1729" s="18"/>
      <c r="J1729" s="18"/>
      <c r="K1729" s="18"/>
    </row>
    <row r="1730" customFormat="false" ht="15" hidden="false" customHeight="false" outlineLevel="0" collapsed="false">
      <c r="A1730" s="17"/>
      <c r="B1730" s="18"/>
      <c r="C1730" s="19"/>
      <c r="D1730" s="19"/>
      <c r="E1730" s="18"/>
      <c r="F1730" s="18"/>
      <c r="G1730" s="13" t="str">
        <f aca="false">IF(F1730="","",IFERROR(INDEX(Metas!$B$5:$B$54,MATCH(F1730,Metas!$A$5:$A$54,0)),"⚠ ID de meta no existe"))</f>
        <v/>
      </c>
      <c r="H1730" s="16" t="str">
        <f aca="false">IF(OR(C1730="",D1730=""),"",ROUND(MOD(D1730-C1730,1)*24,2))</f>
        <v/>
      </c>
      <c r="I1730" s="18"/>
      <c r="J1730" s="18"/>
      <c r="K1730" s="18"/>
    </row>
    <row r="1731" customFormat="false" ht="15" hidden="false" customHeight="false" outlineLevel="0" collapsed="false">
      <c r="A1731" s="17"/>
      <c r="B1731" s="18"/>
      <c r="C1731" s="19"/>
      <c r="D1731" s="19"/>
      <c r="E1731" s="18"/>
      <c r="F1731" s="18"/>
      <c r="G1731" s="13" t="str">
        <f aca="false">IF(F1731="","",IFERROR(INDEX(Metas!$B$5:$B$54,MATCH(F1731,Metas!$A$5:$A$54,0)),"⚠ ID de meta no existe"))</f>
        <v/>
      </c>
      <c r="H1731" s="16" t="str">
        <f aca="false">IF(OR(C1731="",D1731=""),"",ROUND(MOD(D1731-C1731,1)*24,2))</f>
        <v/>
      </c>
      <c r="I1731" s="18"/>
      <c r="J1731" s="18"/>
      <c r="K1731" s="18"/>
    </row>
    <row r="1732" customFormat="false" ht="15" hidden="false" customHeight="false" outlineLevel="0" collapsed="false">
      <c r="A1732" s="17"/>
      <c r="B1732" s="18"/>
      <c r="C1732" s="19"/>
      <c r="D1732" s="19"/>
      <c r="E1732" s="18"/>
      <c r="F1732" s="18"/>
      <c r="G1732" s="13" t="str">
        <f aca="false">IF(F1732="","",IFERROR(INDEX(Metas!$B$5:$B$54,MATCH(F1732,Metas!$A$5:$A$54,0)),"⚠ ID de meta no existe"))</f>
        <v/>
      </c>
      <c r="H1732" s="16" t="str">
        <f aca="false">IF(OR(C1732="",D1732=""),"",ROUND(MOD(D1732-C1732,1)*24,2))</f>
        <v/>
      </c>
      <c r="I1732" s="18"/>
      <c r="J1732" s="18"/>
      <c r="K1732" s="18"/>
    </row>
    <row r="1733" customFormat="false" ht="15" hidden="false" customHeight="false" outlineLevel="0" collapsed="false">
      <c r="A1733" s="17"/>
      <c r="B1733" s="18"/>
      <c r="C1733" s="19"/>
      <c r="D1733" s="19"/>
      <c r="E1733" s="18"/>
      <c r="F1733" s="18"/>
      <c r="G1733" s="13" t="str">
        <f aca="false">IF(F1733="","",IFERROR(INDEX(Metas!$B$5:$B$54,MATCH(F1733,Metas!$A$5:$A$54,0)),"⚠ ID de meta no existe"))</f>
        <v/>
      </c>
      <c r="H1733" s="16" t="str">
        <f aca="false">IF(OR(C1733="",D1733=""),"",ROUND(MOD(D1733-C1733,1)*24,2))</f>
        <v/>
      </c>
      <c r="I1733" s="18"/>
      <c r="J1733" s="18"/>
      <c r="K1733" s="18"/>
    </row>
    <row r="1734" customFormat="false" ht="15" hidden="false" customHeight="false" outlineLevel="0" collapsed="false">
      <c r="A1734" s="17"/>
      <c r="B1734" s="18"/>
      <c r="C1734" s="19"/>
      <c r="D1734" s="19"/>
      <c r="E1734" s="18"/>
      <c r="F1734" s="18"/>
      <c r="G1734" s="13" t="str">
        <f aca="false">IF(F1734="","",IFERROR(INDEX(Metas!$B$5:$B$54,MATCH(F1734,Metas!$A$5:$A$54,0)),"⚠ ID de meta no existe"))</f>
        <v/>
      </c>
      <c r="H1734" s="16" t="str">
        <f aca="false">IF(OR(C1734="",D1734=""),"",ROUND(MOD(D1734-C1734,1)*24,2))</f>
        <v/>
      </c>
      <c r="I1734" s="18"/>
      <c r="J1734" s="18"/>
      <c r="K1734" s="18"/>
    </row>
    <row r="1735" customFormat="false" ht="15" hidden="false" customHeight="false" outlineLevel="0" collapsed="false">
      <c r="A1735" s="17"/>
      <c r="B1735" s="18"/>
      <c r="C1735" s="19"/>
      <c r="D1735" s="19"/>
      <c r="E1735" s="18"/>
      <c r="F1735" s="18"/>
      <c r="G1735" s="13" t="str">
        <f aca="false">IF(F1735="","",IFERROR(INDEX(Metas!$B$5:$B$54,MATCH(F1735,Metas!$A$5:$A$54,0)),"⚠ ID de meta no existe"))</f>
        <v/>
      </c>
      <c r="H1735" s="16" t="str">
        <f aca="false">IF(OR(C1735="",D1735=""),"",ROUND(MOD(D1735-C1735,1)*24,2))</f>
        <v/>
      </c>
      <c r="I1735" s="18"/>
      <c r="J1735" s="18"/>
      <c r="K1735" s="18"/>
    </row>
    <row r="1736" customFormat="false" ht="15" hidden="false" customHeight="false" outlineLevel="0" collapsed="false">
      <c r="A1736" s="17"/>
      <c r="B1736" s="18"/>
      <c r="C1736" s="19"/>
      <c r="D1736" s="19"/>
      <c r="E1736" s="18"/>
      <c r="F1736" s="18"/>
      <c r="G1736" s="13" t="str">
        <f aca="false">IF(F1736="","",IFERROR(INDEX(Metas!$B$5:$B$54,MATCH(F1736,Metas!$A$5:$A$54,0)),"⚠ ID de meta no existe"))</f>
        <v/>
      </c>
      <c r="H1736" s="16" t="str">
        <f aca="false">IF(OR(C1736="",D1736=""),"",ROUND(MOD(D1736-C1736,1)*24,2))</f>
        <v/>
      </c>
      <c r="I1736" s="18"/>
      <c r="J1736" s="18"/>
      <c r="K1736" s="18"/>
    </row>
    <row r="1737" customFormat="false" ht="15" hidden="false" customHeight="false" outlineLevel="0" collapsed="false">
      <c r="A1737" s="17"/>
      <c r="B1737" s="18"/>
      <c r="C1737" s="19"/>
      <c r="D1737" s="19"/>
      <c r="E1737" s="18"/>
      <c r="F1737" s="18"/>
      <c r="G1737" s="13" t="str">
        <f aca="false">IF(F1737="","",IFERROR(INDEX(Metas!$B$5:$B$54,MATCH(F1737,Metas!$A$5:$A$54,0)),"⚠ ID de meta no existe"))</f>
        <v/>
      </c>
      <c r="H1737" s="16" t="str">
        <f aca="false">IF(OR(C1737="",D1737=""),"",ROUND(MOD(D1737-C1737,1)*24,2))</f>
        <v/>
      </c>
      <c r="I1737" s="18"/>
      <c r="J1737" s="18"/>
      <c r="K1737" s="18"/>
    </row>
    <row r="1738" customFormat="false" ht="15" hidden="false" customHeight="false" outlineLevel="0" collapsed="false">
      <c r="A1738" s="17"/>
      <c r="B1738" s="18"/>
      <c r="C1738" s="19"/>
      <c r="D1738" s="19"/>
      <c r="E1738" s="18"/>
      <c r="F1738" s="18"/>
      <c r="G1738" s="13" t="str">
        <f aca="false">IF(F1738="","",IFERROR(INDEX(Metas!$B$5:$B$54,MATCH(F1738,Metas!$A$5:$A$54,0)),"⚠ ID de meta no existe"))</f>
        <v/>
      </c>
      <c r="H1738" s="16" t="str">
        <f aca="false">IF(OR(C1738="",D1738=""),"",ROUND(MOD(D1738-C1738,1)*24,2))</f>
        <v/>
      </c>
      <c r="I1738" s="18"/>
      <c r="J1738" s="18"/>
      <c r="K1738" s="18"/>
    </row>
    <row r="1739" customFormat="false" ht="15" hidden="false" customHeight="false" outlineLevel="0" collapsed="false">
      <c r="A1739" s="17"/>
      <c r="B1739" s="18"/>
      <c r="C1739" s="19"/>
      <c r="D1739" s="19"/>
      <c r="E1739" s="18"/>
      <c r="F1739" s="18"/>
      <c r="G1739" s="13" t="str">
        <f aca="false">IF(F1739="","",IFERROR(INDEX(Metas!$B$5:$B$54,MATCH(F1739,Metas!$A$5:$A$54,0)),"⚠ ID de meta no existe"))</f>
        <v/>
      </c>
      <c r="H1739" s="16" t="str">
        <f aca="false">IF(OR(C1739="",D1739=""),"",ROUND(MOD(D1739-C1739,1)*24,2))</f>
        <v/>
      </c>
      <c r="I1739" s="18"/>
      <c r="J1739" s="18"/>
      <c r="K1739" s="18"/>
    </row>
    <row r="1740" customFormat="false" ht="15" hidden="false" customHeight="false" outlineLevel="0" collapsed="false">
      <c r="A1740" s="17"/>
      <c r="B1740" s="18"/>
      <c r="C1740" s="19"/>
      <c r="D1740" s="19"/>
      <c r="E1740" s="18"/>
      <c r="F1740" s="18"/>
      <c r="G1740" s="13" t="str">
        <f aca="false">IF(F1740="","",IFERROR(INDEX(Metas!$B$5:$B$54,MATCH(F1740,Metas!$A$5:$A$54,0)),"⚠ ID de meta no existe"))</f>
        <v/>
      </c>
      <c r="H1740" s="16" t="str">
        <f aca="false">IF(OR(C1740="",D1740=""),"",ROUND(MOD(D1740-C1740,1)*24,2))</f>
        <v/>
      </c>
      <c r="I1740" s="18"/>
      <c r="J1740" s="18"/>
      <c r="K1740" s="18"/>
    </row>
    <row r="1741" customFormat="false" ht="15" hidden="false" customHeight="false" outlineLevel="0" collapsed="false">
      <c r="A1741" s="17"/>
      <c r="B1741" s="18"/>
      <c r="C1741" s="19"/>
      <c r="D1741" s="19"/>
      <c r="E1741" s="18"/>
      <c r="F1741" s="18"/>
      <c r="G1741" s="13" t="str">
        <f aca="false">IF(F1741="","",IFERROR(INDEX(Metas!$B$5:$B$54,MATCH(F1741,Metas!$A$5:$A$54,0)),"⚠ ID de meta no existe"))</f>
        <v/>
      </c>
      <c r="H1741" s="16" t="str">
        <f aca="false">IF(OR(C1741="",D1741=""),"",ROUND(MOD(D1741-C1741,1)*24,2))</f>
        <v/>
      </c>
      <c r="I1741" s="18"/>
      <c r="J1741" s="18"/>
      <c r="K1741" s="18"/>
    </row>
    <row r="1742" customFormat="false" ht="15" hidden="false" customHeight="false" outlineLevel="0" collapsed="false">
      <c r="A1742" s="17"/>
      <c r="B1742" s="18"/>
      <c r="C1742" s="19"/>
      <c r="D1742" s="19"/>
      <c r="E1742" s="18"/>
      <c r="F1742" s="18"/>
      <c r="G1742" s="13" t="str">
        <f aca="false">IF(F1742="","",IFERROR(INDEX(Metas!$B$5:$B$54,MATCH(F1742,Metas!$A$5:$A$54,0)),"⚠ ID de meta no existe"))</f>
        <v/>
      </c>
      <c r="H1742" s="16" t="str">
        <f aca="false">IF(OR(C1742="",D1742=""),"",ROUND(MOD(D1742-C1742,1)*24,2))</f>
        <v/>
      </c>
      <c r="I1742" s="18"/>
      <c r="J1742" s="18"/>
      <c r="K1742" s="18"/>
    </row>
    <row r="1743" customFormat="false" ht="15" hidden="false" customHeight="false" outlineLevel="0" collapsed="false">
      <c r="A1743" s="17"/>
      <c r="B1743" s="18"/>
      <c r="C1743" s="19"/>
      <c r="D1743" s="19"/>
      <c r="E1743" s="18"/>
      <c r="F1743" s="18"/>
      <c r="G1743" s="13" t="str">
        <f aca="false">IF(F1743="","",IFERROR(INDEX(Metas!$B$5:$B$54,MATCH(F1743,Metas!$A$5:$A$54,0)),"⚠ ID de meta no existe"))</f>
        <v/>
      </c>
      <c r="H1743" s="16" t="str">
        <f aca="false">IF(OR(C1743="",D1743=""),"",ROUND(MOD(D1743-C1743,1)*24,2))</f>
        <v/>
      </c>
      <c r="I1743" s="18"/>
      <c r="J1743" s="18"/>
      <c r="K1743" s="18"/>
    </row>
    <row r="1744" customFormat="false" ht="15" hidden="false" customHeight="false" outlineLevel="0" collapsed="false">
      <c r="A1744" s="17"/>
      <c r="B1744" s="18"/>
      <c r="C1744" s="19"/>
      <c r="D1744" s="19"/>
      <c r="E1744" s="18"/>
      <c r="F1744" s="18"/>
      <c r="G1744" s="13" t="str">
        <f aca="false">IF(F1744="","",IFERROR(INDEX(Metas!$B$5:$B$54,MATCH(F1744,Metas!$A$5:$A$54,0)),"⚠ ID de meta no existe"))</f>
        <v/>
      </c>
      <c r="H1744" s="16" t="str">
        <f aca="false">IF(OR(C1744="",D1744=""),"",ROUND(MOD(D1744-C1744,1)*24,2))</f>
        <v/>
      </c>
      <c r="I1744" s="18"/>
      <c r="J1744" s="18"/>
      <c r="K1744" s="18"/>
    </row>
    <row r="1745" customFormat="false" ht="15" hidden="false" customHeight="false" outlineLevel="0" collapsed="false">
      <c r="A1745" s="17"/>
      <c r="B1745" s="18"/>
      <c r="C1745" s="19"/>
      <c r="D1745" s="19"/>
      <c r="E1745" s="18"/>
      <c r="F1745" s="18"/>
      <c r="G1745" s="13" t="str">
        <f aca="false">IF(F1745="","",IFERROR(INDEX(Metas!$B$5:$B$54,MATCH(F1745,Metas!$A$5:$A$54,0)),"⚠ ID de meta no existe"))</f>
        <v/>
      </c>
      <c r="H1745" s="16" t="str">
        <f aca="false">IF(OR(C1745="",D1745=""),"",ROUND(MOD(D1745-C1745,1)*24,2))</f>
        <v/>
      </c>
      <c r="I1745" s="18"/>
      <c r="J1745" s="18"/>
      <c r="K1745" s="18"/>
    </row>
    <row r="1746" customFormat="false" ht="15" hidden="false" customHeight="false" outlineLevel="0" collapsed="false">
      <c r="A1746" s="17"/>
      <c r="B1746" s="18"/>
      <c r="C1746" s="19"/>
      <c r="D1746" s="19"/>
      <c r="E1746" s="18"/>
      <c r="F1746" s="18"/>
      <c r="G1746" s="13" t="str">
        <f aca="false">IF(F1746="","",IFERROR(INDEX(Metas!$B$5:$B$54,MATCH(F1746,Metas!$A$5:$A$54,0)),"⚠ ID de meta no existe"))</f>
        <v/>
      </c>
      <c r="H1746" s="16" t="str">
        <f aca="false">IF(OR(C1746="",D1746=""),"",ROUND(MOD(D1746-C1746,1)*24,2))</f>
        <v/>
      </c>
      <c r="I1746" s="18"/>
      <c r="J1746" s="18"/>
      <c r="K1746" s="18"/>
    </row>
    <row r="1747" customFormat="false" ht="15" hidden="false" customHeight="false" outlineLevel="0" collapsed="false">
      <c r="A1747" s="17"/>
      <c r="B1747" s="18"/>
      <c r="C1747" s="19"/>
      <c r="D1747" s="19"/>
      <c r="E1747" s="18"/>
      <c r="F1747" s="18"/>
      <c r="G1747" s="13" t="str">
        <f aca="false">IF(F1747="","",IFERROR(INDEX(Metas!$B$5:$B$54,MATCH(F1747,Metas!$A$5:$A$54,0)),"⚠ ID de meta no existe"))</f>
        <v/>
      </c>
      <c r="H1747" s="16" t="str">
        <f aca="false">IF(OR(C1747="",D1747=""),"",ROUND(MOD(D1747-C1747,1)*24,2))</f>
        <v/>
      </c>
      <c r="I1747" s="18"/>
      <c r="J1747" s="18"/>
      <c r="K1747" s="18"/>
    </row>
    <row r="1748" customFormat="false" ht="15" hidden="false" customHeight="false" outlineLevel="0" collapsed="false">
      <c r="A1748" s="17"/>
      <c r="B1748" s="18"/>
      <c r="C1748" s="19"/>
      <c r="D1748" s="19"/>
      <c r="E1748" s="18"/>
      <c r="F1748" s="18"/>
      <c r="G1748" s="13" t="str">
        <f aca="false">IF(F1748="","",IFERROR(INDEX(Metas!$B$5:$B$54,MATCH(F1748,Metas!$A$5:$A$54,0)),"⚠ ID de meta no existe"))</f>
        <v/>
      </c>
      <c r="H1748" s="16" t="str">
        <f aca="false">IF(OR(C1748="",D1748=""),"",ROUND(MOD(D1748-C1748,1)*24,2))</f>
        <v/>
      </c>
      <c r="I1748" s="18"/>
      <c r="J1748" s="18"/>
      <c r="K1748" s="18"/>
    </row>
    <row r="1749" customFormat="false" ht="15" hidden="false" customHeight="false" outlineLevel="0" collapsed="false">
      <c r="A1749" s="17"/>
      <c r="B1749" s="18"/>
      <c r="C1749" s="19"/>
      <c r="D1749" s="19"/>
      <c r="E1749" s="18"/>
      <c r="F1749" s="18"/>
      <c r="G1749" s="13" t="str">
        <f aca="false">IF(F1749="","",IFERROR(INDEX(Metas!$B$5:$B$54,MATCH(F1749,Metas!$A$5:$A$54,0)),"⚠ ID de meta no existe"))</f>
        <v/>
      </c>
      <c r="H1749" s="16" t="str">
        <f aca="false">IF(OR(C1749="",D1749=""),"",ROUND(MOD(D1749-C1749,1)*24,2))</f>
        <v/>
      </c>
      <c r="I1749" s="18"/>
      <c r="J1749" s="18"/>
      <c r="K1749" s="18"/>
    </row>
    <row r="1750" customFormat="false" ht="15" hidden="false" customHeight="false" outlineLevel="0" collapsed="false">
      <c r="A1750" s="17"/>
      <c r="B1750" s="18"/>
      <c r="C1750" s="19"/>
      <c r="D1750" s="19"/>
      <c r="E1750" s="18"/>
      <c r="F1750" s="18"/>
      <c r="G1750" s="13" t="str">
        <f aca="false">IF(F1750="","",IFERROR(INDEX(Metas!$B$5:$B$54,MATCH(F1750,Metas!$A$5:$A$54,0)),"⚠ ID de meta no existe"))</f>
        <v/>
      </c>
      <c r="H1750" s="16" t="str">
        <f aca="false">IF(OR(C1750="",D1750=""),"",ROUND(MOD(D1750-C1750,1)*24,2))</f>
        <v/>
      </c>
      <c r="I1750" s="18"/>
      <c r="J1750" s="18"/>
      <c r="K1750" s="18"/>
    </row>
    <row r="1751" customFormat="false" ht="15" hidden="false" customHeight="false" outlineLevel="0" collapsed="false">
      <c r="A1751" s="17"/>
      <c r="B1751" s="18"/>
      <c r="C1751" s="19"/>
      <c r="D1751" s="19"/>
      <c r="E1751" s="18"/>
      <c r="F1751" s="18"/>
      <c r="G1751" s="13" t="str">
        <f aca="false">IF(F1751="","",IFERROR(INDEX(Metas!$B$5:$B$54,MATCH(F1751,Metas!$A$5:$A$54,0)),"⚠ ID de meta no existe"))</f>
        <v/>
      </c>
      <c r="H1751" s="16" t="str">
        <f aca="false">IF(OR(C1751="",D1751=""),"",ROUND(MOD(D1751-C1751,1)*24,2))</f>
        <v/>
      </c>
      <c r="I1751" s="18"/>
      <c r="J1751" s="18"/>
      <c r="K1751" s="18"/>
    </row>
    <row r="1752" customFormat="false" ht="15" hidden="false" customHeight="false" outlineLevel="0" collapsed="false">
      <c r="A1752" s="17"/>
      <c r="B1752" s="18"/>
      <c r="C1752" s="19"/>
      <c r="D1752" s="19"/>
      <c r="E1752" s="18"/>
      <c r="F1752" s="18"/>
      <c r="G1752" s="13" t="str">
        <f aca="false">IF(F1752="","",IFERROR(INDEX(Metas!$B$5:$B$54,MATCH(F1752,Metas!$A$5:$A$54,0)),"⚠ ID de meta no existe"))</f>
        <v/>
      </c>
      <c r="H1752" s="16" t="str">
        <f aca="false">IF(OR(C1752="",D1752=""),"",ROUND(MOD(D1752-C1752,1)*24,2))</f>
        <v/>
      </c>
      <c r="I1752" s="18"/>
      <c r="J1752" s="18"/>
      <c r="K1752" s="18"/>
    </row>
    <row r="1753" customFormat="false" ht="15" hidden="false" customHeight="false" outlineLevel="0" collapsed="false">
      <c r="A1753" s="17"/>
      <c r="B1753" s="18"/>
      <c r="C1753" s="19"/>
      <c r="D1753" s="19"/>
      <c r="E1753" s="18"/>
      <c r="F1753" s="18"/>
      <c r="G1753" s="13" t="str">
        <f aca="false">IF(F1753="","",IFERROR(INDEX(Metas!$B$5:$B$54,MATCH(F1753,Metas!$A$5:$A$54,0)),"⚠ ID de meta no existe"))</f>
        <v/>
      </c>
      <c r="H1753" s="16" t="str">
        <f aca="false">IF(OR(C1753="",D1753=""),"",ROUND(MOD(D1753-C1753,1)*24,2))</f>
        <v/>
      </c>
      <c r="I1753" s="18"/>
      <c r="J1753" s="18"/>
      <c r="K1753" s="18"/>
    </row>
    <row r="1754" customFormat="false" ht="15" hidden="false" customHeight="false" outlineLevel="0" collapsed="false">
      <c r="A1754" s="17"/>
      <c r="B1754" s="18"/>
      <c r="C1754" s="19"/>
      <c r="D1754" s="19"/>
      <c r="E1754" s="18"/>
      <c r="F1754" s="18"/>
      <c r="G1754" s="13" t="str">
        <f aca="false">IF(F1754="","",IFERROR(INDEX(Metas!$B$5:$B$54,MATCH(F1754,Metas!$A$5:$A$54,0)),"⚠ ID de meta no existe"))</f>
        <v/>
      </c>
      <c r="H1754" s="16" t="str">
        <f aca="false">IF(OR(C1754="",D1754=""),"",ROUND(MOD(D1754-C1754,1)*24,2))</f>
        <v/>
      </c>
      <c r="I1754" s="18"/>
      <c r="J1754" s="18"/>
      <c r="K1754" s="18"/>
    </row>
    <row r="1755" customFormat="false" ht="15" hidden="false" customHeight="false" outlineLevel="0" collapsed="false">
      <c r="A1755" s="17"/>
      <c r="B1755" s="18"/>
      <c r="C1755" s="19"/>
      <c r="D1755" s="19"/>
      <c r="E1755" s="18"/>
      <c r="F1755" s="18"/>
      <c r="G1755" s="13" t="str">
        <f aca="false">IF(F1755="","",IFERROR(INDEX(Metas!$B$5:$B$54,MATCH(F1755,Metas!$A$5:$A$54,0)),"⚠ ID de meta no existe"))</f>
        <v/>
      </c>
      <c r="H1755" s="16" t="str">
        <f aca="false">IF(OR(C1755="",D1755=""),"",ROUND(MOD(D1755-C1755,1)*24,2))</f>
        <v/>
      </c>
      <c r="I1755" s="18"/>
      <c r="J1755" s="18"/>
      <c r="K1755" s="18"/>
    </row>
    <row r="1756" customFormat="false" ht="15" hidden="false" customHeight="false" outlineLevel="0" collapsed="false">
      <c r="A1756" s="17"/>
      <c r="B1756" s="18"/>
      <c r="C1756" s="19"/>
      <c r="D1756" s="19"/>
      <c r="E1756" s="18"/>
      <c r="F1756" s="18"/>
      <c r="G1756" s="13" t="str">
        <f aca="false">IF(F1756="","",IFERROR(INDEX(Metas!$B$5:$B$54,MATCH(F1756,Metas!$A$5:$A$54,0)),"⚠ ID de meta no existe"))</f>
        <v/>
      </c>
      <c r="H1756" s="16" t="str">
        <f aca="false">IF(OR(C1756="",D1756=""),"",ROUND(MOD(D1756-C1756,1)*24,2))</f>
        <v/>
      </c>
      <c r="I1756" s="18"/>
      <c r="J1756" s="18"/>
      <c r="K1756" s="18"/>
    </row>
    <row r="1757" customFormat="false" ht="15" hidden="false" customHeight="false" outlineLevel="0" collapsed="false">
      <c r="A1757" s="17"/>
      <c r="B1757" s="18"/>
      <c r="C1757" s="19"/>
      <c r="D1757" s="19"/>
      <c r="E1757" s="18"/>
      <c r="F1757" s="18"/>
      <c r="G1757" s="13" t="str">
        <f aca="false">IF(F1757="","",IFERROR(INDEX(Metas!$B$5:$B$54,MATCH(F1757,Metas!$A$5:$A$54,0)),"⚠ ID de meta no existe"))</f>
        <v/>
      </c>
      <c r="H1757" s="16" t="str">
        <f aca="false">IF(OR(C1757="",D1757=""),"",ROUND(MOD(D1757-C1757,1)*24,2))</f>
        <v/>
      </c>
      <c r="I1757" s="18"/>
      <c r="J1757" s="18"/>
      <c r="K1757" s="18"/>
    </row>
    <row r="1758" customFormat="false" ht="15" hidden="false" customHeight="false" outlineLevel="0" collapsed="false">
      <c r="A1758" s="17"/>
      <c r="B1758" s="18"/>
      <c r="C1758" s="19"/>
      <c r="D1758" s="19"/>
      <c r="E1758" s="18"/>
      <c r="F1758" s="18"/>
      <c r="G1758" s="13" t="str">
        <f aca="false">IF(F1758="","",IFERROR(INDEX(Metas!$B$5:$B$54,MATCH(F1758,Metas!$A$5:$A$54,0)),"⚠ ID de meta no existe"))</f>
        <v/>
      </c>
      <c r="H1758" s="16" t="str">
        <f aca="false">IF(OR(C1758="",D1758=""),"",ROUND(MOD(D1758-C1758,1)*24,2))</f>
        <v/>
      </c>
      <c r="I1758" s="18"/>
      <c r="J1758" s="18"/>
      <c r="K1758" s="18"/>
    </row>
    <row r="1759" customFormat="false" ht="15" hidden="false" customHeight="false" outlineLevel="0" collapsed="false">
      <c r="A1759" s="17"/>
      <c r="B1759" s="18"/>
      <c r="C1759" s="19"/>
      <c r="D1759" s="19"/>
      <c r="E1759" s="18"/>
      <c r="F1759" s="18"/>
      <c r="G1759" s="13" t="str">
        <f aca="false">IF(F1759="","",IFERROR(INDEX(Metas!$B$5:$B$54,MATCH(F1759,Metas!$A$5:$A$54,0)),"⚠ ID de meta no existe"))</f>
        <v/>
      </c>
      <c r="H1759" s="16" t="str">
        <f aca="false">IF(OR(C1759="",D1759=""),"",ROUND(MOD(D1759-C1759,1)*24,2))</f>
        <v/>
      </c>
      <c r="I1759" s="18"/>
      <c r="J1759" s="18"/>
      <c r="K1759" s="18"/>
    </row>
    <row r="1760" customFormat="false" ht="15" hidden="false" customHeight="false" outlineLevel="0" collapsed="false">
      <c r="A1760" s="17"/>
      <c r="B1760" s="18"/>
      <c r="C1760" s="19"/>
      <c r="D1760" s="19"/>
      <c r="E1760" s="18"/>
      <c r="F1760" s="18"/>
      <c r="G1760" s="13" t="str">
        <f aca="false">IF(F1760="","",IFERROR(INDEX(Metas!$B$5:$B$54,MATCH(F1760,Metas!$A$5:$A$54,0)),"⚠ ID de meta no existe"))</f>
        <v/>
      </c>
      <c r="H1760" s="16" t="str">
        <f aca="false">IF(OR(C1760="",D1760=""),"",ROUND(MOD(D1760-C1760,1)*24,2))</f>
        <v/>
      </c>
      <c r="I1760" s="18"/>
      <c r="J1760" s="18"/>
      <c r="K1760" s="18"/>
    </row>
    <row r="1761" customFormat="false" ht="15" hidden="false" customHeight="false" outlineLevel="0" collapsed="false">
      <c r="A1761" s="17"/>
      <c r="B1761" s="18"/>
      <c r="C1761" s="19"/>
      <c r="D1761" s="19"/>
      <c r="E1761" s="18"/>
      <c r="F1761" s="18"/>
      <c r="G1761" s="13" t="str">
        <f aca="false">IF(F1761="","",IFERROR(INDEX(Metas!$B$5:$B$54,MATCH(F1761,Metas!$A$5:$A$54,0)),"⚠ ID de meta no existe"))</f>
        <v/>
      </c>
      <c r="H1761" s="16" t="str">
        <f aca="false">IF(OR(C1761="",D1761=""),"",ROUND(MOD(D1761-C1761,1)*24,2))</f>
        <v/>
      </c>
      <c r="I1761" s="18"/>
      <c r="J1761" s="18"/>
      <c r="K1761" s="18"/>
    </row>
    <row r="1762" customFormat="false" ht="15" hidden="false" customHeight="false" outlineLevel="0" collapsed="false">
      <c r="A1762" s="17"/>
      <c r="B1762" s="18"/>
      <c r="C1762" s="19"/>
      <c r="D1762" s="19"/>
      <c r="E1762" s="18"/>
      <c r="F1762" s="18"/>
      <c r="G1762" s="13" t="str">
        <f aca="false">IF(F1762="","",IFERROR(INDEX(Metas!$B$5:$B$54,MATCH(F1762,Metas!$A$5:$A$54,0)),"⚠ ID de meta no existe"))</f>
        <v/>
      </c>
      <c r="H1762" s="16" t="str">
        <f aca="false">IF(OR(C1762="",D1762=""),"",ROUND(MOD(D1762-C1762,1)*24,2))</f>
        <v/>
      </c>
      <c r="I1762" s="18"/>
      <c r="J1762" s="18"/>
      <c r="K1762" s="18"/>
    </row>
    <row r="1763" customFormat="false" ht="15" hidden="false" customHeight="false" outlineLevel="0" collapsed="false">
      <c r="A1763" s="17"/>
      <c r="B1763" s="18"/>
      <c r="C1763" s="19"/>
      <c r="D1763" s="19"/>
      <c r="E1763" s="18"/>
      <c r="F1763" s="18"/>
      <c r="G1763" s="13" t="str">
        <f aca="false">IF(F1763="","",IFERROR(INDEX(Metas!$B$5:$B$54,MATCH(F1763,Metas!$A$5:$A$54,0)),"⚠ ID de meta no existe"))</f>
        <v/>
      </c>
      <c r="H1763" s="16" t="str">
        <f aca="false">IF(OR(C1763="",D1763=""),"",ROUND(MOD(D1763-C1763,1)*24,2))</f>
        <v/>
      </c>
      <c r="I1763" s="18"/>
      <c r="J1763" s="18"/>
      <c r="K1763" s="18"/>
    </row>
    <row r="1764" customFormat="false" ht="15" hidden="false" customHeight="false" outlineLevel="0" collapsed="false">
      <c r="A1764" s="17"/>
      <c r="B1764" s="18"/>
      <c r="C1764" s="19"/>
      <c r="D1764" s="19"/>
      <c r="E1764" s="18"/>
      <c r="F1764" s="18"/>
      <c r="G1764" s="13" t="str">
        <f aca="false">IF(F1764="","",IFERROR(INDEX(Metas!$B$5:$B$54,MATCH(F1764,Metas!$A$5:$A$54,0)),"⚠ ID de meta no existe"))</f>
        <v/>
      </c>
      <c r="H1764" s="16" t="str">
        <f aca="false">IF(OR(C1764="",D1764=""),"",ROUND(MOD(D1764-C1764,1)*24,2))</f>
        <v/>
      </c>
      <c r="I1764" s="18"/>
      <c r="J1764" s="18"/>
      <c r="K1764" s="18"/>
    </row>
    <row r="1765" customFormat="false" ht="15" hidden="false" customHeight="false" outlineLevel="0" collapsed="false">
      <c r="A1765" s="17"/>
      <c r="B1765" s="18"/>
      <c r="C1765" s="19"/>
      <c r="D1765" s="19"/>
      <c r="E1765" s="18"/>
      <c r="F1765" s="18"/>
      <c r="G1765" s="13" t="str">
        <f aca="false">IF(F1765="","",IFERROR(INDEX(Metas!$B$5:$B$54,MATCH(F1765,Metas!$A$5:$A$54,0)),"⚠ ID de meta no existe"))</f>
        <v/>
      </c>
      <c r="H1765" s="16" t="str">
        <f aca="false">IF(OR(C1765="",D1765=""),"",ROUND(MOD(D1765-C1765,1)*24,2))</f>
        <v/>
      </c>
      <c r="I1765" s="18"/>
      <c r="J1765" s="18"/>
      <c r="K1765" s="18"/>
    </row>
    <row r="1766" customFormat="false" ht="15" hidden="false" customHeight="false" outlineLevel="0" collapsed="false">
      <c r="A1766" s="17"/>
      <c r="B1766" s="18"/>
      <c r="C1766" s="19"/>
      <c r="D1766" s="19"/>
      <c r="E1766" s="18"/>
      <c r="F1766" s="18"/>
      <c r="G1766" s="13" t="str">
        <f aca="false">IF(F1766="","",IFERROR(INDEX(Metas!$B$5:$B$54,MATCH(F1766,Metas!$A$5:$A$54,0)),"⚠ ID de meta no existe"))</f>
        <v/>
      </c>
      <c r="H1766" s="16" t="str">
        <f aca="false">IF(OR(C1766="",D1766=""),"",ROUND(MOD(D1766-C1766,1)*24,2))</f>
        <v/>
      </c>
      <c r="I1766" s="18"/>
      <c r="J1766" s="18"/>
      <c r="K1766" s="18"/>
    </row>
    <row r="1767" customFormat="false" ht="15" hidden="false" customHeight="false" outlineLevel="0" collapsed="false">
      <c r="A1767" s="17"/>
      <c r="B1767" s="18"/>
      <c r="C1767" s="19"/>
      <c r="D1767" s="19"/>
      <c r="E1767" s="18"/>
      <c r="F1767" s="18"/>
      <c r="G1767" s="13" t="str">
        <f aca="false">IF(F1767="","",IFERROR(INDEX(Metas!$B$5:$B$54,MATCH(F1767,Metas!$A$5:$A$54,0)),"⚠ ID de meta no existe"))</f>
        <v/>
      </c>
      <c r="H1767" s="16" t="str">
        <f aca="false">IF(OR(C1767="",D1767=""),"",ROUND(MOD(D1767-C1767,1)*24,2))</f>
        <v/>
      </c>
      <c r="I1767" s="18"/>
      <c r="J1767" s="18"/>
      <c r="K1767" s="18"/>
    </row>
    <row r="1768" customFormat="false" ht="15" hidden="false" customHeight="false" outlineLevel="0" collapsed="false">
      <c r="A1768" s="17"/>
      <c r="B1768" s="18"/>
      <c r="C1768" s="19"/>
      <c r="D1768" s="19"/>
      <c r="E1768" s="18"/>
      <c r="F1768" s="18"/>
      <c r="G1768" s="13" t="str">
        <f aca="false">IF(F1768="","",IFERROR(INDEX(Metas!$B$5:$B$54,MATCH(F1768,Metas!$A$5:$A$54,0)),"⚠ ID de meta no existe"))</f>
        <v/>
      </c>
      <c r="H1768" s="16" t="str">
        <f aca="false">IF(OR(C1768="",D1768=""),"",ROUND(MOD(D1768-C1768,1)*24,2))</f>
        <v/>
      </c>
      <c r="I1768" s="18"/>
      <c r="J1768" s="18"/>
      <c r="K1768" s="18"/>
    </row>
    <row r="1769" customFormat="false" ht="15" hidden="false" customHeight="false" outlineLevel="0" collapsed="false">
      <c r="A1769" s="17"/>
      <c r="B1769" s="18"/>
      <c r="C1769" s="19"/>
      <c r="D1769" s="19"/>
      <c r="E1769" s="18"/>
      <c r="F1769" s="18"/>
      <c r="G1769" s="13" t="str">
        <f aca="false">IF(F1769="","",IFERROR(INDEX(Metas!$B$5:$B$54,MATCH(F1769,Metas!$A$5:$A$54,0)),"⚠ ID de meta no existe"))</f>
        <v/>
      </c>
      <c r="H1769" s="16" t="str">
        <f aca="false">IF(OR(C1769="",D1769=""),"",ROUND(MOD(D1769-C1769,1)*24,2))</f>
        <v/>
      </c>
      <c r="I1769" s="18"/>
      <c r="J1769" s="18"/>
      <c r="K1769" s="18"/>
    </row>
    <row r="1770" customFormat="false" ht="15" hidden="false" customHeight="false" outlineLevel="0" collapsed="false">
      <c r="A1770" s="17"/>
      <c r="B1770" s="18"/>
      <c r="C1770" s="19"/>
      <c r="D1770" s="19"/>
      <c r="E1770" s="18"/>
      <c r="F1770" s="18"/>
      <c r="G1770" s="13" t="str">
        <f aca="false">IF(F1770="","",IFERROR(INDEX(Metas!$B$5:$B$54,MATCH(F1770,Metas!$A$5:$A$54,0)),"⚠ ID de meta no existe"))</f>
        <v/>
      </c>
      <c r="H1770" s="16" t="str">
        <f aca="false">IF(OR(C1770="",D1770=""),"",ROUND(MOD(D1770-C1770,1)*24,2))</f>
        <v/>
      </c>
      <c r="I1770" s="18"/>
      <c r="J1770" s="18"/>
      <c r="K1770" s="18"/>
    </row>
    <row r="1771" customFormat="false" ht="15" hidden="false" customHeight="false" outlineLevel="0" collapsed="false">
      <c r="A1771" s="17"/>
      <c r="B1771" s="18"/>
      <c r="C1771" s="19"/>
      <c r="D1771" s="19"/>
      <c r="E1771" s="18"/>
      <c r="F1771" s="18"/>
      <c r="G1771" s="13" t="str">
        <f aca="false">IF(F1771="","",IFERROR(INDEX(Metas!$B$5:$B$54,MATCH(F1771,Metas!$A$5:$A$54,0)),"⚠ ID de meta no existe"))</f>
        <v/>
      </c>
      <c r="H1771" s="16" t="str">
        <f aca="false">IF(OR(C1771="",D1771=""),"",ROUND(MOD(D1771-C1771,1)*24,2))</f>
        <v/>
      </c>
      <c r="I1771" s="18"/>
      <c r="J1771" s="18"/>
      <c r="K1771" s="18"/>
    </row>
    <row r="1772" customFormat="false" ht="15" hidden="false" customHeight="false" outlineLevel="0" collapsed="false">
      <c r="A1772" s="17"/>
      <c r="B1772" s="18"/>
      <c r="C1772" s="19"/>
      <c r="D1772" s="19"/>
      <c r="E1772" s="18"/>
      <c r="F1772" s="18"/>
      <c r="G1772" s="13" t="str">
        <f aca="false">IF(F1772="","",IFERROR(INDEX(Metas!$B$5:$B$54,MATCH(F1772,Metas!$A$5:$A$54,0)),"⚠ ID de meta no existe"))</f>
        <v/>
      </c>
      <c r="H1772" s="16" t="str">
        <f aca="false">IF(OR(C1772="",D1772=""),"",ROUND(MOD(D1772-C1772,1)*24,2))</f>
        <v/>
      </c>
      <c r="I1772" s="18"/>
      <c r="J1772" s="18"/>
      <c r="K1772" s="18"/>
    </row>
    <row r="1773" customFormat="false" ht="15" hidden="false" customHeight="false" outlineLevel="0" collapsed="false">
      <c r="A1773" s="17"/>
      <c r="B1773" s="18"/>
      <c r="C1773" s="19"/>
      <c r="D1773" s="19"/>
      <c r="E1773" s="18"/>
      <c r="F1773" s="18"/>
      <c r="G1773" s="13" t="str">
        <f aca="false">IF(F1773="","",IFERROR(INDEX(Metas!$B$5:$B$54,MATCH(F1773,Metas!$A$5:$A$54,0)),"⚠ ID de meta no existe"))</f>
        <v/>
      </c>
      <c r="H1773" s="16" t="str">
        <f aca="false">IF(OR(C1773="",D1773=""),"",ROUND(MOD(D1773-C1773,1)*24,2))</f>
        <v/>
      </c>
      <c r="I1773" s="18"/>
      <c r="J1773" s="18"/>
      <c r="K1773" s="18"/>
    </row>
    <row r="1774" customFormat="false" ht="15" hidden="false" customHeight="false" outlineLevel="0" collapsed="false">
      <c r="A1774" s="17"/>
      <c r="B1774" s="18"/>
      <c r="C1774" s="19"/>
      <c r="D1774" s="19"/>
      <c r="E1774" s="18"/>
      <c r="F1774" s="18"/>
      <c r="G1774" s="13" t="str">
        <f aca="false">IF(F1774="","",IFERROR(INDEX(Metas!$B$5:$B$54,MATCH(F1774,Metas!$A$5:$A$54,0)),"⚠ ID de meta no existe"))</f>
        <v/>
      </c>
      <c r="H1774" s="16" t="str">
        <f aca="false">IF(OR(C1774="",D1774=""),"",ROUND(MOD(D1774-C1774,1)*24,2))</f>
        <v/>
      </c>
      <c r="I1774" s="18"/>
      <c r="J1774" s="18"/>
      <c r="K1774" s="18"/>
    </row>
    <row r="1775" customFormat="false" ht="15" hidden="false" customHeight="false" outlineLevel="0" collapsed="false">
      <c r="A1775" s="17"/>
      <c r="B1775" s="18"/>
      <c r="C1775" s="19"/>
      <c r="D1775" s="19"/>
      <c r="E1775" s="18"/>
      <c r="F1775" s="18"/>
      <c r="G1775" s="13" t="str">
        <f aca="false">IF(F1775="","",IFERROR(INDEX(Metas!$B$5:$B$54,MATCH(F1775,Metas!$A$5:$A$54,0)),"⚠ ID de meta no existe"))</f>
        <v/>
      </c>
      <c r="H1775" s="16" t="str">
        <f aca="false">IF(OR(C1775="",D1775=""),"",ROUND(MOD(D1775-C1775,1)*24,2))</f>
        <v/>
      </c>
      <c r="I1775" s="18"/>
      <c r="J1775" s="18"/>
      <c r="K1775" s="18"/>
    </row>
    <row r="1776" customFormat="false" ht="15" hidden="false" customHeight="false" outlineLevel="0" collapsed="false">
      <c r="A1776" s="17"/>
      <c r="B1776" s="18"/>
      <c r="C1776" s="19"/>
      <c r="D1776" s="19"/>
      <c r="E1776" s="18"/>
      <c r="F1776" s="18"/>
      <c r="G1776" s="13" t="str">
        <f aca="false">IF(F1776="","",IFERROR(INDEX(Metas!$B$5:$B$54,MATCH(F1776,Metas!$A$5:$A$54,0)),"⚠ ID de meta no existe"))</f>
        <v/>
      </c>
      <c r="H1776" s="16" t="str">
        <f aca="false">IF(OR(C1776="",D1776=""),"",ROUND(MOD(D1776-C1776,1)*24,2))</f>
        <v/>
      </c>
      <c r="I1776" s="18"/>
      <c r="J1776" s="18"/>
      <c r="K1776" s="18"/>
    </row>
    <row r="1777" customFormat="false" ht="15" hidden="false" customHeight="false" outlineLevel="0" collapsed="false">
      <c r="A1777" s="17"/>
      <c r="B1777" s="18"/>
      <c r="C1777" s="19"/>
      <c r="D1777" s="19"/>
      <c r="E1777" s="18"/>
      <c r="F1777" s="18"/>
      <c r="G1777" s="13" t="str">
        <f aca="false">IF(F1777="","",IFERROR(INDEX(Metas!$B$5:$B$54,MATCH(F1777,Metas!$A$5:$A$54,0)),"⚠ ID de meta no existe"))</f>
        <v/>
      </c>
      <c r="H1777" s="16" t="str">
        <f aca="false">IF(OR(C1777="",D1777=""),"",ROUND(MOD(D1777-C1777,1)*24,2))</f>
        <v/>
      </c>
      <c r="I1777" s="18"/>
      <c r="J1777" s="18"/>
      <c r="K1777" s="18"/>
    </row>
    <row r="1778" customFormat="false" ht="15" hidden="false" customHeight="false" outlineLevel="0" collapsed="false">
      <c r="A1778" s="17"/>
      <c r="B1778" s="18"/>
      <c r="C1778" s="19"/>
      <c r="D1778" s="19"/>
      <c r="E1778" s="18"/>
      <c r="F1778" s="18"/>
      <c r="G1778" s="13" t="str">
        <f aca="false">IF(F1778="","",IFERROR(INDEX(Metas!$B$5:$B$54,MATCH(F1778,Metas!$A$5:$A$54,0)),"⚠ ID de meta no existe"))</f>
        <v/>
      </c>
      <c r="H1778" s="16" t="str">
        <f aca="false">IF(OR(C1778="",D1778=""),"",ROUND(MOD(D1778-C1778,1)*24,2))</f>
        <v/>
      </c>
      <c r="I1778" s="18"/>
      <c r="J1778" s="18"/>
      <c r="K1778" s="18"/>
    </row>
    <row r="1779" customFormat="false" ht="15" hidden="false" customHeight="false" outlineLevel="0" collapsed="false">
      <c r="A1779" s="17"/>
      <c r="B1779" s="18"/>
      <c r="C1779" s="19"/>
      <c r="D1779" s="19"/>
      <c r="E1779" s="18"/>
      <c r="F1779" s="18"/>
      <c r="G1779" s="13" t="str">
        <f aca="false">IF(F1779="","",IFERROR(INDEX(Metas!$B$5:$B$54,MATCH(F1779,Metas!$A$5:$A$54,0)),"⚠ ID de meta no existe"))</f>
        <v/>
      </c>
      <c r="H1779" s="16" t="str">
        <f aca="false">IF(OR(C1779="",D1779=""),"",ROUND(MOD(D1779-C1779,1)*24,2))</f>
        <v/>
      </c>
      <c r="I1779" s="18"/>
      <c r="J1779" s="18"/>
      <c r="K1779" s="18"/>
    </row>
    <row r="1780" customFormat="false" ht="15" hidden="false" customHeight="false" outlineLevel="0" collapsed="false">
      <c r="A1780" s="17"/>
      <c r="B1780" s="18"/>
      <c r="C1780" s="19"/>
      <c r="D1780" s="19"/>
      <c r="E1780" s="18"/>
      <c r="F1780" s="18"/>
      <c r="G1780" s="13" t="str">
        <f aca="false">IF(F1780="","",IFERROR(INDEX(Metas!$B$5:$B$54,MATCH(F1780,Metas!$A$5:$A$54,0)),"⚠ ID de meta no existe"))</f>
        <v/>
      </c>
      <c r="H1780" s="16" t="str">
        <f aca="false">IF(OR(C1780="",D1780=""),"",ROUND(MOD(D1780-C1780,1)*24,2))</f>
        <v/>
      </c>
      <c r="I1780" s="18"/>
      <c r="J1780" s="18"/>
      <c r="K1780" s="18"/>
    </row>
    <row r="1781" customFormat="false" ht="15" hidden="false" customHeight="false" outlineLevel="0" collapsed="false">
      <c r="A1781" s="17"/>
      <c r="B1781" s="18"/>
      <c r="C1781" s="19"/>
      <c r="D1781" s="19"/>
      <c r="E1781" s="18"/>
      <c r="F1781" s="18"/>
      <c r="G1781" s="13" t="str">
        <f aca="false">IF(F1781="","",IFERROR(INDEX(Metas!$B$5:$B$54,MATCH(F1781,Metas!$A$5:$A$54,0)),"⚠ ID de meta no existe"))</f>
        <v/>
      </c>
      <c r="H1781" s="16" t="str">
        <f aca="false">IF(OR(C1781="",D1781=""),"",ROUND(MOD(D1781-C1781,1)*24,2))</f>
        <v/>
      </c>
      <c r="I1781" s="18"/>
      <c r="J1781" s="18"/>
      <c r="K1781" s="18"/>
    </row>
    <row r="1782" customFormat="false" ht="15" hidden="false" customHeight="false" outlineLevel="0" collapsed="false">
      <c r="A1782" s="17"/>
      <c r="B1782" s="18"/>
      <c r="C1782" s="19"/>
      <c r="D1782" s="19"/>
      <c r="E1782" s="18"/>
      <c r="F1782" s="18"/>
      <c r="G1782" s="13" t="str">
        <f aca="false">IF(F1782="","",IFERROR(INDEX(Metas!$B$5:$B$54,MATCH(F1782,Metas!$A$5:$A$54,0)),"⚠ ID de meta no existe"))</f>
        <v/>
      </c>
      <c r="H1782" s="16" t="str">
        <f aca="false">IF(OR(C1782="",D1782=""),"",ROUND(MOD(D1782-C1782,1)*24,2))</f>
        <v/>
      </c>
      <c r="I1782" s="18"/>
      <c r="J1782" s="18"/>
      <c r="K1782" s="18"/>
    </row>
    <row r="1783" customFormat="false" ht="15" hidden="false" customHeight="false" outlineLevel="0" collapsed="false">
      <c r="A1783" s="17"/>
      <c r="B1783" s="18"/>
      <c r="C1783" s="19"/>
      <c r="D1783" s="19"/>
      <c r="E1783" s="18"/>
      <c r="F1783" s="18"/>
      <c r="G1783" s="13" t="str">
        <f aca="false">IF(F1783="","",IFERROR(INDEX(Metas!$B$5:$B$54,MATCH(F1783,Metas!$A$5:$A$54,0)),"⚠ ID de meta no existe"))</f>
        <v/>
      </c>
      <c r="H1783" s="16" t="str">
        <f aca="false">IF(OR(C1783="",D1783=""),"",ROUND(MOD(D1783-C1783,1)*24,2))</f>
        <v/>
      </c>
      <c r="I1783" s="18"/>
      <c r="J1783" s="18"/>
      <c r="K1783" s="18"/>
    </row>
    <row r="1784" customFormat="false" ht="15" hidden="false" customHeight="false" outlineLevel="0" collapsed="false">
      <c r="A1784" s="17"/>
      <c r="B1784" s="18"/>
      <c r="C1784" s="19"/>
      <c r="D1784" s="19"/>
      <c r="E1784" s="18"/>
      <c r="F1784" s="18"/>
      <c r="G1784" s="13" t="str">
        <f aca="false">IF(F1784="","",IFERROR(INDEX(Metas!$B$5:$B$54,MATCH(F1784,Metas!$A$5:$A$54,0)),"⚠ ID de meta no existe"))</f>
        <v/>
      </c>
      <c r="H1784" s="16" t="str">
        <f aca="false">IF(OR(C1784="",D1784=""),"",ROUND(MOD(D1784-C1784,1)*24,2))</f>
        <v/>
      </c>
      <c r="I1784" s="18"/>
      <c r="J1784" s="18"/>
      <c r="K1784" s="18"/>
    </row>
    <row r="1785" customFormat="false" ht="15" hidden="false" customHeight="false" outlineLevel="0" collapsed="false">
      <c r="A1785" s="17"/>
      <c r="B1785" s="18"/>
      <c r="C1785" s="19"/>
      <c r="D1785" s="19"/>
      <c r="E1785" s="18"/>
      <c r="F1785" s="18"/>
      <c r="G1785" s="13" t="str">
        <f aca="false">IF(F1785="","",IFERROR(INDEX(Metas!$B$5:$B$54,MATCH(F1785,Metas!$A$5:$A$54,0)),"⚠ ID de meta no existe"))</f>
        <v/>
      </c>
      <c r="H1785" s="16" t="str">
        <f aca="false">IF(OR(C1785="",D1785=""),"",ROUND(MOD(D1785-C1785,1)*24,2))</f>
        <v/>
      </c>
      <c r="I1785" s="18"/>
      <c r="J1785" s="18"/>
      <c r="K1785" s="18"/>
    </row>
    <row r="1786" customFormat="false" ht="15" hidden="false" customHeight="false" outlineLevel="0" collapsed="false">
      <c r="A1786" s="17"/>
      <c r="B1786" s="18"/>
      <c r="C1786" s="19"/>
      <c r="D1786" s="19"/>
      <c r="E1786" s="18"/>
      <c r="F1786" s="18"/>
      <c r="G1786" s="13" t="str">
        <f aca="false">IF(F1786="","",IFERROR(INDEX(Metas!$B$5:$B$54,MATCH(F1786,Metas!$A$5:$A$54,0)),"⚠ ID de meta no existe"))</f>
        <v/>
      </c>
      <c r="H1786" s="16" t="str">
        <f aca="false">IF(OR(C1786="",D1786=""),"",ROUND(MOD(D1786-C1786,1)*24,2))</f>
        <v/>
      </c>
      <c r="I1786" s="18"/>
      <c r="J1786" s="18"/>
      <c r="K1786" s="18"/>
    </row>
    <row r="1787" customFormat="false" ht="15" hidden="false" customHeight="false" outlineLevel="0" collapsed="false">
      <c r="A1787" s="17"/>
      <c r="B1787" s="18"/>
      <c r="C1787" s="19"/>
      <c r="D1787" s="19"/>
      <c r="E1787" s="18"/>
      <c r="F1787" s="18"/>
      <c r="G1787" s="13" t="str">
        <f aca="false">IF(F1787="","",IFERROR(INDEX(Metas!$B$5:$B$54,MATCH(F1787,Metas!$A$5:$A$54,0)),"⚠ ID de meta no existe"))</f>
        <v/>
      </c>
      <c r="H1787" s="16" t="str">
        <f aca="false">IF(OR(C1787="",D1787=""),"",ROUND(MOD(D1787-C1787,1)*24,2))</f>
        <v/>
      </c>
      <c r="I1787" s="18"/>
      <c r="J1787" s="18"/>
      <c r="K1787" s="18"/>
    </row>
    <row r="1788" customFormat="false" ht="15" hidden="false" customHeight="false" outlineLevel="0" collapsed="false">
      <c r="A1788" s="17"/>
      <c r="B1788" s="18"/>
      <c r="C1788" s="19"/>
      <c r="D1788" s="19"/>
      <c r="E1788" s="18"/>
      <c r="F1788" s="18"/>
      <c r="G1788" s="13" t="str">
        <f aca="false">IF(F1788="","",IFERROR(INDEX(Metas!$B$5:$B$54,MATCH(F1788,Metas!$A$5:$A$54,0)),"⚠ ID de meta no existe"))</f>
        <v/>
      </c>
      <c r="H1788" s="16" t="str">
        <f aca="false">IF(OR(C1788="",D1788=""),"",ROUND(MOD(D1788-C1788,1)*24,2))</f>
        <v/>
      </c>
      <c r="I1788" s="18"/>
      <c r="J1788" s="18"/>
      <c r="K1788" s="18"/>
    </row>
    <row r="1789" customFormat="false" ht="15" hidden="false" customHeight="false" outlineLevel="0" collapsed="false">
      <c r="A1789" s="17"/>
      <c r="B1789" s="18"/>
      <c r="C1789" s="19"/>
      <c r="D1789" s="19"/>
      <c r="E1789" s="18"/>
      <c r="F1789" s="18"/>
      <c r="G1789" s="13" t="str">
        <f aca="false">IF(F1789="","",IFERROR(INDEX(Metas!$B$5:$B$54,MATCH(F1789,Metas!$A$5:$A$54,0)),"⚠ ID de meta no existe"))</f>
        <v/>
      </c>
      <c r="H1789" s="16" t="str">
        <f aca="false">IF(OR(C1789="",D1789=""),"",ROUND(MOD(D1789-C1789,1)*24,2))</f>
        <v/>
      </c>
      <c r="I1789" s="18"/>
      <c r="J1789" s="18"/>
      <c r="K1789" s="18"/>
    </row>
    <row r="1790" customFormat="false" ht="15" hidden="false" customHeight="false" outlineLevel="0" collapsed="false">
      <c r="A1790" s="17"/>
      <c r="B1790" s="18"/>
      <c r="C1790" s="19"/>
      <c r="D1790" s="19"/>
      <c r="E1790" s="18"/>
      <c r="F1790" s="18"/>
      <c r="G1790" s="13" t="str">
        <f aca="false">IF(F1790="","",IFERROR(INDEX(Metas!$B$5:$B$54,MATCH(F1790,Metas!$A$5:$A$54,0)),"⚠ ID de meta no existe"))</f>
        <v/>
      </c>
      <c r="H1790" s="16" t="str">
        <f aca="false">IF(OR(C1790="",D1790=""),"",ROUND(MOD(D1790-C1790,1)*24,2))</f>
        <v/>
      </c>
      <c r="I1790" s="18"/>
      <c r="J1790" s="18"/>
      <c r="K1790" s="18"/>
    </row>
    <row r="1791" customFormat="false" ht="15" hidden="false" customHeight="false" outlineLevel="0" collapsed="false">
      <c r="A1791" s="17"/>
      <c r="B1791" s="18"/>
      <c r="C1791" s="19"/>
      <c r="D1791" s="19"/>
      <c r="E1791" s="18"/>
      <c r="F1791" s="18"/>
      <c r="G1791" s="13" t="str">
        <f aca="false">IF(F1791="","",IFERROR(INDEX(Metas!$B$5:$B$54,MATCH(F1791,Metas!$A$5:$A$54,0)),"⚠ ID de meta no existe"))</f>
        <v/>
      </c>
      <c r="H1791" s="16" t="str">
        <f aca="false">IF(OR(C1791="",D1791=""),"",ROUND(MOD(D1791-C1791,1)*24,2))</f>
        <v/>
      </c>
      <c r="I1791" s="18"/>
      <c r="J1791" s="18"/>
      <c r="K1791" s="18"/>
    </row>
    <row r="1792" customFormat="false" ht="15" hidden="false" customHeight="false" outlineLevel="0" collapsed="false">
      <c r="A1792" s="17"/>
      <c r="B1792" s="18"/>
      <c r="C1792" s="19"/>
      <c r="D1792" s="19"/>
      <c r="E1792" s="18"/>
      <c r="F1792" s="18"/>
      <c r="G1792" s="13" t="str">
        <f aca="false">IF(F1792="","",IFERROR(INDEX(Metas!$B$5:$B$54,MATCH(F1792,Metas!$A$5:$A$54,0)),"⚠ ID de meta no existe"))</f>
        <v/>
      </c>
      <c r="H1792" s="16" t="str">
        <f aca="false">IF(OR(C1792="",D1792=""),"",ROUND(MOD(D1792-C1792,1)*24,2))</f>
        <v/>
      </c>
      <c r="I1792" s="18"/>
      <c r="J1792" s="18"/>
      <c r="K1792" s="18"/>
    </row>
    <row r="1793" customFormat="false" ht="15" hidden="false" customHeight="false" outlineLevel="0" collapsed="false">
      <c r="A1793" s="17"/>
      <c r="B1793" s="18"/>
      <c r="C1793" s="19"/>
      <c r="D1793" s="19"/>
      <c r="E1793" s="18"/>
      <c r="F1793" s="18"/>
      <c r="G1793" s="13" t="str">
        <f aca="false">IF(F1793="","",IFERROR(INDEX(Metas!$B$5:$B$54,MATCH(F1793,Metas!$A$5:$A$54,0)),"⚠ ID de meta no existe"))</f>
        <v/>
      </c>
      <c r="H1793" s="16" t="str">
        <f aca="false">IF(OR(C1793="",D1793=""),"",ROUND(MOD(D1793-C1793,1)*24,2))</f>
        <v/>
      </c>
      <c r="I1793" s="18"/>
      <c r="J1793" s="18"/>
      <c r="K1793" s="18"/>
    </row>
    <row r="1794" customFormat="false" ht="15" hidden="false" customHeight="false" outlineLevel="0" collapsed="false">
      <c r="A1794" s="17"/>
      <c r="B1794" s="18"/>
      <c r="C1794" s="19"/>
      <c r="D1794" s="19"/>
      <c r="E1794" s="18"/>
      <c r="F1794" s="18"/>
      <c r="G1794" s="13" t="str">
        <f aca="false">IF(F1794="","",IFERROR(INDEX(Metas!$B$5:$B$54,MATCH(F1794,Metas!$A$5:$A$54,0)),"⚠ ID de meta no existe"))</f>
        <v/>
      </c>
      <c r="H1794" s="16" t="str">
        <f aca="false">IF(OR(C1794="",D1794=""),"",ROUND(MOD(D1794-C1794,1)*24,2))</f>
        <v/>
      </c>
      <c r="I1794" s="18"/>
      <c r="J1794" s="18"/>
      <c r="K1794" s="18"/>
    </row>
    <row r="1795" customFormat="false" ht="15" hidden="false" customHeight="false" outlineLevel="0" collapsed="false">
      <c r="A1795" s="17"/>
      <c r="B1795" s="18"/>
      <c r="C1795" s="19"/>
      <c r="D1795" s="19"/>
      <c r="E1795" s="18"/>
      <c r="F1795" s="18"/>
      <c r="G1795" s="13" t="str">
        <f aca="false">IF(F1795="","",IFERROR(INDEX(Metas!$B$5:$B$54,MATCH(F1795,Metas!$A$5:$A$54,0)),"⚠ ID de meta no existe"))</f>
        <v/>
      </c>
      <c r="H1795" s="16" t="str">
        <f aca="false">IF(OR(C1795="",D1795=""),"",ROUND(MOD(D1795-C1795,1)*24,2))</f>
        <v/>
      </c>
      <c r="I1795" s="18"/>
      <c r="J1795" s="18"/>
      <c r="K1795" s="18"/>
    </row>
    <row r="1796" customFormat="false" ht="15" hidden="false" customHeight="false" outlineLevel="0" collapsed="false">
      <c r="A1796" s="17"/>
      <c r="B1796" s="18"/>
      <c r="C1796" s="19"/>
      <c r="D1796" s="19"/>
      <c r="E1796" s="18"/>
      <c r="F1796" s="18"/>
      <c r="G1796" s="13" t="str">
        <f aca="false">IF(F1796="","",IFERROR(INDEX(Metas!$B$5:$B$54,MATCH(F1796,Metas!$A$5:$A$54,0)),"⚠ ID de meta no existe"))</f>
        <v/>
      </c>
      <c r="H1796" s="16" t="str">
        <f aca="false">IF(OR(C1796="",D1796=""),"",ROUND(MOD(D1796-C1796,1)*24,2))</f>
        <v/>
      </c>
      <c r="I1796" s="18"/>
      <c r="J1796" s="18"/>
      <c r="K1796" s="18"/>
    </row>
    <row r="1797" customFormat="false" ht="15" hidden="false" customHeight="false" outlineLevel="0" collapsed="false">
      <c r="A1797" s="17"/>
      <c r="B1797" s="18"/>
      <c r="C1797" s="19"/>
      <c r="D1797" s="19"/>
      <c r="E1797" s="18"/>
      <c r="F1797" s="18"/>
      <c r="G1797" s="13" t="str">
        <f aca="false">IF(F1797="","",IFERROR(INDEX(Metas!$B$5:$B$54,MATCH(F1797,Metas!$A$5:$A$54,0)),"⚠ ID de meta no existe"))</f>
        <v/>
      </c>
      <c r="H1797" s="16" t="str">
        <f aca="false">IF(OR(C1797="",D1797=""),"",ROUND(MOD(D1797-C1797,1)*24,2))</f>
        <v/>
      </c>
      <c r="I1797" s="18"/>
      <c r="J1797" s="18"/>
      <c r="K1797" s="18"/>
    </row>
    <row r="1798" customFormat="false" ht="15" hidden="false" customHeight="false" outlineLevel="0" collapsed="false">
      <c r="A1798" s="17"/>
      <c r="B1798" s="18"/>
      <c r="C1798" s="19"/>
      <c r="D1798" s="19"/>
      <c r="E1798" s="18"/>
      <c r="F1798" s="18"/>
      <c r="G1798" s="13" t="str">
        <f aca="false">IF(F1798="","",IFERROR(INDEX(Metas!$B$5:$B$54,MATCH(F1798,Metas!$A$5:$A$54,0)),"⚠ ID de meta no existe"))</f>
        <v/>
      </c>
      <c r="H1798" s="16" t="str">
        <f aca="false">IF(OR(C1798="",D1798=""),"",ROUND(MOD(D1798-C1798,1)*24,2))</f>
        <v/>
      </c>
      <c r="I1798" s="18"/>
      <c r="J1798" s="18"/>
      <c r="K1798" s="18"/>
    </row>
    <row r="1799" customFormat="false" ht="15" hidden="false" customHeight="false" outlineLevel="0" collapsed="false">
      <c r="A1799" s="17"/>
      <c r="B1799" s="18"/>
      <c r="C1799" s="19"/>
      <c r="D1799" s="19"/>
      <c r="E1799" s="18"/>
      <c r="F1799" s="18"/>
      <c r="G1799" s="13" t="str">
        <f aca="false">IF(F1799="","",IFERROR(INDEX(Metas!$B$5:$B$54,MATCH(F1799,Metas!$A$5:$A$54,0)),"⚠ ID de meta no existe"))</f>
        <v/>
      </c>
      <c r="H1799" s="16" t="str">
        <f aca="false">IF(OR(C1799="",D1799=""),"",ROUND(MOD(D1799-C1799,1)*24,2))</f>
        <v/>
      </c>
      <c r="I1799" s="18"/>
      <c r="J1799" s="18"/>
      <c r="K1799" s="18"/>
    </row>
    <row r="1800" customFormat="false" ht="15" hidden="false" customHeight="false" outlineLevel="0" collapsed="false">
      <c r="A1800" s="17"/>
      <c r="B1800" s="18"/>
      <c r="C1800" s="19"/>
      <c r="D1800" s="19"/>
      <c r="E1800" s="18"/>
      <c r="F1800" s="18"/>
      <c r="G1800" s="13" t="str">
        <f aca="false">IF(F1800="","",IFERROR(INDEX(Metas!$B$5:$B$54,MATCH(F1800,Metas!$A$5:$A$54,0)),"⚠ ID de meta no existe"))</f>
        <v/>
      </c>
      <c r="H1800" s="16" t="str">
        <f aca="false">IF(OR(C1800="",D1800=""),"",ROUND(MOD(D1800-C1800,1)*24,2))</f>
        <v/>
      </c>
      <c r="I1800" s="18"/>
      <c r="J1800" s="18"/>
      <c r="K1800" s="18"/>
    </row>
    <row r="1801" customFormat="false" ht="15" hidden="false" customHeight="false" outlineLevel="0" collapsed="false">
      <c r="A1801" s="17"/>
      <c r="B1801" s="18"/>
      <c r="C1801" s="19"/>
      <c r="D1801" s="19"/>
      <c r="E1801" s="18"/>
      <c r="F1801" s="18"/>
      <c r="G1801" s="13" t="str">
        <f aca="false">IF(F1801="","",IFERROR(INDEX(Metas!$B$5:$B$54,MATCH(F1801,Metas!$A$5:$A$54,0)),"⚠ ID de meta no existe"))</f>
        <v/>
      </c>
      <c r="H1801" s="16" t="str">
        <f aca="false">IF(OR(C1801="",D1801=""),"",ROUND(MOD(D1801-C1801,1)*24,2))</f>
        <v/>
      </c>
      <c r="I1801" s="18"/>
      <c r="J1801" s="18"/>
      <c r="K1801" s="18"/>
    </row>
    <row r="1802" customFormat="false" ht="15" hidden="false" customHeight="false" outlineLevel="0" collapsed="false">
      <c r="A1802" s="17"/>
      <c r="B1802" s="18"/>
      <c r="C1802" s="19"/>
      <c r="D1802" s="19"/>
      <c r="E1802" s="18"/>
      <c r="F1802" s="18"/>
      <c r="G1802" s="13" t="str">
        <f aca="false">IF(F1802="","",IFERROR(INDEX(Metas!$B$5:$B$54,MATCH(F1802,Metas!$A$5:$A$54,0)),"⚠ ID de meta no existe"))</f>
        <v/>
      </c>
      <c r="H1802" s="16" t="str">
        <f aca="false">IF(OR(C1802="",D1802=""),"",ROUND(MOD(D1802-C1802,1)*24,2))</f>
        <v/>
      </c>
      <c r="I1802" s="18"/>
      <c r="J1802" s="18"/>
      <c r="K1802" s="18"/>
    </row>
    <row r="1803" customFormat="false" ht="15" hidden="false" customHeight="false" outlineLevel="0" collapsed="false">
      <c r="A1803" s="17"/>
      <c r="B1803" s="18"/>
      <c r="C1803" s="19"/>
      <c r="D1803" s="19"/>
      <c r="E1803" s="18"/>
      <c r="F1803" s="18"/>
      <c r="G1803" s="13" t="str">
        <f aca="false">IF(F1803="","",IFERROR(INDEX(Metas!$B$5:$B$54,MATCH(F1803,Metas!$A$5:$A$54,0)),"⚠ ID de meta no existe"))</f>
        <v/>
      </c>
      <c r="H1803" s="16" t="str">
        <f aca="false">IF(OR(C1803="",D1803=""),"",ROUND(MOD(D1803-C1803,1)*24,2))</f>
        <v/>
      </c>
      <c r="I1803" s="18"/>
      <c r="J1803" s="18"/>
      <c r="K1803" s="18"/>
    </row>
    <row r="1804" customFormat="false" ht="15" hidden="false" customHeight="false" outlineLevel="0" collapsed="false">
      <c r="A1804" s="17"/>
      <c r="B1804" s="18"/>
      <c r="C1804" s="19"/>
      <c r="D1804" s="19"/>
      <c r="E1804" s="18"/>
      <c r="F1804" s="18"/>
      <c r="G1804" s="13" t="str">
        <f aca="false">IF(F1804="","",IFERROR(INDEX(Metas!$B$5:$B$54,MATCH(F1804,Metas!$A$5:$A$54,0)),"⚠ ID de meta no existe"))</f>
        <v/>
      </c>
      <c r="H1804" s="16" t="str">
        <f aca="false">IF(OR(C1804="",D1804=""),"",ROUND(MOD(D1804-C1804,1)*24,2))</f>
        <v/>
      </c>
      <c r="I1804" s="18"/>
      <c r="J1804" s="18"/>
      <c r="K1804" s="18"/>
    </row>
    <row r="1805" customFormat="false" ht="15" hidden="false" customHeight="false" outlineLevel="0" collapsed="false">
      <c r="A1805" s="17"/>
      <c r="B1805" s="18"/>
      <c r="C1805" s="19"/>
      <c r="D1805" s="19"/>
      <c r="E1805" s="18"/>
      <c r="F1805" s="18"/>
      <c r="G1805" s="13" t="str">
        <f aca="false">IF(F1805="","",IFERROR(INDEX(Metas!$B$5:$B$54,MATCH(F1805,Metas!$A$5:$A$54,0)),"⚠ ID de meta no existe"))</f>
        <v/>
      </c>
      <c r="H1805" s="16" t="str">
        <f aca="false">IF(OR(C1805="",D1805=""),"",ROUND(MOD(D1805-C1805,1)*24,2))</f>
        <v/>
      </c>
      <c r="I1805" s="18"/>
      <c r="J1805" s="18"/>
      <c r="K1805" s="18"/>
    </row>
    <row r="1806" customFormat="false" ht="15" hidden="false" customHeight="false" outlineLevel="0" collapsed="false">
      <c r="A1806" s="17"/>
      <c r="B1806" s="18"/>
      <c r="C1806" s="19"/>
      <c r="D1806" s="19"/>
      <c r="E1806" s="18"/>
      <c r="F1806" s="18"/>
      <c r="G1806" s="13" t="str">
        <f aca="false">IF(F1806="","",IFERROR(INDEX(Metas!$B$5:$B$54,MATCH(F1806,Metas!$A$5:$A$54,0)),"⚠ ID de meta no existe"))</f>
        <v/>
      </c>
      <c r="H1806" s="16" t="str">
        <f aca="false">IF(OR(C1806="",D1806=""),"",ROUND(MOD(D1806-C1806,1)*24,2))</f>
        <v/>
      </c>
      <c r="I1806" s="18"/>
      <c r="J1806" s="18"/>
      <c r="K1806" s="18"/>
    </row>
    <row r="1807" customFormat="false" ht="15" hidden="false" customHeight="false" outlineLevel="0" collapsed="false">
      <c r="A1807" s="17"/>
      <c r="B1807" s="18"/>
      <c r="C1807" s="19"/>
      <c r="D1807" s="19"/>
      <c r="E1807" s="18"/>
      <c r="F1807" s="18"/>
      <c r="G1807" s="13" t="str">
        <f aca="false">IF(F1807="","",IFERROR(INDEX(Metas!$B$5:$B$54,MATCH(F1807,Metas!$A$5:$A$54,0)),"⚠ ID de meta no existe"))</f>
        <v/>
      </c>
      <c r="H1807" s="16" t="str">
        <f aca="false">IF(OR(C1807="",D1807=""),"",ROUND(MOD(D1807-C1807,1)*24,2))</f>
        <v/>
      </c>
      <c r="I1807" s="18"/>
      <c r="J1807" s="18"/>
      <c r="K1807" s="18"/>
    </row>
    <row r="1808" customFormat="false" ht="15" hidden="false" customHeight="false" outlineLevel="0" collapsed="false">
      <c r="A1808" s="17"/>
      <c r="B1808" s="18"/>
      <c r="C1808" s="19"/>
      <c r="D1808" s="19"/>
      <c r="E1808" s="18"/>
      <c r="F1808" s="18"/>
      <c r="G1808" s="13" t="str">
        <f aca="false">IF(F1808="","",IFERROR(INDEX(Metas!$B$5:$B$54,MATCH(F1808,Metas!$A$5:$A$54,0)),"⚠ ID de meta no existe"))</f>
        <v/>
      </c>
      <c r="H1808" s="16" t="str">
        <f aca="false">IF(OR(C1808="",D1808=""),"",ROUND(MOD(D1808-C1808,1)*24,2))</f>
        <v/>
      </c>
      <c r="I1808" s="18"/>
      <c r="J1808" s="18"/>
      <c r="K1808" s="18"/>
    </row>
    <row r="1809" customFormat="false" ht="15" hidden="false" customHeight="false" outlineLevel="0" collapsed="false">
      <c r="A1809" s="17"/>
      <c r="B1809" s="18"/>
      <c r="C1809" s="19"/>
      <c r="D1809" s="19"/>
      <c r="E1809" s="18"/>
      <c r="F1809" s="18"/>
      <c r="G1809" s="13" t="str">
        <f aca="false">IF(F1809="","",IFERROR(INDEX(Metas!$B$5:$B$54,MATCH(F1809,Metas!$A$5:$A$54,0)),"⚠ ID de meta no existe"))</f>
        <v/>
      </c>
      <c r="H1809" s="16" t="str">
        <f aca="false">IF(OR(C1809="",D1809=""),"",ROUND(MOD(D1809-C1809,1)*24,2))</f>
        <v/>
      </c>
      <c r="I1809" s="18"/>
      <c r="J1809" s="18"/>
      <c r="K1809" s="18"/>
    </row>
    <row r="1810" customFormat="false" ht="15" hidden="false" customHeight="false" outlineLevel="0" collapsed="false">
      <c r="A1810" s="17"/>
      <c r="B1810" s="18"/>
      <c r="C1810" s="19"/>
      <c r="D1810" s="19"/>
      <c r="E1810" s="18"/>
      <c r="F1810" s="18"/>
      <c r="G1810" s="13" t="str">
        <f aca="false">IF(F1810="","",IFERROR(INDEX(Metas!$B$5:$B$54,MATCH(F1810,Metas!$A$5:$A$54,0)),"⚠ ID de meta no existe"))</f>
        <v/>
      </c>
      <c r="H1810" s="16" t="str">
        <f aca="false">IF(OR(C1810="",D1810=""),"",ROUND(MOD(D1810-C1810,1)*24,2))</f>
        <v/>
      </c>
      <c r="I1810" s="18"/>
      <c r="J1810" s="18"/>
      <c r="K1810" s="18"/>
    </row>
    <row r="1811" customFormat="false" ht="15" hidden="false" customHeight="false" outlineLevel="0" collapsed="false">
      <c r="A1811" s="17"/>
      <c r="B1811" s="18"/>
      <c r="C1811" s="19"/>
      <c r="D1811" s="19"/>
      <c r="E1811" s="18"/>
      <c r="F1811" s="18"/>
      <c r="G1811" s="13" t="str">
        <f aca="false">IF(F1811="","",IFERROR(INDEX(Metas!$B$5:$B$54,MATCH(F1811,Metas!$A$5:$A$54,0)),"⚠ ID de meta no existe"))</f>
        <v/>
      </c>
      <c r="H1811" s="16" t="str">
        <f aca="false">IF(OR(C1811="",D1811=""),"",ROUND(MOD(D1811-C1811,1)*24,2))</f>
        <v/>
      </c>
      <c r="I1811" s="18"/>
      <c r="J1811" s="18"/>
      <c r="K1811" s="18"/>
    </row>
    <row r="1812" customFormat="false" ht="15" hidden="false" customHeight="false" outlineLevel="0" collapsed="false">
      <c r="A1812" s="17"/>
      <c r="B1812" s="18"/>
      <c r="C1812" s="19"/>
      <c r="D1812" s="19"/>
      <c r="E1812" s="18"/>
      <c r="F1812" s="18"/>
      <c r="G1812" s="13" t="str">
        <f aca="false">IF(F1812="","",IFERROR(INDEX(Metas!$B$5:$B$54,MATCH(F1812,Metas!$A$5:$A$54,0)),"⚠ ID de meta no existe"))</f>
        <v/>
      </c>
      <c r="H1812" s="16" t="str">
        <f aca="false">IF(OR(C1812="",D1812=""),"",ROUND(MOD(D1812-C1812,1)*24,2))</f>
        <v/>
      </c>
      <c r="I1812" s="18"/>
      <c r="J1812" s="18"/>
      <c r="K1812" s="18"/>
    </row>
    <row r="1813" customFormat="false" ht="15" hidden="false" customHeight="false" outlineLevel="0" collapsed="false">
      <c r="A1813" s="17"/>
      <c r="B1813" s="18"/>
      <c r="C1813" s="19"/>
      <c r="D1813" s="19"/>
      <c r="E1813" s="18"/>
      <c r="F1813" s="18"/>
      <c r="G1813" s="13" t="str">
        <f aca="false">IF(F1813="","",IFERROR(INDEX(Metas!$B$5:$B$54,MATCH(F1813,Metas!$A$5:$A$54,0)),"⚠ ID de meta no existe"))</f>
        <v/>
      </c>
      <c r="H1813" s="16" t="str">
        <f aca="false">IF(OR(C1813="",D1813=""),"",ROUND(MOD(D1813-C1813,1)*24,2))</f>
        <v/>
      </c>
      <c r="I1813" s="18"/>
      <c r="J1813" s="18"/>
      <c r="K1813" s="18"/>
    </row>
    <row r="1814" customFormat="false" ht="15" hidden="false" customHeight="false" outlineLevel="0" collapsed="false">
      <c r="A1814" s="17"/>
      <c r="B1814" s="18"/>
      <c r="C1814" s="19"/>
      <c r="D1814" s="19"/>
      <c r="E1814" s="18"/>
      <c r="F1814" s="18"/>
      <c r="G1814" s="13" t="str">
        <f aca="false">IF(F1814="","",IFERROR(INDEX(Metas!$B$5:$B$54,MATCH(F1814,Metas!$A$5:$A$54,0)),"⚠ ID de meta no existe"))</f>
        <v/>
      </c>
      <c r="H1814" s="16" t="str">
        <f aca="false">IF(OR(C1814="",D1814=""),"",ROUND(MOD(D1814-C1814,1)*24,2))</f>
        <v/>
      </c>
      <c r="I1814" s="18"/>
      <c r="J1814" s="18"/>
      <c r="K1814" s="18"/>
    </row>
    <row r="1815" customFormat="false" ht="15" hidden="false" customHeight="false" outlineLevel="0" collapsed="false">
      <c r="A1815" s="17"/>
      <c r="B1815" s="18"/>
      <c r="C1815" s="19"/>
      <c r="D1815" s="19"/>
      <c r="E1815" s="18"/>
      <c r="F1815" s="18"/>
      <c r="G1815" s="13" t="str">
        <f aca="false">IF(F1815="","",IFERROR(INDEX(Metas!$B$5:$B$54,MATCH(F1815,Metas!$A$5:$A$54,0)),"⚠ ID de meta no existe"))</f>
        <v/>
      </c>
      <c r="H1815" s="16" t="str">
        <f aca="false">IF(OR(C1815="",D1815=""),"",ROUND(MOD(D1815-C1815,1)*24,2))</f>
        <v/>
      </c>
      <c r="I1815" s="18"/>
      <c r="J1815" s="18"/>
      <c r="K1815" s="18"/>
    </row>
    <row r="1816" customFormat="false" ht="15" hidden="false" customHeight="false" outlineLevel="0" collapsed="false">
      <c r="A1816" s="17"/>
      <c r="B1816" s="18"/>
      <c r="C1816" s="19"/>
      <c r="D1816" s="19"/>
      <c r="E1816" s="18"/>
      <c r="F1816" s="18"/>
      <c r="G1816" s="13" t="str">
        <f aca="false">IF(F1816="","",IFERROR(INDEX(Metas!$B$5:$B$54,MATCH(F1816,Metas!$A$5:$A$54,0)),"⚠ ID de meta no existe"))</f>
        <v/>
      </c>
      <c r="H1816" s="16" t="str">
        <f aca="false">IF(OR(C1816="",D1816=""),"",ROUND(MOD(D1816-C1816,1)*24,2))</f>
        <v/>
      </c>
      <c r="I1816" s="18"/>
      <c r="J1816" s="18"/>
      <c r="K1816" s="18"/>
    </row>
    <row r="1817" customFormat="false" ht="15" hidden="false" customHeight="false" outlineLevel="0" collapsed="false">
      <c r="A1817" s="17"/>
      <c r="B1817" s="18"/>
      <c r="C1817" s="19"/>
      <c r="D1817" s="19"/>
      <c r="E1817" s="18"/>
      <c r="F1817" s="18"/>
      <c r="G1817" s="13" t="str">
        <f aca="false">IF(F1817="","",IFERROR(INDEX(Metas!$B$5:$B$54,MATCH(F1817,Metas!$A$5:$A$54,0)),"⚠ ID de meta no existe"))</f>
        <v/>
      </c>
      <c r="H1817" s="16" t="str">
        <f aca="false">IF(OR(C1817="",D1817=""),"",ROUND(MOD(D1817-C1817,1)*24,2))</f>
        <v/>
      </c>
      <c r="I1817" s="18"/>
      <c r="J1817" s="18"/>
      <c r="K1817" s="18"/>
    </row>
    <row r="1818" customFormat="false" ht="15" hidden="false" customHeight="false" outlineLevel="0" collapsed="false">
      <c r="A1818" s="17"/>
      <c r="B1818" s="18"/>
      <c r="C1818" s="19"/>
      <c r="D1818" s="19"/>
      <c r="E1818" s="18"/>
      <c r="F1818" s="18"/>
      <c r="G1818" s="13" t="str">
        <f aca="false">IF(F1818="","",IFERROR(INDEX(Metas!$B$5:$B$54,MATCH(F1818,Metas!$A$5:$A$54,0)),"⚠ ID de meta no existe"))</f>
        <v/>
      </c>
      <c r="H1818" s="16" t="str">
        <f aca="false">IF(OR(C1818="",D1818=""),"",ROUND(MOD(D1818-C1818,1)*24,2))</f>
        <v/>
      </c>
      <c r="I1818" s="18"/>
      <c r="J1818" s="18"/>
      <c r="K1818" s="18"/>
    </row>
    <row r="1819" customFormat="false" ht="15" hidden="false" customHeight="false" outlineLevel="0" collapsed="false">
      <c r="A1819" s="17"/>
      <c r="B1819" s="18"/>
      <c r="C1819" s="19"/>
      <c r="D1819" s="19"/>
      <c r="E1819" s="18"/>
      <c r="F1819" s="18"/>
      <c r="G1819" s="13" t="str">
        <f aca="false">IF(F1819="","",IFERROR(INDEX(Metas!$B$5:$B$54,MATCH(F1819,Metas!$A$5:$A$54,0)),"⚠ ID de meta no existe"))</f>
        <v/>
      </c>
      <c r="H1819" s="16" t="str">
        <f aca="false">IF(OR(C1819="",D1819=""),"",ROUND(MOD(D1819-C1819,1)*24,2))</f>
        <v/>
      </c>
      <c r="I1819" s="18"/>
      <c r="J1819" s="18"/>
      <c r="K1819" s="18"/>
    </row>
    <row r="1820" customFormat="false" ht="15" hidden="false" customHeight="false" outlineLevel="0" collapsed="false">
      <c r="A1820" s="17"/>
      <c r="B1820" s="18"/>
      <c r="C1820" s="19"/>
      <c r="D1820" s="19"/>
      <c r="E1820" s="18"/>
      <c r="F1820" s="18"/>
      <c r="G1820" s="13" t="str">
        <f aca="false">IF(F1820="","",IFERROR(INDEX(Metas!$B$5:$B$54,MATCH(F1820,Metas!$A$5:$A$54,0)),"⚠ ID de meta no existe"))</f>
        <v/>
      </c>
      <c r="H1820" s="16" t="str">
        <f aca="false">IF(OR(C1820="",D1820=""),"",ROUND(MOD(D1820-C1820,1)*24,2))</f>
        <v/>
      </c>
      <c r="I1820" s="18"/>
      <c r="J1820" s="18"/>
      <c r="K1820" s="18"/>
    </row>
    <row r="1821" customFormat="false" ht="15" hidden="false" customHeight="false" outlineLevel="0" collapsed="false">
      <c r="A1821" s="17"/>
      <c r="B1821" s="18"/>
      <c r="C1821" s="19"/>
      <c r="D1821" s="19"/>
      <c r="E1821" s="18"/>
      <c r="F1821" s="18"/>
      <c r="G1821" s="13" t="str">
        <f aca="false">IF(F1821="","",IFERROR(INDEX(Metas!$B$5:$B$54,MATCH(F1821,Metas!$A$5:$A$54,0)),"⚠ ID de meta no existe"))</f>
        <v/>
      </c>
      <c r="H1821" s="16" t="str">
        <f aca="false">IF(OR(C1821="",D1821=""),"",ROUND(MOD(D1821-C1821,1)*24,2))</f>
        <v/>
      </c>
      <c r="I1821" s="18"/>
      <c r="J1821" s="18"/>
      <c r="K1821" s="18"/>
    </row>
    <row r="1822" customFormat="false" ht="15" hidden="false" customHeight="false" outlineLevel="0" collapsed="false">
      <c r="A1822" s="17"/>
      <c r="B1822" s="18"/>
      <c r="C1822" s="19"/>
      <c r="D1822" s="19"/>
      <c r="E1822" s="18"/>
      <c r="F1822" s="18"/>
      <c r="G1822" s="13" t="str">
        <f aca="false">IF(F1822="","",IFERROR(INDEX(Metas!$B$5:$B$54,MATCH(F1822,Metas!$A$5:$A$54,0)),"⚠ ID de meta no existe"))</f>
        <v/>
      </c>
      <c r="H1822" s="16" t="str">
        <f aca="false">IF(OR(C1822="",D1822=""),"",ROUND(MOD(D1822-C1822,1)*24,2))</f>
        <v/>
      </c>
      <c r="I1822" s="18"/>
      <c r="J1822" s="18"/>
      <c r="K1822" s="18"/>
    </row>
    <row r="1823" customFormat="false" ht="15" hidden="false" customHeight="false" outlineLevel="0" collapsed="false">
      <c r="A1823" s="17"/>
      <c r="B1823" s="18"/>
      <c r="C1823" s="19"/>
      <c r="D1823" s="19"/>
      <c r="E1823" s="18"/>
      <c r="F1823" s="18"/>
      <c r="G1823" s="13" t="str">
        <f aca="false">IF(F1823="","",IFERROR(INDEX(Metas!$B$5:$B$54,MATCH(F1823,Metas!$A$5:$A$54,0)),"⚠ ID de meta no existe"))</f>
        <v/>
      </c>
      <c r="H1823" s="16" t="str">
        <f aca="false">IF(OR(C1823="",D1823=""),"",ROUND(MOD(D1823-C1823,1)*24,2))</f>
        <v/>
      </c>
      <c r="I1823" s="18"/>
      <c r="J1823" s="18"/>
      <c r="K1823" s="18"/>
    </row>
    <row r="1824" customFormat="false" ht="15" hidden="false" customHeight="false" outlineLevel="0" collapsed="false">
      <c r="A1824" s="17"/>
      <c r="B1824" s="18"/>
      <c r="C1824" s="19"/>
      <c r="D1824" s="19"/>
      <c r="E1824" s="18"/>
      <c r="F1824" s="18"/>
      <c r="G1824" s="13" t="str">
        <f aca="false">IF(F1824="","",IFERROR(INDEX(Metas!$B$5:$B$54,MATCH(F1824,Metas!$A$5:$A$54,0)),"⚠ ID de meta no existe"))</f>
        <v/>
      </c>
      <c r="H1824" s="16" t="str">
        <f aca="false">IF(OR(C1824="",D1824=""),"",ROUND(MOD(D1824-C1824,1)*24,2))</f>
        <v/>
      </c>
      <c r="I1824" s="18"/>
      <c r="J1824" s="18"/>
      <c r="K1824" s="18"/>
    </row>
    <row r="1825" customFormat="false" ht="15" hidden="false" customHeight="false" outlineLevel="0" collapsed="false">
      <c r="A1825" s="17"/>
      <c r="B1825" s="18"/>
      <c r="C1825" s="19"/>
      <c r="D1825" s="19"/>
      <c r="E1825" s="18"/>
      <c r="F1825" s="18"/>
      <c r="G1825" s="13" t="str">
        <f aca="false">IF(F1825="","",IFERROR(INDEX(Metas!$B$5:$B$54,MATCH(F1825,Metas!$A$5:$A$54,0)),"⚠ ID de meta no existe"))</f>
        <v/>
      </c>
      <c r="H1825" s="16" t="str">
        <f aca="false">IF(OR(C1825="",D1825=""),"",ROUND(MOD(D1825-C1825,1)*24,2))</f>
        <v/>
      </c>
      <c r="I1825" s="18"/>
      <c r="J1825" s="18"/>
      <c r="K1825" s="18"/>
    </row>
    <row r="1826" customFormat="false" ht="15" hidden="false" customHeight="false" outlineLevel="0" collapsed="false">
      <c r="A1826" s="17"/>
      <c r="B1826" s="18"/>
      <c r="C1826" s="19"/>
      <c r="D1826" s="19"/>
      <c r="E1826" s="18"/>
      <c r="F1826" s="18"/>
      <c r="G1826" s="13" t="str">
        <f aca="false">IF(F1826="","",IFERROR(INDEX(Metas!$B$5:$B$54,MATCH(F1826,Metas!$A$5:$A$54,0)),"⚠ ID de meta no existe"))</f>
        <v/>
      </c>
      <c r="H1826" s="16" t="str">
        <f aca="false">IF(OR(C1826="",D1826=""),"",ROUND(MOD(D1826-C1826,1)*24,2))</f>
        <v/>
      </c>
      <c r="I1826" s="18"/>
      <c r="J1826" s="18"/>
      <c r="K1826" s="18"/>
    </row>
    <row r="1827" customFormat="false" ht="15" hidden="false" customHeight="false" outlineLevel="0" collapsed="false">
      <c r="A1827" s="17"/>
      <c r="B1827" s="18"/>
      <c r="C1827" s="19"/>
      <c r="D1827" s="19"/>
      <c r="E1827" s="18"/>
      <c r="F1827" s="18"/>
      <c r="G1827" s="13" t="str">
        <f aca="false">IF(F1827="","",IFERROR(INDEX(Metas!$B$5:$B$54,MATCH(F1827,Metas!$A$5:$A$54,0)),"⚠ ID de meta no existe"))</f>
        <v/>
      </c>
      <c r="H1827" s="16" t="str">
        <f aca="false">IF(OR(C1827="",D1827=""),"",ROUND(MOD(D1827-C1827,1)*24,2))</f>
        <v/>
      </c>
      <c r="I1827" s="18"/>
      <c r="J1827" s="18"/>
      <c r="K1827" s="18"/>
    </row>
    <row r="1828" customFormat="false" ht="15" hidden="false" customHeight="false" outlineLevel="0" collapsed="false">
      <c r="A1828" s="17"/>
      <c r="B1828" s="18"/>
      <c r="C1828" s="19"/>
      <c r="D1828" s="19"/>
      <c r="E1828" s="18"/>
      <c r="F1828" s="18"/>
      <c r="G1828" s="13" t="str">
        <f aca="false">IF(F1828="","",IFERROR(INDEX(Metas!$B$5:$B$54,MATCH(F1828,Metas!$A$5:$A$54,0)),"⚠ ID de meta no existe"))</f>
        <v/>
      </c>
      <c r="H1828" s="16" t="str">
        <f aca="false">IF(OR(C1828="",D1828=""),"",ROUND(MOD(D1828-C1828,1)*24,2))</f>
        <v/>
      </c>
      <c r="I1828" s="18"/>
      <c r="J1828" s="18"/>
      <c r="K1828" s="18"/>
    </row>
    <row r="1829" customFormat="false" ht="15" hidden="false" customHeight="false" outlineLevel="0" collapsed="false">
      <c r="A1829" s="17"/>
      <c r="B1829" s="18"/>
      <c r="C1829" s="19"/>
      <c r="D1829" s="19"/>
      <c r="E1829" s="18"/>
      <c r="F1829" s="18"/>
      <c r="G1829" s="13" t="str">
        <f aca="false">IF(F1829="","",IFERROR(INDEX(Metas!$B$5:$B$54,MATCH(F1829,Metas!$A$5:$A$54,0)),"⚠ ID de meta no existe"))</f>
        <v/>
      </c>
      <c r="H1829" s="16" t="str">
        <f aca="false">IF(OR(C1829="",D1829=""),"",ROUND(MOD(D1829-C1829,1)*24,2))</f>
        <v/>
      </c>
      <c r="I1829" s="18"/>
      <c r="J1829" s="18"/>
      <c r="K1829" s="18"/>
    </row>
    <row r="1830" customFormat="false" ht="15" hidden="false" customHeight="false" outlineLevel="0" collapsed="false">
      <c r="A1830" s="17"/>
      <c r="B1830" s="18"/>
      <c r="C1830" s="19"/>
      <c r="D1830" s="19"/>
      <c r="E1830" s="18"/>
      <c r="F1830" s="18"/>
      <c r="G1830" s="13" t="str">
        <f aca="false">IF(F1830="","",IFERROR(INDEX(Metas!$B$5:$B$54,MATCH(F1830,Metas!$A$5:$A$54,0)),"⚠ ID de meta no existe"))</f>
        <v/>
      </c>
      <c r="H1830" s="16" t="str">
        <f aca="false">IF(OR(C1830="",D1830=""),"",ROUND(MOD(D1830-C1830,1)*24,2))</f>
        <v/>
      </c>
      <c r="I1830" s="18"/>
      <c r="J1830" s="18"/>
      <c r="K1830" s="18"/>
    </row>
    <row r="1831" customFormat="false" ht="15" hidden="false" customHeight="false" outlineLevel="0" collapsed="false">
      <c r="A1831" s="17"/>
      <c r="B1831" s="18"/>
      <c r="C1831" s="19"/>
      <c r="D1831" s="19"/>
      <c r="E1831" s="18"/>
      <c r="F1831" s="18"/>
      <c r="G1831" s="13" t="str">
        <f aca="false">IF(F1831="","",IFERROR(INDEX(Metas!$B$5:$B$54,MATCH(F1831,Metas!$A$5:$A$54,0)),"⚠ ID de meta no existe"))</f>
        <v/>
      </c>
      <c r="H1831" s="16" t="str">
        <f aca="false">IF(OR(C1831="",D1831=""),"",ROUND(MOD(D1831-C1831,1)*24,2))</f>
        <v/>
      </c>
      <c r="I1831" s="18"/>
      <c r="J1831" s="18"/>
      <c r="K1831" s="18"/>
    </row>
    <row r="1832" customFormat="false" ht="15" hidden="false" customHeight="false" outlineLevel="0" collapsed="false">
      <c r="A1832" s="17"/>
      <c r="B1832" s="18"/>
      <c r="C1832" s="19"/>
      <c r="D1832" s="19"/>
      <c r="E1832" s="18"/>
      <c r="F1832" s="18"/>
      <c r="G1832" s="13" t="str">
        <f aca="false">IF(F1832="","",IFERROR(INDEX(Metas!$B$5:$B$54,MATCH(F1832,Metas!$A$5:$A$54,0)),"⚠ ID de meta no existe"))</f>
        <v/>
      </c>
      <c r="H1832" s="16" t="str">
        <f aca="false">IF(OR(C1832="",D1832=""),"",ROUND(MOD(D1832-C1832,1)*24,2))</f>
        <v/>
      </c>
      <c r="I1832" s="18"/>
      <c r="J1832" s="18"/>
      <c r="K1832" s="18"/>
    </row>
    <row r="1833" customFormat="false" ht="15" hidden="false" customHeight="false" outlineLevel="0" collapsed="false">
      <c r="A1833" s="17"/>
      <c r="B1833" s="18"/>
      <c r="C1833" s="19"/>
      <c r="D1833" s="19"/>
      <c r="E1833" s="18"/>
      <c r="F1833" s="18"/>
      <c r="G1833" s="13" t="str">
        <f aca="false">IF(F1833="","",IFERROR(INDEX(Metas!$B$5:$B$54,MATCH(F1833,Metas!$A$5:$A$54,0)),"⚠ ID de meta no existe"))</f>
        <v/>
      </c>
      <c r="H1833" s="16" t="str">
        <f aca="false">IF(OR(C1833="",D1833=""),"",ROUND(MOD(D1833-C1833,1)*24,2))</f>
        <v/>
      </c>
      <c r="I1833" s="18"/>
      <c r="J1833" s="18"/>
      <c r="K1833" s="18"/>
    </row>
    <row r="1834" customFormat="false" ht="15" hidden="false" customHeight="false" outlineLevel="0" collapsed="false">
      <c r="A1834" s="17"/>
      <c r="B1834" s="18"/>
      <c r="C1834" s="19"/>
      <c r="D1834" s="19"/>
      <c r="E1834" s="18"/>
      <c r="F1834" s="18"/>
      <c r="G1834" s="13" t="str">
        <f aca="false">IF(F1834="","",IFERROR(INDEX(Metas!$B$5:$B$54,MATCH(F1834,Metas!$A$5:$A$54,0)),"⚠ ID de meta no existe"))</f>
        <v/>
      </c>
      <c r="H1834" s="16" t="str">
        <f aca="false">IF(OR(C1834="",D1834=""),"",ROUND(MOD(D1834-C1834,1)*24,2))</f>
        <v/>
      </c>
      <c r="I1834" s="18"/>
      <c r="J1834" s="18"/>
      <c r="K1834" s="18"/>
    </row>
    <row r="1835" customFormat="false" ht="15" hidden="false" customHeight="false" outlineLevel="0" collapsed="false">
      <c r="A1835" s="17"/>
      <c r="B1835" s="18"/>
      <c r="C1835" s="19"/>
      <c r="D1835" s="19"/>
      <c r="E1835" s="18"/>
      <c r="F1835" s="18"/>
      <c r="G1835" s="13" t="str">
        <f aca="false">IF(F1835="","",IFERROR(INDEX(Metas!$B$5:$B$54,MATCH(F1835,Metas!$A$5:$A$54,0)),"⚠ ID de meta no existe"))</f>
        <v/>
      </c>
      <c r="H1835" s="16" t="str">
        <f aca="false">IF(OR(C1835="",D1835=""),"",ROUND(MOD(D1835-C1835,1)*24,2))</f>
        <v/>
      </c>
      <c r="I1835" s="18"/>
      <c r="J1835" s="18"/>
      <c r="K1835" s="18"/>
    </row>
    <row r="1836" customFormat="false" ht="15" hidden="false" customHeight="false" outlineLevel="0" collapsed="false">
      <c r="A1836" s="17"/>
      <c r="B1836" s="18"/>
      <c r="C1836" s="19"/>
      <c r="D1836" s="19"/>
      <c r="E1836" s="18"/>
      <c r="F1836" s="18"/>
      <c r="G1836" s="13" t="str">
        <f aca="false">IF(F1836="","",IFERROR(INDEX(Metas!$B$5:$B$54,MATCH(F1836,Metas!$A$5:$A$54,0)),"⚠ ID de meta no existe"))</f>
        <v/>
      </c>
      <c r="H1836" s="16" t="str">
        <f aca="false">IF(OR(C1836="",D1836=""),"",ROUND(MOD(D1836-C1836,1)*24,2))</f>
        <v/>
      </c>
      <c r="I1836" s="18"/>
      <c r="J1836" s="18"/>
      <c r="K1836" s="18"/>
    </row>
    <row r="1837" customFormat="false" ht="15" hidden="false" customHeight="false" outlineLevel="0" collapsed="false">
      <c r="A1837" s="17"/>
      <c r="B1837" s="18"/>
      <c r="C1837" s="19"/>
      <c r="D1837" s="19"/>
      <c r="E1837" s="18"/>
      <c r="F1837" s="18"/>
      <c r="G1837" s="13" t="str">
        <f aca="false">IF(F1837="","",IFERROR(INDEX(Metas!$B$5:$B$54,MATCH(F1837,Metas!$A$5:$A$54,0)),"⚠ ID de meta no existe"))</f>
        <v/>
      </c>
      <c r="H1837" s="16" t="str">
        <f aca="false">IF(OR(C1837="",D1837=""),"",ROUND(MOD(D1837-C1837,1)*24,2))</f>
        <v/>
      </c>
      <c r="I1837" s="18"/>
      <c r="J1837" s="18"/>
      <c r="K1837" s="18"/>
    </row>
    <row r="1838" customFormat="false" ht="15" hidden="false" customHeight="false" outlineLevel="0" collapsed="false">
      <c r="A1838" s="17"/>
      <c r="B1838" s="18"/>
      <c r="C1838" s="19"/>
      <c r="D1838" s="19"/>
      <c r="E1838" s="18"/>
      <c r="F1838" s="18"/>
      <c r="G1838" s="13" t="str">
        <f aca="false">IF(F1838="","",IFERROR(INDEX(Metas!$B$5:$B$54,MATCH(F1838,Metas!$A$5:$A$54,0)),"⚠ ID de meta no existe"))</f>
        <v/>
      </c>
      <c r="H1838" s="16" t="str">
        <f aca="false">IF(OR(C1838="",D1838=""),"",ROUND(MOD(D1838-C1838,1)*24,2))</f>
        <v/>
      </c>
      <c r="I1838" s="18"/>
      <c r="J1838" s="18"/>
      <c r="K1838" s="18"/>
    </row>
    <row r="1839" customFormat="false" ht="15" hidden="false" customHeight="false" outlineLevel="0" collapsed="false">
      <c r="A1839" s="17"/>
      <c r="B1839" s="18"/>
      <c r="C1839" s="19"/>
      <c r="D1839" s="19"/>
      <c r="E1839" s="18"/>
      <c r="F1839" s="18"/>
      <c r="G1839" s="13" t="str">
        <f aca="false">IF(F1839="","",IFERROR(INDEX(Metas!$B$5:$B$54,MATCH(F1839,Metas!$A$5:$A$54,0)),"⚠ ID de meta no existe"))</f>
        <v/>
      </c>
      <c r="H1839" s="16" t="str">
        <f aca="false">IF(OR(C1839="",D1839=""),"",ROUND(MOD(D1839-C1839,1)*24,2))</f>
        <v/>
      </c>
      <c r="I1839" s="18"/>
      <c r="J1839" s="18"/>
      <c r="K1839" s="18"/>
    </row>
    <row r="1840" customFormat="false" ht="15" hidden="false" customHeight="false" outlineLevel="0" collapsed="false">
      <c r="A1840" s="17"/>
      <c r="B1840" s="18"/>
      <c r="C1840" s="19"/>
      <c r="D1840" s="19"/>
      <c r="E1840" s="18"/>
      <c r="F1840" s="18"/>
      <c r="G1840" s="13" t="str">
        <f aca="false">IF(F1840="","",IFERROR(INDEX(Metas!$B$5:$B$54,MATCH(F1840,Metas!$A$5:$A$54,0)),"⚠ ID de meta no existe"))</f>
        <v/>
      </c>
      <c r="H1840" s="16" t="str">
        <f aca="false">IF(OR(C1840="",D1840=""),"",ROUND(MOD(D1840-C1840,1)*24,2))</f>
        <v/>
      </c>
      <c r="I1840" s="18"/>
      <c r="J1840" s="18"/>
      <c r="K1840" s="18"/>
    </row>
    <row r="1841" customFormat="false" ht="15" hidden="false" customHeight="false" outlineLevel="0" collapsed="false">
      <c r="A1841" s="17"/>
      <c r="B1841" s="18"/>
      <c r="C1841" s="19"/>
      <c r="D1841" s="19"/>
      <c r="E1841" s="18"/>
      <c r="F1841" s="18"/>
      <c r="G1841" s="13" t="str">
        <f aca="false">IF(F1841="","",IFERROR(INDEX(Metas!$B$5:$B$54,MATCH(F1841,Metas!$A$5:$A$54,0)),"⚠ ID de meta no existe"))</f>
        <v/>
      </c>
      <c r="H1841" s="16" t="str">
        <f aca="false">IF(OR(C1841="",D1841=""),"",ROUND(MOD(D1841-C1841,1)*24,2))</f>
        <v/>
      </c>
      <c r="I1841" s="18"/>
      <c r="J1841" s="18"/>
      <c r="K1841" s="18"/>
    </row>
    <row r="1842" customFormat="false" ht="15" hidden="false" customHeight="false" outlineLevel="0" collapsed="false">
      <c r="A1842" s="17"/>
      <c r="B1842" s="18"/>
      <c r="C1842" s="19"/>
      <c r="D1842" s="19"/>
      <c r="E1842" s="18"/>
      <c r="F1842" s="18"/>
      <c r="G1842" s="13" t="str">
        <f aca="false">IF(F1842="","",IFERROR(INDEX(Metas!$B$5:$B$54,MATCH(F1842,Metas!$A$5:$A$54,0)),"⚠ ID de meta no existe"))</f>
        <v/>
      </c>
      <c r="H1842" s="16" t="str">
        <f aca="false">IF(OR(C1842="",D1842=""),"",ROUND(MOD(D1842-C1842,1)*24,2))</f>
        <v/>
      </c>
      <c r="I1842" s="18"/>
      <c r="J1842" s="18"/>
      <c r="K1842" s="18"/>
    </row>
    <row r="1843" customFormat="false" ht="15" hidden="false" customHeight="false" outlineLevel="0" collapsed="false">
      <c r="A1843" s="17"/>
      <c r="B1843" s="18"/>
      <c r="C1843" s="19"/>
      <c r="D1843" s="19"/>
      <c r="E1843" s="18"/>
      <c r="F1843" s="18"/>
      <c r="G1843" s="13" t="str">
        <f aca="false">IF(F1843="","",IFERROR(INDEX(Metas!$B$5:$B$54,MATCH(F1843,Metas!$A$5:$A$54,0)),"⚠ ID de meta no existe"))</f>
        <v/>
      </c>
      <c r="H1843" s="16" t="str">
        <f aca="false">IF(OR(C1843="",D1843=""),"",ROUND(MOD(D1843-C1843,1)*24,2))</f>
        <v/>
      </c>
      <c r="I1843" s="18"/>
      <c r="J1843" s="18"/>
      <c r="K1843" s="18"/>
    </row>
    <row r="1844" customFormat="false" ht="15" hidden="false" customHeight="false" outlineLevel="0" collapsed="false">
      <c r="A1844" s="17"/>
      <c r="B1844" s="18"/>
      <c r="C1844" s="19"/>
      <c r="D1844" s="19"/>
      <c r="E1844" s="18"/>
      <c r="F1844" s="18"/>
      <c r="G1844" s="13" t="str">
        <f aca="false">IF(F1844="","",IFERROR(INDEX(Metas!$B$5:$B$54,MATCH(F1844,Metas!$A$5:$A$54,0)),"⚠ ID de meta no existe"))</f>
        <v/>
      </c>
      <c r="H1844" s="16" t="str">
        <f aca="false">IF(OR(C1844="",D1844=""),"",ROUND(MOD(D1844-C1844,1)*24,2))</f>
        <v/>
      </c>
      <c r="I1844" s="18"/>
      <c r="J1844" s="18"/>
      <c r="K1844" s="18"/>
    </row>
    <row r="1845" customFormat="false" ht="15" hidden="false" customHeight="false" outlineLevel="0" collapsed="false">
      <c r="A1845" s="17"/>
      <c r="B1845" s="18"/>
      <c r="C1845" s="19"/>
      <c r="D1845" s="19"/>
      <c r="E1845" s="18"/>
      <c r="F1845" s="18"/>
      <c r="G1845" s="13" t="str">
        <f aca="false">IF(F1845="","",IFERROR(INDEX(Metas!$B$5:$B$54,MATCH(F1845,Metas!$A$5:$A$54,0)),"⚠ ID de meta no existe"))</f>
        <v/>
      </c>
      <c r="H1845" s="16" t="str">
        <f aca="false">IF(OR(C1845="",D1845=""),"",ROUND(MOD(D1845-C1845,1)*24,2))</f>
        <v/>
      </c>
      <c r="I1845" s="18"/>
      <c r="J1845" s="18"/>
      <c r="K1845" s="18"/>
    </row>
    <row r="1846" customFormat="false" ht="15" hidden="false" customHeight="false" outlineLevel="0" collapsed="false">
      <c r="A1846" s="17"/>
      <c r="B1846" s="18"/>
      <c r="C1846" s="19"/>
      <c r="D1846" s="19"/>
      <c r="E1846" s="18"/>
      <c r="F1846" s="18"/>
      <c r="G1846" s="13" t="str">
        <f aca="false">IF(F1846="","",IFERROR(INDEX(Metas!$B$5:$B$54,MATCH(F1846,Metas!$A$5:$A$54,0)),"⚠ ID de meta no existe"))</f>
        <v/>
      </c>
      <c r="H1846" s="16" t="str">
        <f aca="false">IF(OR(C1846="",D1846=""),"",ROUND(MOD(D1846-C1846,1)*24,2))</f>
        <v/>
      </c>
      <c r="I1846" s="18"/>
      <c r="J1846" s="18"/>
      <c r="K1846" s="18"/>
    </row>
    <row r="1847" customFormat="false" ht="15" hidden="false" customHeight="false" outlineLevel="0" collapsed="false">
      <c r="A1847" s="17"/>
      <c r="B1847" s="18"/>
      <c r="C1847" s="19"/>
      <c r="D1847" s="19"/>
      <c r="E1847" s="18"/>
      <c r="F1847" s="18"/>
      <c r="G1847" s="13" t="str">
        <f aca="false">IF(F1847="","",IFERROR(INDEX(Metas!$B$5:$B$54,MATCH(F1847,Metas!$A$5:$A$54,0)),"⚠ ID de meta no existe"))</f>
        <v/>
      </c>
      <c r="H1847" s="16" t="str">
        <f aca="false">IF(OR(C1847="",D1847=""),"",ROUND(MOD(D1847-C1847,1)*24,2))</f>
        <v/>
      </c>
      <c r="I1847" s="18"/>
      <c r="J1847" s="18"/>
      <c r="K1847" s="18"/>
    </row>
    <row r="1848" customFormat="false" ht="15" hidden="false" customHeight="false" outlineLevel="0" collapsed="false">
      <c r="A1848" s="17"/>
      <c r="B1848" s="18"/>
      <c r="C1848" s="19"/>
      <c r="D1848" s="19"/>
      <c r="E1848" s="18"/>
      <c r="F1848" s="18"/>
      <c r="G1848" s="13" t="str">
        <f aca="false">IF(F1848="","",IFERROR(INDEX(Metas!$B$5:$B$54,MATCH(F1848,Metas!$A$5:$A$54,0)),"⚠ ID de meta no existe"))</f>
        <v/>
      </c>
      <c r="H1848" s="16" t="str">
        <f aca="false">IF(OR(C1848="",D1848=""),"",ROUND(MOD(D1848-C1848,1)*24,2))</f>
        <v/>
      </c>
      <c r="I1848" s="18"/>
      <c r="J1848" s="18"/>
      <c r="K1848" s="18"/>
    </row>
    <row r="1849" customFormat="false" ht="15" hidden="false" customHeight="false" outlineLevel="0" collapsed="false">
      <c r="A1849" s="17"/>
      <c r="B1849" s="18"/>
      <c r="C1849" s="19"/>
      <c r="D1849" s="19"/>
      <c r="E1849" s="18"/>
      <c r="F1849" s="18"/>
      <c r="G1849" s="13" t="str">
        <f aca="false">IF(F1849="","",IFERROR(INDEX(Metas!$B$5:$B$54,MATCH(F1849,Metas!$A$5:$A$54,0)),"⚠ ID de meta no existe"))</f>
        <v/>
      </c>
      <c r="H1849" s="16" t="str">
        <f aca="false">IF(OR(C1849="",D1849=""),"",ROUND(MOD(D1849-C1849,1)*24,2))</f>
        <v/>
      </c>
      <c r="I1849" s="18"/>
      <c r="J1849" s="18"/>
      <c r="K1849" s="18"/>
    </row>
    <row r="1850" customFormat="false" ht="15" hidden="false" customHeight="false" outlineLevel="0" collapsed="false">
      <c r="A1850" s="17"/>
      <c r="B1850" s="18"/>
      <c r="C1850" s="19"/>
      <c r="D1850" s="19"/>
      <c r="E1850" s="18"/>
      <c r="F1850" s="18"/>
      <c r="G1850" s="13" t="str">
        <f aca="false">IF(F1850="","",IFERROR(INDEX(Metas!$B$5:$B$54,MATCH(F1850,Metas!$A$5:$A$54,0)),"⚠ ID de meta no existe"))</f>
        <v/>
      </c>
      <c r="H1850" s="16" t="str">
        <f aca="false">IF(OR(C1850="",D1850=""),"",ROUND(MOD(D1850-C1850,1)*24,2))</f>
        <v/>
      </c>
      <c r="I1850" s="18"/>
      <c r="J1850" s="18"/>
      <c r="K1850" s="18"/>
    </row>
    <row r="1851" customFormat="false" ht="15" hidden="false" customHeight="false" outlineLevel="0" collapsed="false">
      <c r="A1851" s="17"/>
      <c r="B1851" s="18"/>
      <c r="C1851" s="19"/>
      <c r="D1851" s="19"/>
      <c r="E1851" s="18"/>
      <c r="F1851" s="18"/>
      <c r="G1851" s="13" t="str">
        <f aca="false">IF(F1851="","",IFERROR(INDEX(Metas!$B$5:$B$54,MATCH(F1851,Metas!$A$5:$A$54,0)),"⚠ ID de meta no existe"))</f>
        <v/>
      </c>
      <c r="H1851" s="16" t="str">
        <f aca="false">IF(OR(C1851="",D1851=""),"",ROUND(MOD(D1851-C1851,1)*24,2))</f>
        <v/>
      </c>
      <c r="I1851" s="18"/>
      <c r="J1851" s="18"/>
      <c r="K1851" s="18"/>
    </row>
    <row r="1852" customFormat="false" ht="15" hidden="false" customHeight="false" outlineLevel="0" collapsed="false">
      <c r="A1852" s="17"/>
      <c r="B1852" s="18"/>
      <c r="C1852" s="19"/>
      <c r="D1852" s="19"/>
      <c r="E1852" s="18"/>
      <c r="F1852" s="18"/>
      <c r="G1852" s="13" t="str">
        <f aca="false">IF(F1852="","",IFERROR(INDEX(Metas!$B$5:$B$54,MATCH(F1852,Metas!$A$5:$A$54,0)),"⚠ ID de meta no existe"))</f>
        <v/>
      </c>
      <c r="H1852" s="16" t="str">
        <f aca="false">IF(OR(C1852="",D1852=""),"",ROUND(MOD(D1852-C1852,1)*24,2))</f>
        <v/>
      </c>
      <c r="I1852" s="18"/>
      <c r="J1852" s="18"/>
      <c r="K1852" s="18"/>
    </row>
    <row r="1853" customFormat="false" ht="15" hidden="false" customHeight="false" outlineLevel="0" collapsed="false">
      <c r="A1853" s="17"/>
      <c r="B1853" s="18"/>
      <c r="C1853" s="19"/>
      <c r="D1853" s="19"/>
      <c r="E1853" s="18"/>
      <c r="F1853" s="18"/>
      <c r="G1853" s="13" t="str">
        <f aca="false">IF(F1853="","",IFERROR(INDEX(Metas!$B$5:$B$54,MATCH(F1853,Metas!$A$5:$A$54,0)),"⚠ ID de meta no existe"))</f>
        <v/>
      </c>
      <c r="H1853" s="16" t="str">
        <f aca="false">IF(OR(C1853="",D1853=""),"",ROUND(MOD(D1853-C1853,1)*24,2))</f>
        <v/>
      </c>
      <c r="I1853" s="18"/>
      <c r="J1853" s="18"/>
      <c r="K1853" s="18"/>
    </row>
    <row r="1854" customFormat="false" ht="15" hidden="false" customHeight="false" outlineLevel="0" collapsed="false">
      <c r="A1854" s="17"/>
      <c r="B1854" s="18"/>
      <c r="C1854" s="19"/>
      <c r="D1854" s="19"/>
      <c r="E1854" s="18"/>
      <c r="F1854" s="18"/>
      <c r="G1854" s="13" t="str">
        <f aca="false">IF(F1854="","",IFERROR(INDEX(Metas!$B$5:$B$54,MATCH(F1854,Metas!$A$5:$A$54,0)),"⚠ ID de meta no existe"))</f>
        <v/>
      </c>
      <c r="H1854" s="16" t="str">
        <f aca="false">IF(OR(C1854="",D1854=""),"",ROUND(MOD(D1854-C1854,1)*24,2))</f>
        <v/>
      </c>
      <c r="I1854" s="18"/>
      <c r="J1854" s="18"/>
      <c r="K1854" s="18"/>
    </row>
    <row r="1855" customFormat="false" ht="15" hidden="false" customHeight="false" outlineLevel="0" collapsed="false">
      <c r="A1855" s="17"/>
      <c r="B1855" s="18"/>
      <c r="C1855" s="19"/>
      <c r="D1855" s="19"/>
      <c r="E1855" s="18"/>
      <c r="F1855" s="18"/>
      <c r="G1855" s="13" t="str">
        <f aca="false">IF(F1855="","",IFERROR(INDEX(Metas!$B$5:$B$54,MATCH(F1855,Metas!$A$5:$A$54,0)),"⚠ ID de meta no existe"))</f>
        <v/>
      </c>
      <c r="H1855" s="16" t="str">
        <f aca="false">IF(OR(C1855="",D1855=""),"",ROUND(MOD(D1855-C1855,1)*24,2))</f>
        <v/>
      </c>
      <c r="I1855" s="18"/>
      <c r="J1855" s="18"/>
      <c r="K1855" s="18"/>
    </row>
    <row r="1856" customFormat="false" ht="15" hidden="false" customHeight="false" outlineLevel="0" collapsed="false">
      <c r="A1856" s="17"/>
      <c r="B1856" s="18"/>
      <c r="C1856" s="19"/>
      <c r="D1856" s="19"/>
      <c r="E1856" s="18"/>
      <c r="F1856" s="18"/>
      <c r="G1856" s="13" t="str">
        <f aca="false">IF(F1856="","",IFERROR(INDEX(Metas!$B$5:$B$54,MATCH(F1856,Metas!$A$5:$A$54,0)),"⚠ ID de meta no existe"))</f>
        <v/>
      </c>
      <c r="H1856" s="16" t="str">
        <f aca="false">IF(OR(C1856="",D1856=""),"",ROUND(MOD(D1856-C1856,1)*24,2))</f>
        <v/>
      </c>
      <c r="I1856" s="18"/>
      <c r="J1856" s="18"/>
      <c r="K1856" s="18"/>
    </row>
    <row r="1857" customFormat="false" ht="15" hidden="false" customHeight="false" outlineLevel="0" collapsed="false">
      <c r="A1857" s="17"/>
      <c r="B1857" s="18"/>
      <c r="C1857" s="19"/>
      <c r="D1857" s="19"/>
      <c r="E1857" s="18"/>
      <c r="F1857" s="18"/>
      <c r="G1857" s="13" t="str">
        <f aca="false">IF(F1857="","",IFERROR(INDEX(Metas!$B$5:$B$54,MATCH(F1857,Metas!$A$5:$A$54,0)),"⚠ ID de meta no existe"))</f>
        <v/>
      </c>
      <c r="H1857" s="16" t="str">
        <f aca="false">IF(OR(C1857="",D1857=""),"",ROUND(MOD(D1857-C1857,1)*24,2))</f>
        <v/>
      </c>
      <c r="I1857" s="18"/>
      <c r="J1857" s="18"/>
      <c r="K1857" s="18"/>
    </row>
    <row r="1858" customFormat="false" ht="15" hidden="false" customHeight="false" outlineLevel="0" collapsed="false">
      <c r="A1858" s="17"/>
      <c r="B1858" s="18"/>
      <c r="C1858" s="19"/>
      <c r="D1858" s="19"/>
      <c r="E1858" s="18"/>
      <c r="F1858" s="18"/>
      <c r="G1858" s="13" t="str">
        <f aca="false">IF(F1858="","",IFERROR(INDEX(Metas!$B$5:$B$54,MATCH(F1858,Metas!$A$5:$A$54,0)),"⚠ ID de meta no existe"))</f>
        <v/>
      </c>
      <c r="H1858" s="16" t="str">
        <f aca="false">IF(OR(C1858="",D1858=""),"",ROUND(MOD(D1858-C1858,1)*24,2))</f>
        <v/>
      </c>
      <c r="I1858" s="18"/>
      <c r="J1858" s="18"/>
      <c r="K1858" s="18"/>
    </row>
    <row r="1859" customFormat="false" ht="15" hidden="false" customHeight="false" outlineLevel="0" collapsed="false">
      <c r="A1859" s="17"/>
      <c r="B1859" s="18"/>
      <c r="C1859" s="19"/>
      <c r="D1859" s="19"/>
      <c r="E1859" s="18"/>
      <c r="F1859" s="18"/>
      <c r="G1859" s="13" t="str">
        <f aca="false">IF(F1859="","",IFERROR(INDEX(Metas!$B$5:$B$54,MATCH(F1859,Metas!$A$5:$A$54,0)),"⚠ ID de meta no existe"))</f>
        <v/>
      </c>
      <c r="H1859" s="16" t="str">
        <f aca="false">IF(OR(C1859="",D1859=""),"",ROUND(MOD(D1859-C1859,1)*24,2))</f>
        <v/>
      </c>
      <c r="I1859" s="18"/>
      <c r="J1859" s="18"/>
      <c r="K1859" s="18"/>
    </row>
    <row r="1860" customFormat="false" ht="15" hidden="false" customHeight="false" outlineLevel="0" collapsed="false">
      <c r="A1860" s="17"/>
      <c r="B1860" s="18"/>
      <c r="C1860" s="19"/>
      <c r="D1860" s="19"/>
      <c r="E1860" s="18"/>
      <c r="F1860" s="18"/>
      <c r="G1860" s="13" t="str">
        <f aca="false">IF(F1860="","",IFERROR(INDEX(Metas!$B$5:$B$54,MATCH(F1860,Metas!$A$5:$A$54,0)),"⚠ ID de meta no existe"))</f>
        <v/>
      </c>
      <c r="H1860" s="16" t="str">
        <f aca="false">IF(OR(C1860="",D1860=""),"",ROUND(MOD(D1860-C1860,1)*24,2))</f>
        <v/>
      </c>
      <c r="I1860" s="18"/>
      <c r="J1860" s="18"/>
      <c r="K1860" s="18"/>
    </row>
    <row r="1861" customFormat="false" ht="15" hidden="false" customHeight="false" outlineLevel="0" collapsed="false">
      <c r="A1861" s="17"/>
      <c r="B1861" s="18"/>
      <c r="C1861" s="19"/>
      <c r="D1861" s="19"/>
      <c r="E1861" s="18"/>
      <c r="F1861" s="18"/>
      <c r="G1861" s="13" t="str">
        <f aca="false">IF(F1861="","",IFERROR(INDEX(Metas!$B$5:$B$54,MATCH(F1861,Metas!$A$5:$A$54,0)),"⚠ ID de meta no existe"))</f>
        <v/>
      </c>
      <c r="H1861" s="16" t="str">
        <f aca="false">IF(OR(C1861="",D1861=""),"",ROUND(MOD(D1861-C1861,1)*24,2))</f>
        <v/>
      </c>
      <c r="I1861" s="18"/>
      <c r="J1861" s="18"/>
      <c r="K1861" s="18"/>
    </row>
    <row r="1862" customFormat="false" ht="15" hidden="false" customHeight="false" outlineLevel="0" collapsed="false">
      <c r="A1862" s="17"/>
      <c r="B1862" s="18"/>
      <c r="C1862" s="19"/>
      <c r="D1862" s="19"/>
      <c r="E1862" s="18"/>
      <c r="F1862" s="18"/>
      <c r="G1862" s="13" t="str">
        <f aca="false">IF(F1862="","",IFERROR(INDEX(Metas!$B$5:$B$54,MATCH(F1862,Metas!$A$5:$A$54,0)),"⚠ ID de meta no existe"))</f>
        <v/>
      </c>
      <c r="H1862" s="16" t="str">
        <f aca="false">IF(OR(C1862="",D1862=""),"",ROUND(MOD(D1862-C1862,1)*24,2))</f>
        <v/>
      </c>
      <c r="I1862" s="18"/>
      <c r="J1862" s="18"/>
      <c r="K1862" s="18"/>
    </row>
    <row r="1863" customFormat="false" ht="15" hidden="false" customHeight="false" outlineLevel="0" collapsed="false">
      <c r="A1863" s="17"/>
      <c r="B1863" s="18"/>
      <c r="C1863" s="19"/>
      <c r="D1863" s="19"/>
      <c r="E1863" s="18"/>
      <c r="F1863" s="18"/>
      <c r="G1863" s="13" t="str">
        <f aca="false">IF(F1863="","",IFERROR(INDEX(Metas!$B$5:$B$54,MATCH(F1863,Metas!$A$5:$A$54,0)),"⚠ ID de meta no existe"))</f>
        <v/>
      </c>
      <c r="H1863" s="16" t="str">
        <f aca="false">IF(OR(C1863="",D1863=""),"",ROUND(MOD(D1863-C1863,1)*24,2))</f>
        <v/>
      </c>
      <c r="I1863" s="18"/>
      <c r="J1863" s="18"/>
      <c r="K1863" s="18"/>
    </row>
    <row r="1864" customFormat="false" ht="15" hidden="false" customHeight="false" outlineLevel="0" collapsed="false">
      <c r="A1864" s="17"/>
      <c r="B1864" s="18"/>
      <c r="C1864" s="19"/>
      <c r="D1864" s="19"/>
      <c r="E1864" s="18"/>
      <c r="F1864" s="18"/>
      <c r="G1864" s="13" t="str">
        <f aca="false">IF(F1864="","",IFERROR(INDEX(Metas!$B$5:$B$54,MATCH(F1864,Metas!$A$5:$A$54,0)),"⚠ ID de meta no existe"))</f>
        <v/>
      </c>
      <c r="H1864" s="16" t="str">
        <f aca="false">IF(OR(C1864="",D1864=""),"",ROUND(MOD(D1864-C1864,1)*24,2))</f>
        <v/>
      </c>
      <c r="I1864" s="18"/>
      <c r="J1864" s="18"/>
      <c r="K1864" s="18"/>
    </row>
    <row r="1865" customFormat="false" ht="15" hidden="false" customHeight="false" outlineLevel="0" collapsed="false">
      <c r="A1865" s="17"/>
      <c r="B1865" s="18"/>
      <c r="C1865" s="19"/>
      <c r="D1865" s="19"/>
      <c r="E1865" s="18"/>
      <c r="F1865" s="18"/>
      <c r="G1865" s="13" t="str">
        <f aca="false">IF(F1865="","",IFERROR(INDEX(Metas!$B$5:$B$54,MATCH(F1865,Metas!$A$5:$A$54,0)),"⚠ ID de meta no existe"))</f>
        <v/>
      </c>
      <c r="H1865" s="16" t="str">
        <f aca="false">IF(OR(C1865="",D1865=""),"",ROUND(MOD(D1865-C1865,1)*24,2))</f>
        <v/>
      </c>
      <c r="I1865" s="18"/>
      <c r="J1865" s="18"/>
      <c r="K1865" s="18"/>
    </row>
    <row r="1866" customFormat="false" ht="15" hidden="false" customHeight="false" outlineLevel="0" collapsed="false">
      <c r="A1866" s="17"/>
      <c r="B1866" s="18"/>
      <c r="C1866" s="19"/>
      <c r="D1866" s="19"/>
      <c r="E1866" s="18"/>
      <c r="F1866" s="18"/>
      <c r="G1866" s="13" t="str">
        <f aca="false">IF(F1866="","",IFERROR(INDEX(Metas!$B$5:$B$54,MATCH(F1866,Metas!$A$5:$A$54,0)),"⚠ ID de meta no existe"))</f>
        <v/>
      </c>
      <c r="H1866" s="16" t="str">
        <f aca="false">IF(OR(C1866="",D1866=""),"",ROUND(MOD(D1866-C1866,1)*24,2))</f>
        <v/>
      </c>
      <c r="I1866" s="18"/>
      <c r="J1866" s="18"/>
      <c r="K1866" s="18"/>
    </row>
    <row r="1867" customFormat="false" ht="15" hidden="false" customHeight="false" outlineLevel="0" collapsed="false">
      <c r="A1867" s="17"/>
      <c r="B1867" s="18"/>
      <c r="C1867" s="19"/>
      <c r="D1867" s="19"/>
      <c r="E1867" s="18"/>
      <c r="F1867" s="18"/>
      <c r="G1867" s="13" t="str">
        <f aca="false">IF(F1867="","",IFERROR(INDEX(Metas!$B$5:$B$54,MATCH(F1867,Metas!$A$5:$A$54,0)),"⚠ ID de meta no existe"))</f>
        <v/>
      </c>
      <c r="H1867" s="16" t="str">
        <f aca="false">IF(OR(C1867="",D1867=""),"",ROUND(MOD(D1867-C1867,1)*24,2))</f>
        <v/>
      </c>
      <c r="I1867" s="18"/>
      <c r="J1867" s="18"/>
      <c r="K1867" s="18"/>
    </row>
    <row r="1868" customFormat="false" ht="15" hidden="false" customHeight="false" outlineLevel="0" collapsed="false">
      <c r="A1868" s="17"/>
      <c r="B1868" s="18"/>
      <c r="C1868" s="19"/>
      <c r="D1868" s="19"/>
      <c r="E1868" s="18"/>
      <c r="F1868" s="18"/>
      <c r="G1868" s="13" t="str">
        <f aca="false">IF(F1868="","",IFERROR(INDEX(Metas!$B$5:$B$54,MATCH(F1868,Metas!$A$5:$A$54,0)),"⚠ ID de meta no existe"))</f>
        <v/>
      </c>
      <c r="H1868" s="16" t="str">
        <f aca="false">IF(OR(C1868="",D1868=""),"",ROUND(MOD(D1868-C1868,1)*24,2))</f>
        <v/>
      </c>
      <c r="I1868" s="18"/>
      <c r="J1868" s="18"/>
      <c r="K1868" s="18"/>
    </row>
    <row r="1869" customFormat="false" ht="15" hidden="false" customHeight="false" outlineLevel="0" collapsed="false">
      <c r="A1869" s="17"/>
      <c r="B1869" s="18"/>
      <c r="C1869" s="19"/>
      <c r="D1869" s="19"/>
      <c r="E1869" s="18"/>
      <c r="F1869" s="18"/>
      <c r="G1869" s="13" t="str">
        <f aca="false">IF(F1869="","",IFERROR(INDEX(Metas!$B$5:$B$54,MATCH(F1869,Metas!$A$5:$A$54,0)),"⚠ ID de meta no existe"))</f>
        <v/>
      </c>
      <c r="H1869" s="16" t="str">
        <f aca="false">IF(OR(C1869="",D1869=""),"",ROUND(MOD(D1869-C1869,1)*24,2))</f>
        <v/>
      </c>
      <c r="I1869" s="18"/>
      <c r="J1869" s="18"/>
      <c r="K1869" s="18"/>
    </row>
    <row r="1870" customFormat="false" ht="15" hidden="false" customHeight="false" outlineLevel="0" collapsed="false">
      <c r="A1870" s="17"/>
      <c r="B1870" s="18"/>
      <c r="C1870" s="19"/>
      <c r="D1870" s="19"/>
      <c r="E1870" s="18"/>
      <c r="F1870" s="18"/>
      <c r="G1870" s="13" t="str">
        <f aca="false">IF(F1870="","",IFERROR(INDEX(Metas!$B$5:$B$54,MATCH(F1870,Metas!$A$5:$A$54,0)),"⚠ ID de meta no existe"))</f>
        <v/>
      </c>
      <c r="H1870" s="16" t="str">
        <f aca="false">IF(OR(C1870="",D1870=""),"",ROUND(MOD(D1870-C1870,1)*24,2))</f>
        <v/>
      </c>
      <c r="I1870" s="18"/>
      <c r="J1870" s="18"/>
      <c r="K1870" s="18"/>
    </row>
    <row r="1871" customFormat="false" ht="15" hidden="false" customHeight="false" outlineLevel="0" collapsed="false">
      <c r="A1871" s="17"/>
      <c r="B1871" s="18"/>
      <c r="C1871" s="19"/>
      <c r="D1871" s="19"/>
      <c r="E1871" s="18"/>
      <c r="F1871" s="18"/>
      <c r="G1871" s="13" t="str">
        <f aca="false">IF(F1871="","",IFERROR(INDEX(Metas!$B$5:$B$54,MATCH(F1871,Metas!$A$5:$A$54,0)),"⚠ ID de meta no existe"))</f>
        <v/>
      </c>
      <c r="H1871" s="16" t="str">
        <f aca="false">IF(OR(C1871="",D1871=""),"",ROUND(MOD(D1871-C1871,1)*24,2))</f>
        <v/>
      </c>
      <c r="I1871" s="18"/>
      <c r="J1871" s="18"/>
      <c r="K1871" s="18"/>
    </row>
    <row r="1872" customFormat="false" ht="15" hidden="false" customHeight="false" outlineLevel="0" collapsed="false">
      <c r="A1872" s="17"/>
      <c r="B1872" s="18"/>
      <c r="C1872" s="19"/>
      <c r="D1872" s="19"/>
      <c r="E1872" s="18"/>
      <c r="F1872" s="18"/>
      <c r="G1872" s="13" t="str">
        <f aca="false">IF(F1872="","",IFERROR(INDEX(Metas!$B$5:$B$54,MATCH(F1872,Metas!$A$5:$A$54,0)),"⚠ ID de meta no existe"))</f>
        <v/>
      </c>
      <c r="H1872" s="16" t="str">
        <f aca="false">IF(OR(C1872="",D1872=""),"",ROUND(MOD(D1872-C1872,1)*24,2))</f>
        <v/>
      </c>
      <c r="I1872" s="18"/>
      <c r="J1872" s="18"/>
      <c r="K1872" s="18"/>
    </row>
    <row r="1873" customFormat="false" ht="15" hidden="false" customHeight="false" outlineLevel="0" collapsed="false">
      <c r="A1873" s="17"/>
      <c r="B1873" s="18"/>
      <c r="C1873" s="19"/>
      <c r="D1873" s="19"/>
      <c r="E1873" s="18"/>
      <c r="F1873" s="18"/>
      <c r="G1873" s="13" t="str">
        <f aca="false">IF(F1873="","",IFERROR(INDEX(Metas!$B$5:$B$54,MATCH(F1873,Metas!$A$5:$A$54,0)),"⚠ ID de meta no existe"))</f>
        <v/>
      </c>
      <c r="H1873" s="16" t="str">
        <f aca="false">IF(OR(C1873="",D1873=""),"",ROUND(MOD(D1873-C1873,1)*24,2))</f>
        <v/>
      </c>
      <c r="I1873" s="18"/>
      <c r="J1873" s="18"/>
      <c r="K1873" s="18"/>
    </row>
    <row r="1874" customFormat="false" ht="15" hidden="false" customHeight="false" outlineLevel="0" collapsed="false">
      <c r="A1874" s="17"/>
      <c r="B1874" s="18"/>
      <c r="C1874" s="19"/>
      <c r="D1874" s="19"/>
      <c r="E1874" s="18"/>
      <c r="F1874" s="18"/>
      <c r="G1874" s="13" t="str">
        <f aca="false">IF(F1874="","",IFERROR(INDEX(Metas!$B$5:$B$54,MATCH(F1874,Metas!$A$5:$A$54,0)),"⚠ ID de meta no existe"))</f>
        <v/>
      </c>
      <c r="H1874" s="16" t="str">
        <f aca="false">IF(OR(C1874="",D1874=""),"",ROUND(MOD(D1874-C1874,1)*24,2))</f>
        <v/>
      </c>
      <c r="I1874" s="18"/>
      <c r="J1874" s="18"/>
      <c r="K1874" s="18"/>
    </row>
    <row r="1875" customFormat="false" ht="15" hidden="false" customHeight="false" outlineLevel="0" collapsed="false">
      <c r="A1875" s="17"/>
      <c r="B1875" s="18"/>
      <c r="C1875" s="19"/>
      <c r="D1875" s="19"/>
      <c r="E1875" s="18"/>
      <c r="F1875" s="18"/>
      <c r="G1875" s="13" t="str">
        <f aca="false">IF(F1875="","",IFERROR(INDEX(Metas!$B$5:$B$54,MATCH(F1875,Metas!$A$5:$A$54,0)),"⚠ ID de meta no existe"))</f>
        <v/>
      </c>
      <c r="H1875" s="16" t="str">
        <f aca="false">IF(OR(C1875="",D1875=""),"",ROUND(MOD(D1875-C1875,1)*24,2))</f>
        <v/>
      </c>
      <c r="I1875" s="18"/>
      <c r="J1875" s="18"/>
      <c r="K1875" s="18"/>
    </row>
    <row r="1876" customFormat="false" ht="15" hidden="false" customHeight="false" outlineLevel="0" collapsed="false">
      <c r="A1876" s="17"/>
      <c r="B1876" s="18"/>
      <c r="C1876" s="19"/>
      <c r="D1876" s="19"/>
      <c r="E1876" s="18"/>
      <c r="F1876" s="18"/>
      <c r="G1876" s="13" t="str">
        <f aca="false">IF(F1876="","",IFERROR(INDEX(Metas!$B$5:$B$54,MATCH(F1876,Metas!$A$5:$A$54,0)),"⚠ ID de meta no existe"))</f>
        <v/>
      </c>
      <c r="H1876" s="16" t="str">
        <f aca="false">IF(OR(C1876="",D1876=""),"",ROUND(MOD(D1876-C1876,1)*24,2))</f>
        <v/>
      </c>
      <c r="I1876" s="18"/>
      <c r="J1876" s="18"/>
      <c r="K1876" s="18"/>
    </row>
    <row r="1877" customFormat="false" ht="15" hidden="false" customHeight="false" outlineLevel="0" collapsed="false">
      <c r="A1877" s="17"/>
      <c r="B1877" s="18"/>
      <c r="C1877" s="19"/>
      <c r="D1877" s="19"/>
      <c r="E1877" s="18"/>
      <c r="F1877" s="18"/>
      <c r="G1877" s="13" t="str">
        <f aca="false">IF(F1877="","",IFERROR(INDEX(Metas!$B$5:$B$54,MATCH(F1877,Metas!$A$5:$A$54,0)),"⚠ ID de meta no existe"))</f>
        <v/>
      </c>
      <c r="H1877" s="16" t="str">
        <f aca="false">IF(OR(C1877="",D1877=""),"",ROUND(MOD(D1877-C1877,1)*24,2))</f>
        <v/>
      </c>
      <c r="I1877" s="18"/>
      <c r="J1877" s="18"/>
      <c r="K1877" s="18"/>
    </row>
    <row r="1878" customFormat="false" ht="15" hidden="false" customHeight="false" outlineLevel="0" collapsed="false">
      <c r="A1878" s="17"/>
      <c r="B1878" s="18"/>
      <c r="C1878" s="19"/>
      <c r="D1878" s="19"/>
      <c r="E1878" s="18"/>
      <c r="F1878" s="18"/>
      <c r="G1878" s="13" t="str">
        <f aca="false">IF(F1878="","",IFERROR(INDEX(Metas!$B$5:$B$54,MATCH(F1878,Metas!$A$5:$A$54,0)),"⚠ ID de meta no existe"))</f>
        <v/>
      </c>
      <c r="H1878" s="16" t="str">
        <f aca="false">IF(OR(C1878="",D1878=""),"",ROUND(MOD(D1878-C1878,1)*24,2))</f>
        <v/>
      </c>
      <c r="I1878" s="18"/>
      <c r="J1878" s="18"/>
      <c r="K1878" s="18"/>
    </row>
    <row r="1879" customFormat="false" ht="15" hidden="false" customHeight="false" outlineLevel="0" collapsed="false">
      <c r="A1879" s="17"/>
      <c r="B1879" s="18"/>
      <c r="C1879" s="19"/>
      <c r="D1879" s="19"/>
      <c r="E1879" s="18"/>
      <c r="F1879" s="18"/>
      <c r="G1879" s="13" t="str">
        <f aca="false">IF(F1879="","",IFERROR(INDEX(Metas!$B$5:$B$54,MATCH(F1879,Metas!$A$5:$A$54,0)),"⚠ ID de meta no existe"))</f>
        <v/>
      </c>
      <c r="H1879" s="16" t="str">
        <f aca="false">IF(OR(C1879="",D1879=""),"",ROUND(MOD(D1879-C1879,1)*24,2))</f>
        <v/>
      </c>
      <c r="I1879" s="18"/>
      <c r="J1879" s="18"/>
      <c r="K1879" s="18"/>
    </row>
    <row r="1880" customFormat="false" ht="15" hidden="false" customHeight="false" outlineLevel="0" collapsed="false">
      <c r="A1880" s="17"/>
      <c r="B1880" s="18"/>
      <c r="C1880" s="19"/>
      <c r="D1880" s="19"/>
      <c r="E1880" s="18"/>
      <c r="F1880" s="18"/>
      <c r="G1880" s="13" t="str">
        <f aca="false">IF(F1880="","",IFERROR(INDEX(Metas!$B$5:$B$54,MATCH(F1880,Metas!$A$5:$A$54,0)),"⚠ ID de meta no existe"))</f>
        <v/>
      </c>
      <c r="H1880" s="16" t="str">
        <f aca="false">IF(OR(C1880="",D1880=""),"",ROUND(MOD(D1880-C1880,1)*24,2))</f>
        <v/>
      </c>
      <c r="I1880" s="18"/>
      <c r="J1880" s="18"/>
      <c r="K1880" s="18"/>
    </row>
    <row r="1881" customFormat="false" ht="15" hidden="false" customHeight="false" outlineLevel="0" collapsed="false">
      <c r="A1881" s="17"/>
      <c r="B1881" s="18"/>
      <c r="C1881" s="19"/>
      <c r="D1881" s="19"/>
      <c r="E1881" s="18"/>
      <c r="F1881" s="18"/>
      <c r="G1881" s="13" t="str">
        <f aca="false">IF(F1881="","",IFERROR(INDEX(Metas!$B$5:$B$54,MATCH(F1881,Metas!$A$5:$A$54,0)),"⚠ ID de meta no existe"))</f>
        <v/>
      </c>
      <c r="H1881" s="16" t="str">
        <f aca="false">IF(OR(C1881="",D1881=""),"",ROUND(MOD(D1881-C1881,1)*24,2))</f>
        <v/>
      </c>
      <c r="I1881" s="18"/>
      <c r="J1881" s="18"/>
      <c r="K1881" s="18"/>
    </row>
    <row r="1882" customFormat="false" ht="15" hidden="false" customHeight="false" outlineLevel="0" collapsed="false">
      <c r="A1882" s="17"/>
      <c r="B1882" s="18"/>
      <c r="C1882" s="19"/>
      <c r="D1882" s="19"/>
      <c r="E1882" s="18"/>
      <c r="F1882" s="18"/>
      <c r="G1882" s="13" t="str">
        <f aca="false">IF(F1882="","",IFERROR(INDEX(Metas!$B$5:$B$54,MATCH(F1882,Metas!$A$5:$A$54,0)),"⚠ ID de meta no existe"))</f>
        <v/>
      </c>
      <c r="H1882" s="16" t="str">
        <f aca="false">IF(OR(C1882="",D1882=""),"",ROUND(MOD(D1882-C1882,1)*24,2))</f>
        <v/>
      </c>
      <c r="I1882" s="18"/>
      <c r="J1882" s="18"/>
      <c r="K1882" s="18"/>
    </row>
    <row r="1883" customFormat="false" ht="15" hidden="false" customHeight="false" outlineLevel="0" collapsed="false">
      <c r="A1883" s="17"/>
      <c r="B1883" s="18"/>
      <c r="C1883" s="19"/>
      <c r="D1883" s="19"/>
      <c r="E1883" s="18"/>
      <c r="F1883" s="18"/>
      <c r="G1883" s="13" t="str">
        <f aca="false">IF(F1883="","",IFERROR(INDEX(Metas!$B$5:$B$54,MATCH(F1883,Metas!$A$5:$A$54,0)),"⚠ ID de meta no existe"))</f>
        <v/>
      </c>
      <c r="H1883" s="16" t="str">
        <f aca="false">IF(OR(C1883="",D1883=""),"",ROUND(MOD(D1883-C1883,1)*24,2))</f>
        <v/>
      </c>
      <c r="I1883" s="18"/>
      <c r="J1883" s="18"/>
      <c r="K1883" s="18"/>
    </row>
    <row r="1884" customFormat="false" ht="15" hidden="false" customHeight="false" outlineLevel="0" collapsed="false">
      <c r="A1884" s="17"/>
      <c r="B1884" s="18"/>
      <c r="C1884" s="19"/>
      <c r="D1884" s="19"/>
      <c r="E1884" s="18"/>
      <c r="F1884" s="18"/>
      <c r="G1884" s="13" t="str">
        <f aca="false">IF(F1884="","",IFERROR(INDEX(Metas!$B$5:$B$54,MATCH(F1884,Metas!$A$5:$A$54,0)),"⚠ ID de meta no existe"))</f>
        <v/>
      </c>
      <c r="H1884" s="16" t="str">
        <f aca="false">IF(OR(C1884="",D1884=""),"",ROUND(MOD(D1884-C1884,1)*24,2))</f>
        <v/>
      </c>
      <c r="I1884" s="18"/>
      <c r="J1884" s="18"/>
      <c r="K1884" s="18"/>
    </row>
    <row r="1885" customFormat="false" ht="15" hidden="false" customHeight="false" outlineLevel="0" collapsed="false">
      <c r="A1885" s="17"/>
      <c r="B1885" s="18"/>
      <c r="C1885" s="19"/>
      <c r="D1885" s="19"/>
      <c r="E1885" s="18"/>
      <c r="F1885" s="18"/>
      <c r="G1885" s="13" t="str">
        <f aca="false">IF(F1885="","",IFERROR(INDEX(Metas!$B$5:$B$54,MATCH(F1885,Metas!$A$5:$A$54,0)),"⚠ ID de meta no existe"))</f>
        <v/>
      </c>
      <c r="H1885" s="16" t="str">
        <f aca="false">IF(OR(C1885="",D1885=""),"",ROUND(MOD(D1885-C1885,1)*24,2))</f>
        <v/>
      </c>
      <c r="I1885" s="18"/>
      <c r="J1885" s="18"/>
      <c r="K1885" s="18"/>
    </row>
    <row r="1886" customFormat="false" ht="15" hidden="false" customHeight="false" outlineLevel="0" collapsed="false">
      <c r="A1886" s="17"/>
      <c r="B1886" s="18"/>
      <c r="C1886" s="19"/>
      <c r="D1886" s="19"/>
      <c r="E1886" s="18"/>
      <c r="F1886" s="18"/>
      <c r="G1886" s="13" t="str">
        <f aca="false">IF(F1886="","",IFERROR(INDEX(Metas!$B$5:$B$54,MATCH(F1886,Metas!$A$5:$A$54,0)),"⚠ ID de meta no existe"))</f>
        <v/>
      </c>
      <c r="H1886" s="16" t="str">
        <f aca="false">IF(OR(C1886="",D1886=""),"",ROUND(MOD(D1886-C1886,1)*24,2))</f>
        <v/>
      </c>
      <c r="I1886" s="18"/>
      <c r="J1886" s="18"/>
      <c r="K1886" s="18"/>
    </row>
    <row r="1887" customFormat="false" ht="15" hidden="false" customHeight="false" outlineLevel="0" collapsed="false">
      <c r="A1887" s="17"/>
      <c r="B1887" s="18"/>
      <c r="C1887" s="19"/>
      <c r="D1887" s="19"/>
      <c r="E1887" s="18"/>
      <c r="F1887" s="18"/>
      <c r="G1887" s="13" t="str">
        <f aca="false">IF(F1887="","",IFERROR(INDEX(Metas!$B$5:$B$54,MATCH(F1887,Metas!$A$5:$A$54,0)),"⚠ ID de meta no existe"))</f>
        <v/>
      </c>
      <c r="H1887" s="16" t="str">
        <f aca="false">IF(OR(C1887="",D1887=""),"",ROUND(MOD(D1887-C1887,1)*24,2))</f>
        <v/>
      </c>
      <c r="I1887" s="18"/>
      <c r="J1887" s="18"/>
      <c r="K1887" s="18"/>
    </row>
    <row r="1888" customFormat="false" ht="15" hidden="false" customHeight="false" outlineLevel="0" collapsed="false">
      <c r="A1888" s="17"/>
      <c r="B1888" s="18"/>
      <c r="C1888" s="19"/>
      <c r="D1888" s="19"/>
      <c r="E1888" s="18"/>
      <c r="F1888" s="18"/>
      <c r="G1888" s="13" t="str">
        <f aca="false">IF(F1888="","",IFERROR(INDEX(Metas!$B$5:$B$54,MATCH(F1888,Metas!$A$5:$A$54,0)),"⚠ ID de meta no existe"))</f>
        <v/>
      </c>
      <c r="H1888" s="16" t="str">
        <f aca="false">IF(OR(C1888="",D1888=""),"",ROUND(MOD(D1888-C1888,1)*24,2))</f>
        <v/>
      </c>
      <c r="I1888" s="18"/>
      <c r="J1888" s="18"/>
      <c r="K1888" s="18"/>
    </row>
    <row r="1889" customFormat="false" ht="15" hidden="false" customHeight="false" outlineLevel="0" collapsed="false">
      <c r="A1889" s="17"/>
      <c r="B1889" s="18"/>
      <c r="C1889" s="19"/>
      <c r="D1889" s="19"/>
      <c r="E1889" s="18"/>
      <c r="F1889" s="18"/>
      <c r="G1889" s="13" t="str">
        <f aca="false">IF(F1889="","",IFERROR(INDEX(Metas!$B$5:$B$54,MATCH(F1889,Metas!$A$5:$A$54,0)),"⚠ ID de meta no existe"))</f>
        <v/>
      </c>
      <c r="H1889" s="16" t="str">
        <f aca="false">IF(OR(C1889="",D1889=""),"",ROUND(MOD(D1889-C1889,1)*24,2))</f>
        <v/>
      </c>
      <c r="I1889" s="18"/>
      <c r="J1889" s="18"/>
      <c r="K1889" s="18"/>
    </row>
    <row r="1890" customFormat="false" ht="15" hidden="false" customHeight="false" outlineLevel="0" collapsed="false">
      <c r="A1890" s="17"/>
      <c r="B1890" s="18"/>
      <c r="C1890" s="19"/>
      <c r="D1890" s="19"/>
      <c r="E1890" s="18"/>
      <c r="F1890" s="18"/>
      <c r="G1890" s="13" t="str">
        <f aca="false">IF(F1890="","",IFERROR(INDEX(Metas!$B$5:$B$54,MATCH(F1890,Metas!$A$5:$A$54,0)),"⚠ ID de meta no existe"))</f>
        <v/>
      </c>
      <c r="H1890" s="16" t="str">
        <f aca="false">IF(OR(C1890="",D1890=""),"",ROUND(MOD(D1890-C1890,1)*24,2))</f>
        <v/>
      </c>
      <c r="I1890" s="18"/>
      <c r="J1890" s="18"/>
      <c r="K1890" s="18"/>
    </row>
    <row r="1891" customFormat="false" ht="15" hidden="false" customHeight="false" outlineLevel="0" collapsed="false">
      <c r="A1891" s="17"/>
      <c r="B1891" s="18"/>
      <c r="C1891" s="19"/>
      <c r="D1891" s="19"/>
      <c r="E1891" s="18"/>
      <c r="F1891" s="18"/>
      <c r="G1891" s="13" t="str">
        <f aca="false">IF(F1891="","",IFERROR(INDEX(Metas!$B$5:$B$54,MATCH(F1891,Metas!$A$5:$A$54,0)),"⚠ ID de meta no existe"))</f>
        <v/>
      </c>
      <c r="H1891" s="16" t="str">
        <f aca="false">IF(OR(C1891="",D1891=""),"",ROUND(MOD(D1891-C1891,1)*24,2))</f>
        <v/>
      </c>
      <c r="I1891" s="18"/>
      <c r="J1891" s="18"/>
      <c r="K1891" s="18"/>
    </row>
    <row r="1892" customFormat="false" ht="15" hidden="false" customHeight="false" outlineLevel="0" collapsed="false">
      <c r="A1892" s="17"/>
      <c r="B1892" s="18"/>
      <c r="C1892" s="19"/>
      <c r="D1892" s="19"/>
      <c r="E1892" s="18"/>
      <c r="F1892" s="18"/>
      <c r="G1892" s="13" t="str">
        <f aca="false">IF(F1892="","",IFERROR(INDEX(Metas!$B$5:$B$54,MATCH(F1892,Metas!$A$5:$A$54,0)),"⚠ ID de meta no existe"))</f>
        <v/>
      </c>
      <c r="H1892" s="16" t="str">
        <f aca="false">IF(OR(C1892="",D1892=""),"",ROUND(MOD(D1892-C1892,1)*24,2))</f>
        <v/>
      </c>
      <c r="I1892" s="18"/>
      <c r="J1892" s="18"/>
      <c r="K1892" s="18"/>
    </row>
    <row r="1893" customFormat="false" ht="15" hidden="false" customHeight="false" outlineLevel="0" collapsed="false">
      <c r="A1893" s="17"/>
      <c r="B1893" s="18"/>
      <c r="C1893" s="19"/>
      <c r="D1893" s="19"/>
      <c r="E1893" s="18"/>
      <c r="F1893" s="18"/>
      <c r="G1893" s="13" t="str">
        <f aca="false">IF(F1893="","",IFERROR(INDEX(Metas!$B$5:$B$54,MATCH(F1893,Metas!$A$5:$A$54,0)),"⚠ ID de meta no existe"))</f>
        <v/>
      </c>
      <c r="H1893" s="16" t="str">
        <f aca="false">IF(OR(C1893="",D1893=""),"",ROUND(MOD(D1893-C1893,1)*24,2))</f>
        <v/>
      </c>
      <c r="I1893" s="18"/>
      <c r="J1893" s="18"/>
      <c r="K1893" s="18"/>
    </row>
    <row r="1894" customFormat="false" ht="15" hidden="false" customHeight="false" outlineLevel="0" collapsed="false">
      <c r="A1894" s="17"/>
      <c r="B1894" s="18"/>
      <c r="C1894" s="19"/>
      <c r="D1894" s="19"/>
      <c r="E1894" s="18"/>
      <c r="F1894" s="18"/>
      <c r="G1894" s="13" t="str">
        <f aca="false">IF(F1894="","",IFERROR(INDEX(Metas!$B$5:$B$54,MATCH(F1894,Metas!$A$5:$A$54,0)),"⚠ ID de meta no existe"))</f>
        <v/>
      </c>
      <c r="H1894" s="16" t="str">
        <f aca="false">IF(OR(C1894="",D1894=""),"",ROUND(MOD(D1894-C1894,1)*24,2))</f>
        <v/>
      </c>
      <c r="I1894" s="18"/>
      <c r="J1894" s="18"/>
      <c r="K1894" s="18"/>
    </row>
    <row r="1895" customFormat="false" ht="15" hidden="false" customHeight="false" outlineLevel="0" collapsed="false">
      <c r="A1895" s="17"/>
      <c r="B1895" s="18"/>
      <c r="C1895" s="19"/>
      <c r="D1895" s="19"/>
      <c r="E1895" s="18"/>
      <c r="F1895" s="18"/>
      <c r="G1895" s="13" t="str">
        <f aca="false">IF(F1895="","",IFERROR(INDEX(Metas!$B$5:$B$54,MATCH(F1895,Metas!$A$5:$A$54,0)),"⚠ ID de meta no existe"))</f>
        <v/>
      </c>
      <c r="H1895" s="16" t="str">
        <f aca="false">IF(OR(C1895="",D1895=""),"",ROUND(MOD(D1895-C1895,1)*24,2))</f>
        <v/>
      </c>
      <c r="I1895" s="18"/>
      <c r="J1895" s="18"/>
      <c r="K1895" s="18"/>
    </row>
    <row r="1896" customFormat="false" ht="15" hidden="false" customHeight="false" outlineLevel="0" collapsed="false">
      <c r="A1896" s="17"/>
      <c r="B1896" s="18"/>
      <c r="C1896" s="19"/>
      <c r="D1896" s="19"/>
      <c r="E1896" s="18"/>
      <c r="F1896" s="18"/>
      <c r="G1896" s="13" t="str">
        <f aca="false">IF(F1896="","",IFERROR(INDEX(Metas!$B$5:$B$54,MATCH(F1896,Metas!$A$5:$A$54,0)),"⚠ ID de meta no existe"))</f>
        <v/>
      </c>
      <c r="H1896" s="16" t="str">
        <f aca="false">IF(OR(C1896="",D1896=""),"",ROUND(MOD(D1896-C1896,1)*24,2))</f>
        <v/>
      </c>
      <c r="I1896" s="18"/>
      <c r="J1896" s="18"/>
      <c r="K1896" s="18"/>
    </row>
    <row r="1897" customFormat="false" ht="15" hidden="false" customHeight="false" outlineLevel="0" collapsed="false">
      <c r="A1897" s="17"/>
      <c r="B1897" s="18"/>
      <c r="C1897" s="19"/>
      <c r="D1897" s="19"/>
      <c r="E1897" s="18"/>
      <c r="F1897" s="18"/>
      <c r="G1897" s="13" t="str">
        <f aca="false">IF(F1897="","",IFERROR(INDEX(Metas!$B$5:$B$54,MATCH(F1897,Metas!$A$5:$A$54,0)),"⚠ ID de meta no existe"))</f>
        <v/>
      </c>
      <c r="H1897" s="16" t="str">
        <f aca="false">IF(OR(C1897="",D1897=""),"",ROUND(MOD(D1897-C1897,1)*24,2))</f>
        <v/>
      </c>
      <c r="I1897" s="18"/>
      <c r="J1897" s="18"/>
      <c r="K1897" s="18"/>
    </row>
    <row r="1898" customFormat="false" ht="15" hidden="false" customHeight="false" outlineLevel="0" collapsed="false">
      <c r="A1898" s="17"/>
      <c r="B1898" s="18"/>
      <c r="C1898" s="19"/>
      <c r="D1898" s="19"/>
      <c r="E1898" s="18"/>
      <c r="F1898" s="18"/>
      <c r="G1898" s="13" t="str">
        <f aca="false">IF(F1898="","",IFERROR(INDEX(Metas!$B$5:$B$54,MATCH(F1898,Metas!$A$5:$A$54,0)),"⚠ ID de meta no existe"))</f>
        <v/>
      </c>
      <c r="H1898" s="16" t="str">
        <f aca="false">IF(OR(C1898="",D1898=""),"",ROUND(MOD(D1898-C1898,1)*24,2))</f>
        <v/>
      </c>
      <c r="I1898" s="18"/>
      <c r="J1898" s="18"/>
      <c r="K1898" s="18"/>
    </row>
    <row r="1899" customFormat="false" ht="15" hidden="false" customHeight="false" outlineLevel="0" collapsed="false">
      <c r="A1899" s="17"/>
      <c r="B1899" s="18"/>
      <c r="C1899" s="19"/>
      <c r="D1899" s="19"/>
      <c r="E1899" s="18"/>
      <c r="F1899" s="18"/>
      <c r="G1899" s="13" t="str">
        <f aca="false">IF(F1899="","",IFERROR(INDEX(Metas!$B$5:$B$54,MATCH(F1899,Metas!$A$5:$A$54,0)),"⚠ ID de meta no existe"))</f>
        <v/>
      </c>
      <c r="H1899" s="16" t="str">
        <f aca="false">IF(OR(C1899="",D1899=""),"",ROUND(MOD(D1899-C1899,1)*24,2))</f>
        <v/>
      </c>
      <c r="I1899" s="18"/>
      <c r="J1899" s="18"/>
      <c r="K1899" s="18"/>
    </row>
    <row r="1900" customFormat="false" ht="15" hidden="false" customHeight="false" outlineLevel="0" collapsed="false">
      <c r="A1900" s="17"/>
      <c r="B1900" s="18"/>
      <c r="C1900" s="19"/>
      <c r="D1900" s="19"/>
      <c r="E1900" s="18"/>
      <c r="F1900" s="18"/>
      <c r="G1900" s="13" t="str">
        <f aca="false">IF(F1900="","",IFERROR(INDEX(Metas!$B$5:$B$54,MATCH(F1900,Metas!$A$5:$A$54,0)),"⚠ ID de meta no existe"))</f>
        <v/>
      </c>
      <c r="H1900" s="16" t="str">
        <f aca="false">IF(OR(C1900="",D1900=""),"",ROUND(MOD(D1900-C1900,1)*24,2))</f>
        <v/>
      </c>
      <c r="I1900" s="18"/>
      <c r="J1900" s="18"/>
      <c r="K1900" s="18"/>
    </row>
    <row r="1901" customFormat="false" ht="15" hidden="false" customHeight="false" outlineLevel="0" collapsed="false">
      <c r="A1901" s="17"/>
      <c r="B1901" s="18"/>
      <c r="C1901" s="19"/>
      <c r="D1901" s="19"/>
      <c r="E1901" s="18"/>
      <c r="F1901" s="18"/>
      <c r="G1901" s="13" t="str">
        <f aca="false">IF(F1901="","",IFERROR(INDEX(Metas!$B$5:$B$54,MATCH(F1901,Metas!$A$5:$A$54,0)),"⚠ ID de meta no existe"))</f>
        <v/>
      </c>
      <c r="H1901" s="16" t="str">
        <f aca="false">IF(OR(C1901="",D1901=""),"",ROUND(MOD(D1901-C1901,1)*24,2))</f>
        <v/>
      </c>
      <c r="I1901" s="18"/>
      <c r="J1901" s="18"/>
      <c r="K1901" s="18"/>
    </row>
    <row r="1902" customFormat="false" ht="15" hidden="false" customHeight="false" outlineLevel="0" collapsed="false">
      <c r="A1902" s="17"/>
      <c r="B1902" s="18"/>
      <c r="C1902" s="19"/>
      <c r="D1902" s="19"/>
      <c r="E1902" s="18"/>
      <c r="F1902" s="18"/>
      <c r="G1902" s="13" t="str">
        <f aca="false">IF(F1902="","",IFERROR(INDEX(Metas!$B$5:$B$54,MATCH(F1902,Metas!$A$5:$A$54,0)),"⚠ ID de meta no existe"))</f>
        <v/>
      </c>
      <c r="H1902" s="16" t="str">
        <f aca="false">IF(OR(C1902="",D1902=""),"",ROUND(MOD(D1902-C1902,1)*24,2))</f>
        <v/>
      </c>
      <c r="I1902" s="18"/>
      <c r="J1902" s="18"/>
      <c r="K1902" s="18"/>
    </row>
    <row r="1903" customFormat="false" ht="15" hidden="false" customHeight="false" outlineLevel="0" collapsed="false">
      <c r="A1903" s="17"/>
      <c r="B1903" s="18"/>
      <c r="C1903" s="19"/>
      <c r="D1903" s="19"/>
      <c r="E1903" s="18"/>
      <c r="F1903" s="18"/>
      <c r="G1903" s="13" t="str">
        <f aca="false">IF(F1903="","",IFERROR(INDEX(Metas!$B$5:$B$54,MATCH(F1903,Metas!$A$5:$A$54,0)),"⚠ ID de meta no existe"))</f>
        <v/>
      </c>
      <c r="H1903" s="16" t="str">
        <f aca="false">IF(OR(C1903="",D1903=""),"",ROUND(MOD(D1903-C1903,1)*24,2))</f>
        <v/>
      </c>
      <c r="I1903" s="18"/>
      <c r="J1903" s="18"/>
      <c r="K1903" s="18"/>
    </row>
    <row r="1904" customFormat="false" ht="15" hidden="false" customHeight="false" outlineLevel="0" collapsed="false">
      <c r="A1904" s="17"/>
      <c r="B1904" s="18"/>
      <c r="C1904" s="19"/>
      <c r="D1904" s="19"/>
      <c r="E1904" s="18"/>
      <c r="F1904" s="18"/>
      <c r="G1904" s="13" t="str">
        <f aca="false">IF(F1904="","",IFERROR(INDEX(Metas!$B$5:$B$54,MATCH(F1904,Metas!$A$5:$A$54,0)),"⚠ ID de meta no existe"))</f>
        <v/>
      </c>
      <c r="H1904" s="16" t="str">
        <f aca="false">IF(OR(C1904="",D1904=""),"",ROUND(MOD(D1904-C1904,1)*24,2))</f>
        <v/>
      </c>
      <c r="I1904" s="18"/>
      <c r="J1904" s="18"/>
      <c r="K1904" s="18"/>
    </row>
    <row r="1905" customFormat="false" ht="15" hidden="false" customHeight="false" outlineLevel="0" collapsed="false">
      <c r="A1905" s="17"/>
      <c r="B1905" s="18"/>
      <c r="C1905" s="19"/>
      <c r="D1905" s="19"/>
      <c r="E1905" s="18"/>
      <c r="F1905" s="18"/>
      <c r="G1905" s="13" t="str">
        <f aca="false">IF(F1905="","",IFERROR(INDEX(Metas!$B$5:$B$54,MATCH(F1905,Metas!$A$5:$A$54,0)),"⚠ ID de meta no existe"))</f>
        <v/>
      </c>
      <c r="H1905" s="16" t="str">
        <f aca="false">IF(OR(C1905="",D1905=""),"",ROUND(MOD(D1905-C1905,1)*24,2))</f>
        <v/>
      </c>
      <c r="I1905" s="18"/>
      <c r="J1905" s="18"/>
      <c r="K1905" s="18"/>
    </row>
    <row r="1906" customFormat="false" ht="15" hidden="false" customHeight="false" outlineLevel="0" collapsed="false">
      <c r="A1906" s="17"/>
      <c r="B1906" s="18"/>
      <c r="C1906" s="19"/>
      <c r="D1906" s="19"/>
      <c r="E1906" s="18"/>
      <c r="F1906" s="18"/>
      <c r="G1906" s="13" t="str">
        <f aca="false">IF(F1906="","",IFERROR(INDEX(Metas!$B$5:$B$54,MATCH(F1906,Metas!$A$5:$A$54,0)),"⚠ ID de meta no existe"))</f>
        <v/>
      </c>
      <c r="H1906" s="16" t="str">
        <f aca="false">IF(OR(C1906="",D1906=""),"",ROUND(MOD(D1906-C1906,1)*24,2))</f>
        <v/>
      </c>
      <c r="I1906" s="18"/>
      <c r="J1906" s="18"/>
      <c r="K1906" s="18"/>
    </row>
    <row r="1907" customFormat="false" ht="15" hidden="false" customHeight="false" outlineLevel="0" collapsed="false">
      <c r="A1907" s="17"/>
      <c r="B1907" s="18"/>
      <c r="C1907" s="19"/>
      <c r="D1907" s="19"/>
      <c r="E1907" s="18"/>
      <c r="F1907" s="18"/>
      <c r="G1907" s="13" t="str">
        <f aca="false">IF(F1907="","",IFERROR(INDEX(Metas!$B$5:$B$54,MATCH(F1907,Metas!$A$5:$A$54,0)),"⚠ ID de meta no existe"))</f>
        <v/>
      </c>
      <c r="H1907" s="16" t="str">
        <f aca="false">IF(OR(C1907="",D1907=""),"",ROUND(MOD(D1907-C1907,1)*24,2))</f>
        <v/>
      </c>
      <c r="I1907" s="18"/>
      <c r="J1907" s="18"/>
      <c r="K1907" s="18"/>
    </row>
    <row r="1908" customFormat="false" ht="15" hidden="false" customHeight="false" outlineLevel="0" collapsed="false">
      <c r="A1908" s="17"/>
      <c r="B1908" s="18"/>
      <c r="C1908" s="19"/>
      <c r="D1908" s="19"/>
      <c r="E1908" s="18"/>
      <c r="F1908" s="18"/>
      <c r="G1908" s="13" t="str">
        <f aca="false">IF(F1908="","",IFERROR(INDEX(Metas!$B$5:$B$54,MATCH(F1908,Metas!$A$5:$A$54,0)),"⚠ ID de meta no existe"))</f>
        <v/>
      </c>
      <c r="H1908" s="16" t="str">
        <f aca="false">IF(OR(C1908="",D1908=""),"",ROUND(MOD(D1908-C1908,1)*24,2))</f>
        <v/>
      </c>
      <c r="I1908" s="18"/>
      <c r="J1908" s="18"/>
      <c r="K1908" s="18"/>
    </row>
    <row r="1909" customFormat="false" ht="15" hidden="false" customHeight="false" outlineLevel="0" collapsed="false">
      <c r="A1909" s="17"/>
      <c r="B1909" s="18"/>
      <c r="C1909" s="19"/>
      <c r="D1909" s="19"/>
      <c r="E1909" s="18"/>
      <c r="F1909" s="18"/>
      <c r="G1909" s="13" t="str">
        <f aca="false">IF(F1909="","",IFERROR(INDEX(Metas!$B$5:$B$54,MATCH(F1909,Metas!$A$5:$A$54,0)),"⚠ ID de meta no existe"))</f>
        <v/>
      </c>
      <c r="H1909" s="16" t="str">
        <f aca="false">IF(OR(C1909="",D1909=""),"",ROUND(MOD(D1909-C1909,1)*24,2))</f>
        <v/>
      </c>
      <c r="I1909" s="18"/>
      <c r="J1909" s="18"/>
      <c r="K1909" s="18"/>
    </row>
    <row r="1910" customFormat="false" ht="15" hidden="false" customHeight="false" outlineLevel="0" collapsed="false">
      <c r="A1910" s="17"/>
      <c r="B1910" s="18"/>
      <c r="C1910" s="19"/>
      <c r="D1910" s="19"/>
      <c r="E1910" s="18"/>
      <c r="F1910" s="18"/>
      <c r="G1910" s="13" t="str">
        <f aca="false">IF(F1910="","",IFERROR(INDEX(Metas!$B$5:$B$54,MATCH(F1910,Metas!$A$5:$A$54,0)),"⚠ ID de meta no existe"))</f>
        <v/>
      </c>
      <c r="H1910" s="16" t="str">
        <f aca="false">IF(OR(C1910="",D1910=""),"",ROUND(MOD(D1910-C1910,1)*24,2))</f>
        <v/>
      </c>
      <c r="I1910" s="18"/>
      <c r="J1910" s="18"/>
      <c r="K1910" s="18"/>
    </row>
    <row r="1911" customFormat="false" ht="15" hidden="false" customHeight="false" outlineLevel="0" collapsed="false">
      <c r="A1911" s="17"/>
      <c r="B1911" s="18"/>
      <c r="C1911" s="19"/>
      <c r="D1911" s="19"/>
      <c r="E1911" s="18"/>
      <c r="F1911" s="18"/>
      <c r="G1911" s="13" t="str">
        <f aca="false">IF(F1911="","",IFERROR(INDEX(Metas!$B$5:$B$54,MATCH(F1911,Metas!$A$5:$A$54,0)),"⚠ ID de meta no existe"))</f>
        <v/>
      </c>
      <c r="H1911" s="16" t="str">
        <f aca="false">IF(OR(C1911="",D1911=""),"",ROUND(MOD(D1911-C1911,1)*24,2))</f>
        <v/>
      </c>
      <c r="I1911" s="18"/>
      <c r="J1911" s="18"/>
      <c r="K1911" s="18"/>
    </row>
    <row r="1912" customFormat="false" ht="15" hidden="false" customHeight="false" outlineLevel="0" collapsed="false">
      <c r="A1912" s="17"/>
      <c r="B1912" s="18"/>
      <c r="C1912" s="19"/>
      <c r="D1912" s="19"/>
      <c r="E1912" s="18"/>
      <c r="F1912" s="18"/>
      <c r="G1912" s="13" t="str">
        <f aca="false">IF(F1912="","",IFERROR(INDEX(Metas!$B$5:$B$54,MATCH(F1912,Metas!$A$5:$A$54,0)),"⚠ ID de meta no existe"))</f>
        <v/>
      </c>
      <c r="H1912" s="16" t="str">
        <f aca="false">IF(OR(C1912="",D1912=""),"",ROUND(MOD(D1912-C1912,1)*24,2))</f>
        <v/>
      </c>
      <c r="I1912" s="18"/>
      <c r="J1912" s="18"/>
      <c r="K1912" s="18"/>
    </row>
    <row r="1913" customFormat="false" ht="15" hidden="false" customHeight="false" outlineLevel="0" collapsed="false">
      <c r="A1913" s="17"/>
      <c r="B1913" s="18"/>
      <c r="C1913" s="19"/>
      <c r="D1913" s="19"/>
      <c r="E1913" s="18"/>
      <c r="F1913" s="18"/>
      <c r="G1913" s="13" t="str">
        <f aca="false">IF(F1913="","",IFERROR(INDEX(Metas!$B$5:$B$54,MATCH(F1913,Metas!$A$5:$A$54,0)),"⚠ ID de meta no existe"))</f>
        <v/>
      </c>
      <c r="H1913" s="16" t="str">
        <f aca="false">IF(OR(C1913="",D1913=""),"",ROUND(MOD(D1913-C1913,1)*24,2))</f>
        <v/>
      </c>
      <c r="I1913" s="18"/>
      <c r="J1913" s="18"/>
      <c r="K1913" s="18"/>
    </row>
    <row r="1914" customFormat="false" ht="15" hidden="false" customHeight="false" outlineLevel="0" collapsed="false">
      <c r="A1914" s="17"/>
      <c r="B1914" s="18"/>
      <c r="C1914" s="19"/>
      <c r="D1914" s="19"/>
      <c r="E1914" s="18"/>
      <c r="F1914" s="18"/>
      <c r="G1914" s="13" t="str">
        <f aca="false">IF(F1914="","",IFERROR(INDEX(Metas!$B$5:$B$54,MATCH(F1914,Metas!$A$5:$A$54,0)),"⚠ ID de meta no existe"))</f>
        <v/>
      </c>
      <c r="H1914" s="16" t="str">
        <f aca="false">IF(OR(C1914="",D1914=""),"",ROUND(MOD(D1914-C1914,1)*24,2))</f>
        <v/>
      </c>
      <c r="I1914" s="18"/>
      <c r="J1914" s="18"/>
      <c r="K1914" s="18"/>
    </row>
    <row r="1915" customFormat="false" ht="15" hidden="false" customHeight="false" outlineLevel="0" collapsed="false">
      <c r="A1915" s="17"/>
      <c r="B1915" s="18"/>
      <c r="C1915" s="19"/>
      <c r="D1915" s="19"/>
      <c r="E1915" s="18"/>
      <c r="F1915" s="18"/>
      <c r="G1915" s="13" t="str">
        <f aca="false">IF(F1915="","",IFERROR(INDEX(Metas!$B$5:$B$54,MATCH(F1915,Metas!$A$5:$A$54,0)),"⚠ ID de meta no existe"))</f>
        <v/>
      </c>
      <c r="H1915" s="16" t="str">
        <f aca="false">IF(OR(C1915="",D1915=""),"",ROUND(MOD(D1915-C1915,1)*24,2))</f>
        <v/>
      </c>
      <c r="I1915" s="18"/>
      <c r="J1915" s="18"/>
      <c r="K1915" s="18"/>
    </row>
    <row r="1916" customFormat="false" ht="15" hidden="false" customHeight="false" outlineLevel="0" collapsed="false">
      <c r="A1916" s="17"/>
      <c r="B1916" s="18"/>
      <c r="C1916" s="19"/>
      <c r="D1916" s="19"/>
      <c r="E1916" s="18"/>
      <c r="F1916" s="18"/>
      <c r="G1916" s="13" t="str">
        <f aca="false">IF(F1916="","",IFERROR(INDEX(Metas!$B$5:$B$54,MATCH(F1916,Metas!$A$5:$A$54,0)),"⚠ ID de meta no existe"))</f>
        <v/>
      </c>
      <c r="H1916" s="16" t="str">
        <f aca="false">IF(OR(C1916="",D1916=""),"",ROUND(MOD(D1916-C1916,1)*24,2))</f>
        <v/>
      </c>
      <c r="I1916" s="18"/>
      <c r="J1916" s="18"/>
      <c r="K1916" s="18"/>
    </row>
    <row r="1917" customFormat="false" ht="15" hidden="false" customHeight="false" outlineLevel="0" collapsed="false">
      <c r="A1917" s="17"/>
      <c r="B1917" s="18"/>
      <c r="C1917" s="19"/>
      <c r="D1917" s="19"/>
      <c r="E1917" s="18"/>
      <c r="F1917" s="18"/>
      <c r="G1917" s="13" t="str">
        <f aca="false">IF(F1917="","",IFERROR(INDEX(Metas!$B$5:$B$54,MATCH(F1917,Metas!$A$5:$A$54,0)),"⚠ ID de meta no existe"))</f>
        <v/>
      </c>
      <c r="H1917" s="16" t="str">
        <f aca="false">IF(OR(C1917="",D1917=""),"",ROUND(MOD(D1917-C1917,1)*24,2))</f>
        <v/>
      </c>
      <c r="I1917" s="18"/>
      <c r="J1917" s="18"/>
      <c r="K1917" s="18"/>
    </row>
    <row r="1918" customFormat="false" ht="15" hidden="false" customHeight="false" outlineLevel="0" collapsed="false">
      <c r="A1918" s="17"/>
      <c r="B1918" s="18"/>
      <c r="C1918" s="19"/>
      <c r="D1918" s="19"/>
      <c r="E1918" s="18"/>
      <c r="F1918" s="18"/>
      <c r="G1918" s="13" t="str">
        <f aca="false">IF(F1918="","",IFERROR(INDEX(Metas!$B$5:$B$54,MATCH(F1918,Metas!$A$5:$A$54,0)),"⚠ ID de meta no existe"))</f>
        <v/>
      </c>
      <c r="H1918" s="16" t="str">
        <f aca="false">IF(OR(C1918="",D1918=""),"",ROUND(MOD(D1918-C1918,1)*24,2))</f>
        <v/>
      </c>
      <c r="I1918" s="18"/>
      <c r="J1918" s="18"/>
      <c r="K1918" s="18"/>
    </row>
    <row r="1919" customFormat="false" ht="15" hidden="false" customHeight="false" outlineLevel="0" collapsed="false">
      <c r="A1919" s="17"/>
      <c r="B1919" s="18"/>
      <c r="C1919" s="19"/>
      <c r="D1919" s="19"/>
      <c r="E1919" s="18"/>
      <c r="F1919" s="18"/>
      <c r="G1919" s="13" t="str">
        <f aca="false">IF(F1919="","",IFERROR(INDEX(Metas!$B$5:$B$54,MATCH(F1919,Metas!$A$5:$A$54,0)),"⚠ ID de meta no existe"))</f>
        <v/>
      </c>
      <c r="H1919" s="16" t="str">
        <f aca="false">IF(OR(C1919="",D1919=""),"",ROUND(MOD(D1919-C1919,1)*24,2))</f>
        <v/>
      </c>
      <c r="I1919" s="18"/>
      <c r="J1919" s="18"/>
      <c r="K1919" s="18"/>
    </row>
    <row r="1920" customFormat="false" ht="15" hidden="false" customHeight="false" outlineLevel="0" collapsed="false">
      <c r="A1920" s="17"/>
      <c r="B1920" s="18"/>
      <c r="C1920" s="19"/>
      <c r="D1920" s="19"/>
      <c r="E1920" s="18"/>
      <c r="F1920" s="18"/>
      <c r="G1920" s="13" t="str">
        <f aca="false">IF(F1920="","",IFERROR(INDEX(Metas!$B$5:$B$54,MATCH(F1920,Metas!$A$5:$A$54,0)),"⚠ ID de meta no existe"))</f>
        <v/>
      </c>
      <c r="H1920" s="16" t="str">
        <f aca="false">IF(OR(C1920="",D1920=""),"",ROUND(MOD(D1920-C1920,1)*24,2))</f>
        <v/>
      </c>
      <c r="I1920" s="18"/>
      <c r="J1920" s="18"/>
      <c r="K1920" s="18"/>
    </row>
    <row r="1921" customFormat="false" ht="15" hidden="false" customHeight="false" outlineLevel="0" collapsed="false">
      <c r="A1921" s="17"/>
      <c r="B1921" s="18"/>
      <c r="C1921" s="19"/>
      <c r="D1921" s="19"/>
      <c r="E1921" s="18"/>
      <c r="F1921" s="18"/>
      <c r="G1921" s="13" t="str">
        <f aca="false">IF(F1921="","",IFERROR(INDEX(Metas!$B$5:$B$54,MATCH(F1921,Metas!$A$5:$A$54,0)),"⚠ ID de meta no existe"))</f>
        <v/>
      </c>
      <c r="H1921" s="16" t="str">
        <f aca="false">IF(OR(C1921="",D1921=""),"",ROUND(MOD(D1921-C1921,1)*24,2))</f>
        <v/>
      </c>
      <c r="I1921" s="18"/>
      <c r="J1921" s="18"/>
      <c r="K1921" s="18"/>
    </row>
    <row r="1922" customFormat="false" ht="15" hidden="false" customHeight="false" outlineLevel="0" collapsed="false">
      <c r="A1922" s="17"/>
      <c r="B1922" s="18"/>
      <c r="C1922" s="19"/>
      <c r="D1922" s="19"/>
      <c r="E1922" s="18"/>
      <c r="F1922" s="18"/>
      <c r="G1922" s="13" t="str">
        <f aca="false">IF(F1922="","",IFERROR(INDEX(Metas!$B$5:$B$54,MATCH(F1922,Metas!$A$5:$A$54,0)),"⚠ ID de meta no existe"))</f>
        <v/>
      </c>
      <c r="H1922" s="16" t="str">
        <f aca="false">IF(OR(C1922="",D1922=""),"",ROUND(MOD(D1922-C1922,1)*24,2))</f>
        <v/>
      </c>
      <c r="I1922" s="18"/>
      <c r="J1922" s="18"/>
      <c r="K1922" s="18"/>
    </row>
    <row r="1923" customFormat="false" ht="15" hidden="false" customHeight="false" outlineLevel="0" collapsed="false">
      <c r="A1923" s="17"/>
      <c r="B1923" s="18"/>
      <c r="C1923" s="19"/>
      <c r="D1923" s="19"/>
      <c r="E1923" s="18"/>
      <c r="F1923" s="18"/>
      <c r="G1923" s="13" t="str">
        <f aca="false">IF(F1923="","",IFERROR(INDEX(Metas!$B$5:$B$54,MATCH(F1923,Metas!$A$5:$A$54,0)),"⚠ ID de meta no existe"))</f>
        <v/>
      </c>
      <c r="H1923" s="16" t="str">
        <f aca="false">IF(OR(C1923="",D1923=""),"",ROUND(MOD(D1923-C1923,1)*24,2))</f>
        <v/>
      </c>
      <c r="I1923" s="18"/>
      <c r="J1923" s="18"/>
      <c r="K1923" s="18"/>
    </row>
    <row r="1924" customFormat="false" ht="15" hidden="false" customHeight="false" outlineLevel="0" collapsed="false">
      <c r="A1924" s="17"/>
      <c r="B1924" s="18"/>
      <c r="C1924" s="19"/>
      <c r="D1924" s="19"/>
      <c r="E1924" s="18"/>
      <c r="F1924" s="18"/>
      <c r="G1924" s="13" t="str">
        <f aca="false">IF(F1924="","",IFERROR(INDEX(Metas!$B$5:$B$54,MATCH(F1924,Metas!$A$5:$A$54,0)),"⚠ ID de meta no existe"))</f>
        <v/>
      </c>
      <c r="H1924" s="16" t="str">
        <f aca="false">IF(OR(C1924="",D1924=""),"",ROUND(MOD(D1924-C1924,1)*24,2))</f>
        <v/>
      </c>
      <c r="I1924" s="18"/>
      <c r="J1924" s="18"/>
      <c r="K1924" s="18"/>
    </row>
    <row r="1925" customFormat="false" ht="15" hidden="false" customHeight="false" outlineLevel="0" collapsed="false">
      <c r="A1925" s="17"/>
      <c r="B1925" s="18"/>
      <c r="C1925" s="19"/>
      <c r="D1925" s="19"/>
      <c r="E1925" s="18"/>
      <c r="F1925" s="18"/>
      <c r="G1925" s="13" t="str">
        <f aca="false">IF(F1925="","",IFERROR(INDEX(Metas!$B$5:$B$54,MATCH(F1925,Metas!$A$5:$A$54,0)),"⚠ ID de meta no existe"))</f>
        <v/>
      </c>
      <c r="H1925" s="16" t="str">
        <f aca="false">IF(OR(C1925="",D1925=""),"",ROUND(MOD(D1925-C1925,1)*24,2))</f>
        <v/>
      </c>
      <c r="I1925" s="18"/>
      <c r="J1925" s="18"/>
      <c r="K1925" s="18"/>
    </row>
    <row r="1926" customFormat="false" ht="15" hidden="false" customHeight="false" outlineLevel="0" collapsed="false">
      <c r="A1926" s="17"/>
      <c r="B1926" s="18"/>
      <c r="C1926" s="19"/>
      <c r="D1926" s="19"/>
      <c r="E1926" s="18"/>
      <c r="F1926" s="18"/>
      <c r="G1926" s="13" t="str">
        <f aca="false">IF(F1926="","",IFERROR(INDEX(Metas!$B$5:$B$54,MATCH(F1926,Metas!$A$5:$A$54,0)),"⚠ ID de meta no existe"))</f>
        <v/>
      </c>
      <c r="H1926" s="16" t="str">
        <f aca="false">IF(OR(C1926="",D1926=""),"",ROUND(MOD(D1926-C1926,1)*24,2))</f>
        <v/>
      </c>
      <c r="I1926" s="18"/>
      <c r="J1926" s="18"/>
      <c r="K1926" s="18"/>
    </row>
    <row r="1927" customFormat="false" ht="15" hidden="false" customHeight="false" outlineLevel="0" collapsed="false">
      <c r="A1927" s="17"/>
      <c r="B1927" s="18"/>
      <c r="C1927" s="19"/>
      <c r="D1927" s="19"/>
      <c r="E1927" s="18"/>
      <c r="F1927" s="18"/>
      <c r="G1927" s="13" t="str">
        <f aca="false">IF(F1927="","",IFERROR(INDEX(Metas!$B$5:$B$54,MATCH(F1927,Metas!$A$5:$A$54,0)),"⚠ ID de meta no existe"))</f>
        <v/>
      </c>
      <c r="H1927" s="16" t="str">
        <f aca="false">IF(OR(C1927="",D1927=""),"",ROUND(MOD(D1927-C1927,1)*24,2))</f>
        <v/>
      </c>
      <c r="I1927" s="18"/>
      <c r="J1927" s="18"/>
      <c r="K1927" s="18"/>
    </row>
    <row r="1928" customFormat="false" ht="15" hidden="false" customHeight="false" outlineLevel="0" collapsed="false">
      <c r="A1928" s="17"/>
      <c r="B1928" s="18"/>
      <c r="C1928" s="19"/>
      <c r="D1928" s="19"/>
      <c r="E1928" s="18"/>
      <c r="F1928" s="18"/>
      <c r="G1928" s="13" t="str">
        <f aca="false">IF(F1928="","",IFERROR(INDEX(Metas!$B$5:$B$54,MATCH(F1928,Metas!$A$5:$A$54,0)),"⚠ ID de meta no existe"))</f>
        <v/>
      </c>
      <c r="H1928" s="16" t="str">
        <f aca="false">IF(OR(C1928="",D1928=""),"",ROUND(MOD(D1928-C1928,1)*24,2))</f>
        <v/>
      </c>
      <c r="I1928" s="18"/>
      <c r="J1928" s="18"/>
      <c r="K1928" s="18"/>
    </row>
    <row r="1929" customFormat="false" ht="15" hidden="false" customHeight="false" outlineLevel="0" collapsed="false">
      <c r="A1929" s="17"/>
      <c r="B1929" s="18"/>
      <c r="C1929" s="19"/>
      <c r="D1929" s="19"/>
      <c r="E1929" s="18"/>
      <c r="F1929" s="18"/>
      <c r="G1929" s="13" t="str">
        <f aca="false">IF(F1929="","",IFERROR(INDEX(Metas!$B$5:$B$54,MATCH(F1929,Metas!$A$5:$A$54,0)),"⚠ ID de meta no existe"))</f>
        <v/>
      </c>
      <c r="H1929" s="16" t="str">
        <f aca="false">IF(OR(C1929="",D1929=""),"",ROUND(MOD(D1929-C1929,1)*24,2))</f>
        <v/>
      </c>
      <c r="I1929" s="18"/>
      <c r="J1929" s="18"/>
      <c r="K1929" s="18"/>
    </row>
    <row r="1930" customFormat="false" ht="15" hidden="false" customHeight="false" outlineLevel="0" collapsed="false">
      <c r="A1930" s="17"/>
      <c r="B1930" s="18"/>
      <c r="C1930" s="19"/>
      <c r="D1930" s="19"/>
      <c r="E1930" s="18"/>
      <c r="F1930" s="18"/>
      <c r="G1930" s="13" t="str">
        <f aca="false">IF(F1930="","",IFERROR(INDEX(Metas!$B$5:$B$54,MATCH(F1930,Metas!$A$5:$A$54,0)),"⚠ ID de meta no existe"))</f>
        <v/>
      </c>
      <c r="H1930" s="16" t="str">
        <f aca="false">IF(OR(C1930="",D1930=""),"",ROUND(MOD(D1930-C1930,1)*24,2))</f>
        <v/>
      </c>
      <c r="I1930" s="18"/>
      <c r="J1930" s="18"/>
      <c r="K1930" s="18"/>
    </row>
    <row r="1931" customFormat="false" ht="15" hidden="false" customHeight="false" outlineLevel="0" collapsed="false">
      <c r="A1931" s="17"/>
      <c r="B1931" s="18"/>
      <c r="C1931" s="19"/>
      <c r="D1931" s="19"/>
      <c r="E1931" s="18"/>
      <c r="F1931" s="18"/>
      <c r="G1931" s="13" t="str">
        <f aca="false">IF(F1931="","",IFERROR(INDEX(Metas!$B$5:$B$54,MATCH(F1931,Metas!$A$5:$A$54,0)),"⚠ ID de meta no existe"))</f>
        <v/>
      </c>
      <c r="H1931" s="16" t="str">
        <f aca="false">IF(OR(C1931="",D1931=""),"",ROUND(MOD(D1931-C1931,1)*24,2))</f>
        <v/>
      </c>
      <c r="I1931" s="18"/>
      <c r="J1931" s="18"/>
      <c r="K1931" s="18"/>
    </row>
    <row r="1932" customFormat="false" ht="15" hidden="false" customHeight="false" outlineLevel="0" collapsed="false">
      <c r="A1932" s="17"/>
      <c r="B1932" s="18"/>
      <c r="C1932" s="19"/>
      <c r="D1932" s="19"/>
      <c r="E1932" s="18"/>
      <c r="F1932" s="18"/>
      <c r="G1932" s="13" t="str">
        <f aca="false">IF(F1932="","",IFERROR(INDEX(Metas!$B$5:$B$54,MATCH(F1932,Metas!$A$5:$A$54,0)),"⚠ ID de meta no existe"))</f>
        <v/>
      </c>
      <c r="H1932" s="16" t="str">
        <f aca="false">IF(OR(C1932="",D1932=""),"",ROUND(MOD(D1932-C1932,1)*24,2))</f>
        <v/>
      </c>
      <c r="I1932" s="18"/>
      <c r="J1932" s="18"/>
      <c r="K1932" s="18"/>
    </row>
    <row r="1933" customFormat="false" ht="15" hidden="false" customHeight="false" outlineLevel="0" collapsed="false">
      <c r="A1933" s="17"/>
      <c r="B1933" s="18"/>
      <c r="C1933" s="19"/>
      <c r="D1933" s="19"/>
      <c r="E1933" s="18"/>
      <c r="F1933" s="18"/>
      <c r="G1933" s="13" t="str">
        <f aca="false">IF(F1933="","",IFERROR(INDEX(Metas!$B$5:$B$54,MATCH(F1933,Metas!$A$5:$A$54,0)),"⚠ ID de meta no existe"))</f>
        <v/>
      </c>
      <c r="H1933" s="16" t="str">
        <f aca="false">IF(OR(C1933="",D1933=""),"",ROUND(MOD(D1933-C1933,1)*24,2))</f>
        <v/>
      </c>
      <c r="I1933" s="18"/>
      <c r="J1933" s="18"/>
      <c r="K1933" s="18"/>
    </row>
    <row r="1934" customFormat="false" ht="15" hidden="false" customHeight="false" outlineLevel="0" collapsed="false">
      <c r="A1934" s="17"/>
      <c r="B1934" s="18"/>
      <c r="C1934" s="19"/>
      <c r="D1934" s="19"/>
      <c r="E1934" s="18"/>
      <c r="F1934" s="18"/>
      <c r="G1934" s="13" t="str">
        <f aca="false">IF(F1934="","",IFERROR(INDEX(Metas!$B$5:$B$54,MATCH(F1934,Metas!$A$5:$A$54,0)),"⚠ ID de meta no existe"))</f>
        <v/>
      </c>
      <c r="H1934" s="16" t="str">
        <f aca="false">IF(OR(C1934="",D1934=""),"",ROUND(MOD(D1934-C1934,1)*24,2))</f>
        <v/>
      </c>
      <c r="I1934" s="18"/>
      <c r="J1934" s="18"/>
      <c r="K1934" s="18"/>
    </row>
    <row r="1935" customFormat="false" ht="15" hidden="false" customHeight="false" outlineLevel="0" collapsed="false">
      <c r="A1935" s="17"/>
      <c r="B1935" s="18"/>
      <c r="C1935" s="19"/>
      <c r="D1935" s="19"/>
      <c r="E1935" s="18"/>
      <c r="F1935" s="18"/>
      <c r="G1935" s="13" t="str">
        <f aca="false">IF(F1935="","",IFERROR(INDEX(Metas!$B$5:$B$54,MATCH(F1935,Metas!$A$5:$A$54,0)),"⚠ ID de meta no existe"))</f>
        <v/>
      </c>
      <c r="H1935" s="16" t="str">
        <f aca="false">IF(OR(C1935="",D1935=""),"",ROUND(MOD(D1935-C1935,1)*24,2))</f>
        <v/>
      </c>
      <c r="I1935" s="18"/>
      <c r="J1935" s="18"/>
      <c r="K1935" s="18"/>
    </row>
    <row r="1936" customFormat="false" ht="15" hidden="false" customHeight="false" outlineLevel="0" collapsed="false">
      <c r="A1936" s="17"/>
      <c r="B1936" s="18"/>
      <c r="C1936" s="19"/>
      <c r="D1936" s="19"/>
      <c r="E1936" s="18"/>
      <c r="F1936" s="18"/>
      <c r="G1936" s="13" t="str">
        <f aca="false">IF(F1936="","",IFERROR(INDEX(Metas!$B$5:$B$54,MATCH(F1936,Metas!$A$5:$A$54,0)),"⚠ ID de meta no existe"))</f>
        <v/>
      </c>
      <c r="H1936" s="16" t="str">
        <f aca="false">IF(OR(C1936="",D1936=""),"",ROUND(MOD(D1936-C1936,1)*24,2))</f>
        <v/>
      </c>
      <c r="I1936" s="18"/>
      <c r="J1936" s="18"/>
      <c r="K1936" s="18"/>
    </row>
    <row r="1937" customFormat="false" ht="15" hidden="false" customHeight="false" outlineLevel="0" collapsed="false">
      <c r="A1937" s="17"/>
      <c r="B1937" s="18"/>
      <c r="C1937" s="19"/>
      <c r="D1937" s="19"/>
      <c r="E1937" s="18"/>
      <c r="F1937" s="18"/>
      <c r="G1937" s="13" t="str">
        <f aca="false">IF(F1937="","",IFERROR(INDEX(Metas!$B$5:$B$54,MATCH(F1937,Metas!$A$5:$A$54,0)),"⚠ ID de meta no existe"))</f>
        <v/>
      </c>
      <c r="H1937" s="16" t="str">
        <f aca="false">IF(OR(C1937="",D1937=""),"",ROUND(MOD(D1937-C1937,1)*24,2))</f>
        <v/>
      </c>
      <c r="I1937" s="18"/>
      <c r="J1937" s="18"/>
      <c r="K1937" s="18"/>
    </row>
    <row r="1938" customFormat="false" ht="15" hidden="false" customHeight="false" outlineLevel="0" collapsed="false">
      <c r="A1938" s="17"/>
      <c r="B1938" s="18"/>
      <c r="C1938" s="19"/>
      <c r="D1938" s="19"/>
      <c r="E1938" s="18"/>
      <c r="F1938" s="18"/>
      <c r="G1938" s="13" t="str">
        <f aca="false">IF(F1938="","",IFERROR(INDEX(Metas!$B$5:$B$54,MATCH(F1938,Metas!$A$5:$A$54,0)),"⚠ ID de meta no existe"))</f>
        <v/>
      </c>
      <c r="H1938" s="16" t="str">
        <f aca="false">IF(OR(C1938="",D1938=""),"",ROUND(MOD(D1938-C1938,1)*24,2))</f>
        <v/>
      </c>
      <c r="I1938" s="18"/>
      <c r="J1938" s="18"/>
      <c r="K1938" s="18"/>
    </row>
    <row r="1939" customFormat="false" ht="15" hidden="false" customHeight="false" outlineLevel="0" collapsed="false">
      <c r="A1939" s="17"/>
      <c r="B1939" s="18"/>
      <c r="C1939" s="19"/>
      <c r="D1939" s="19"/>
      <c r="E1939" s="18"/>
      <c r="F1939" s="18"/>
      <c r="G1939" s="13" t="str">
        <f aca="false">IF(F1939="","",IFERROR(INDEX(Metas!$B$5:$B$54,MATCH(F1939,Metas!$A$5:$A$54,0)),"⚠ ID de meta no existe"))</f>
        <v/>
      </c>
      <c r="H1939" s="16" t="str">
        <f aca="false">IF(OR(C1939="",D1939=""),"",ROUND(MOD(D1939-C1939,1)*24,2))</f>
        <v/>
      </c>
      <c r="I1939" s="18"/>
      <c r="J1939" s="18"/>
      <c r="K1939" s="18"/>
    </row>
    <row r="1940" customFormat="false" ht="15" hidden="false" customHeight="false" outlineLevel="0" collapsed="false">
      <c r="A1940" s="17"/>
      <c r="B1940" s="18"/>
      <c r="C1940" s="19"/>
      <c r="D1940" s="19"/>
      <c r="E1940" s="18"/>
      <c r="F1940" s="18"/>
      <c r="G1940" s="13" t="str">
        <f aca="false">IF(F1940="","",IFERROR(INDEX(Metas!$B$5:$B$54,MATCH(F1940,Metas!$A$5:$A$54,0)),"⚠ ID de meta no existe"))</f>
        <v/>
      </c>
      <c r="H1940" s="16" t="str">
        <f aca="false">IF(OR(C1940="",D1940=""),"",ROUND(MOD(D1940-C1940,1)*24,2))</f>
        <v/>
      </c>
      <c r="I1940" s="18"/>
      <c r="J1940" s="18"/>
      <c r="K1940" s="18"/>
    </row>
    <row r="1941" customFormat="false" ht="15" hidden="false" customHeight="false" outlineLevel="0" collapsed="false">
      <c r="A1941" s="17"/>
      <c r="B1941" s="18"/>
      <c r="C1941" s="19"/>
      <c r="D1941" s="19"/>
      <c r="E1941" s="18"/>
      <c r="F1941" s="18"/>
      <c r="G1941" s="13" t="str">
        <f aca="false">IF(F1941="","",IFERROR(INDEX(Metas!$B$5:$B$54,MATCH(F1941,Metas!$A$5:$A$54,0)),"⚠ ID de meta no existe"))</f>
        <v/>
      </c>
      <c r="H1941" s="16" t="str">
        <f aca="false">IF(OR(C1941="",D1941=""),"",ROUND(MOD(D1941-C1941,1)*24,2))</f>
        <v/>
      </c>
      <c r="I1941" s="18"/>
      <c r="J1941" s="18"/>
      <c r="K1941" s="18"/>
    </row>
    <row r="1942" customFormat="false" ht="15" hidden="false" customHeight="false" outlineLevel="0" collapsed="false">
      <c r="A1942" s="17"/>
      <c r="B1942" s="18"/>
      <c r="C1942" s="19"/>
      <c r="D1942" s="19"/>
      <c r="E1942" s="18"/>
      <c r="F1942" s="18"/>
      <c r="G1942" s="13" t="str">
        <f aca="false">IF(F1942="","",IFERROR(INDEX(Metas!$B$5:$B$54,MATCH(F1942,Metas!$A$5:$A$54,0)),"⚠ ID de meta no existe"))</f>
        <v/>
      </c>
      <c r="H1942" s="16" t="str">
        <f aca="false">IF(OR(C1942="",D1942=""),"",ROUND(MOD(D1942-C1942,1)*24,2))</f>
        <v/>
      </c>
      <c r="I1942" s="18"/>
      <c r="J1942" s="18"/>
      <c r="K1942" s="18"/>
    </row>
    <row r="1943" customFormat="false" ht="15" hidden="false" customHeight="false" outlineLevel="0" collapsed="false">
      <c r="A1943" s="17"/>
      <c r="B1943" s="18"/>
      <c r="C1943" s="19"/>
      <c r="D1943" s="19"/>
      <c r="E1943" s="18"/>
      <c r="F1943" s="18"/>
      <c r="G1943" s="13" t="str">
        <f aca="false">IF(F1943="","",IFERROR(INDEX(Metas!$B$5:$B$54,MATCH(F1943,Metas!$A$5:$A$54,0)),"⚠ ID de meta no existe"))</f>
        <v/>
      </c>
      <c r="H1943" s="16" t="str">
        <f aca="false">IF(OR(C1943="",D1943=""),"",ROUND(MOD(D1943-C1943,1)*24,2))</f>
        <v/>
      </c>
      <c r="I1943" s="18"/>
      <c r="J1943" s="18"/>
      <c r="K1943" s="18"/>
    </row>
    <row r="1944" customFormat="false" ht="15" hidden="false" customHeight="false" outlineLevel="0" collapsed="false">
      <c r="A1944" s="17"/>
      <c r="B1944" s="18"/>
      <c r="C1944" s="19"/>
      <c r="D1944" s="19"/>
      <c r="E1944" s="18"/>
      <c r="F1944" s="18"/>
      <c r="G1944" s="13" t="str">
        <f aca="false">IF(F1944="","",IFERROR(INDEX(Metas!$B$5:$B$54,MATCH(F1944,Metas!$A$5:$A$54,0)),"⚠ ID de meta no existe"))</f>
        <v/>
      </c>
      <c r="H1944" s="16" t="str">
        <f aca="false">IF(OR(C1944="",D1944=""),"",ROUND(MOD(D1944-C1944,1)*24,2))</f>
        <v/>
      </c>
      <c r="I1944" s="18"/>
      <c r="J1944" s="18"/>
      <c r="K1944" s="18"/>
    </row>
    <row r="1945" customFormat="false" ht="15" hidden="false" customHeight="false" outlineLevel="0" collapsed="false">
      <c r="A1945" s="17"/>
      <c r="B1945" s="18"/>
      <c r="C1945" s="19"/>
      <c r="D1945" s="19"/>
      <c r="E1945" s="18"/>
      <c r="F1945" s="18"/>
      <c r="G1945" s="13" t="str">
        <f aca="false">IF(F1945="","",IFERROR(INDEX(Metas!$B$5:$B$54,MATCH(F1945,Metas!$A$5:$A$54,0)),"⚠ ID de meta no existe"))</f>
        <v/>
      </c>
      <c r="H1945" s="16" t="str">
        <f aca="false">IF(OR(C1945="",D1945=""),"",ROUND(MOD(D1945-C1945,1)*24,2))</f>
        <v/>
      </c>
      <c r="I1945" s="18"/>
      <c r="J1945" s="18"/>
      <c r="K1945" s="18"/>
    </row>
    <row r="1946" customFormat="false" ht="15" hidden="false" customHeight="false" outlineLevel="0" collapsed="false">
      <c r="A1946" s="17"/>
      <c r="B1946" s="18"/>
      <c r="C1946" s="19"/>
      <c r="D1946" s="19"/>
      <c r="E1946" s="18"/>
      <c r="F1946" s="18"/>
      <c r="G1946" s="13" t="str">
        <f aca="false">IF(F1946="","",IFERROR(INDEX(Metas!$B$5:$B$54,MATCH(F1946,Metas!$A$5:$A$54,0)),"⚠ ID de meta no existe"))</f>
        <v/>
      </c>
      <c r="H1946" s="16" t="str">
        <f aca="false">IF(OR(C1946="",D1946=""),"",ROUND(MOD(D1946-C1946,1)*24,2))</f>
        <v/>
      </c>
      <c r="I1946" s="18"/>
      <c r="J1946" s="18"/>
      <c r="K1946" s="18"/>
    </row>
    <row r="1947" customFormat="false" ht="15" hidden="false" customHeight="false" outlineLevel="0" collapsed="false">
      <c r="A1947" s="17"/>
      <c r="B1947" s="18"/>
      <c r="C1947" s="19"/>
      <c r="D1947" s="19"/>
      <c r="E1947" s="18"/>
      <c r="F1947" s="18"/>
      <c r="G1947" s="13" t="str">
        <f aca="false">IF(F1947="","",IFERROR(INDEX(Metas!$B$5:$B$54,MATCH(F1947,Metas!$A$5:$A$54,0)),"⚠ ID de meta no existe"))</f>
        <v/>
      </c>
      <c r="H1947" s="16" t="str">
        <f aca="false">IF(OR(C1947="",D1947=""),"",ROUND(MOD(D1947-C1947,1)*24,2))</f>
        <v/>
      </c>
      <c r="I1947" s="18"/>
      <c r="J1947" s="18"/>
      <c r="K1947" s="18"/>
    </row>
    <row r="1948" customFormat="false" ht="15" hidden="false" customHeight="false" outlineLevel="0" collapsed="false">
      <c r="A1948" s="17"/>
      <c r="B1948" s="18"/>
      <c r="C1948" s="19"/>
      <c r="D1948" s="19"/>
      <c r="E1948" s="18"/>
      <c r="F1948" s="18"/>
      <c r="G1948" s="13" t="str">
        <f aca="false">IF(F1948="","",IFERROR(INDEX(Metas!$B$5:$B$54,MATCH(F1948,Metas!$A$5:$A$54,0)),"⚠ ID de meta no existe"))</f>
        <v/>
      </c>
      <c r="H1948" s="16" t="str">
        <f aca="false">IF(OR(C1948="",D1948=""),"",ROUND(MOD(D1948-C1948,1)*24,2))</f>
        <v/>
      </c>
      <c r="I1948" s="18"/>
      <c r="J1948" s="18"/>
      <c r="K1948" s="18"/>
    </row>
    <row r="1949" customFormat="false" ht="15" hidden="false" customHeight="false" outlineLevel="0" collapsed="false">
      <c r="A1949" s="17"/>
      <c r="B1949" s="18"/>
      <c r="C1949" s="19"/>
      <c r="D1949" s="19"/>
      <c r="E1949" s="18"/>
      <c r="F1949" s="18"/>
      <c r="G1949" s="13" t="str">
        <f aca="false">IF(F1949="","",IFERROR(INDEX(Metas!$B$5:$B$54,MATCH(F1949,Metas!$A$5:$A$54,0)),"⚠ ID de meta no existe"))</f>
        <v/>
      </c>
      <c r="H1949" s="16" t="str">
        <f aca="false">IF(OR(C1949="",D1949=""),"",ROUND(MOD(D1949-C1949,1)*24,2))</f>
        <v/>
      </c>
      <c r="I1949" s="18"/>
      <c r="J1949" s="18"/>
      <c r="K1949" s="18"/>
    </row>
    <row r="1950" customFormat="false" ht="15" hidden="false" customHeight="false" outlineLevel="0" collapsed="false">
      <c r="A1950" s="17"/>
      <c r="B1950" s="18"/>
      <c r="C1950" s="19"/>
      <c r="D1950" s="19"/>
      <c r="E1950" s="18"/>
      <c r="F1950" s="18"/>
      <c r="G1950" s="13" t="str">
        <f aca="false">IF(F1950="","",IFERROR(INDEX(Metas!$B$5:$B$54,MATCH(F1950,Metas!$A$5:$A$54,0)),"⚠ ID de meta no existe"))</f>
        <v/>
      </c>
      <c r="H1950" s="16" t="str">
        <f aca="false">IF(OR(C1950="",D1950=""),"",ROUND(MOD(D1950-C1950,1)*24,2))</f>
        <v/>
      </c>
      <c r="I1950" s="18"/>
      <c r="J1950" s="18"/>
      <c r="K1950" s="18"/>
    </row>
    <row r="1951" customFormat="false" ht="15" hidden="false" customHeight="false" outlineLevel="0" collapsed="false">
      <c r="A1951" s="17"/>
      <c r="B1951" s="18"/>
      <c r="C1951" s="19"/>
      <c r="D1951" s="19"/>
      <c r="E1951" s="18"/>
      <c r="F1951" s="18"/>
      <c r="G1951" s="13" t="str">
        <f aca="false">IF(F1951="","",IFERROR(INDEX(Metas!$B$5:$B$54,MATCH(F1951,Metas!$A$5:$A$54,0)),"⚠ ID de meta no existe"))</f>
        <v/>
      </c>
      <c r="H1951" s="16" t="str">
        <f aca="false">IF(OR(C1951="",D1951=""),"",ROUND(MOD(D1951-C1951,1)*24,2))</f>
        <v/>
      </c>
      <c r="I1951" s="18"/>
      <c r="J1951" s="18"/>
      <c r="K1951" s="18"/>
    </row>
    <row r="1952" customFormat="false" ht="15" hidden="false" customHeight="false" outlineLevel="0" collapsed="false">
      <c r="A1952" s="17"/>
      <c r="B1952" s="18"/>
      <c r="C1952" s="19"/>
      <c r="D1952" s="19"/>
      <c r="E1952" s="18"/>
      <c r="F1952" s="18"/>
      <c r="G1952" s="13" t="str">
        <f aca="false">IF(F1952="","",IFERROR(INDEX(Metas!$B$5:$B$54,MATCH(F1952,Metas!$A$5:$A$54,0)),"⚠ ID de meta no existe"))</f>
        <v/>
      </c>
      <c r="H1952" s="16" t="str">
        <f aca="false">IF(OR(C1952="",D1952=""),"",ROUND(MOD(D1952-C1952,1)*24,2))</f>
        <v/>
      </c>
      <c r="I1952" s="18"/>
      <c r="J1952" s="18"/>
      <c r="K1952" s="18"/>
    </row>
    <row r="1953" customFormat="false" ht="15" hidden="false" customHeight="false" outlineLevel="0" collapsed="false">
      <c r="A1953" s="17"/>
      <c r="B1953" s="18"/>
      <c r="C1953" s="19"/>
      <c r="D1953" s="19"/>
      <c r="E1953" s="18"/>
      <c r="F1953" s="18"/>
      <c r="G1953" s="13" t="str">
        <f aca="false">IF(F1953="","",IFERROR(INDEX(Metas!$B$5:$B$54,MATCH(F1953,Metas!$A$5:$A$54,0)),"⚠ ID de meta no existe"))</f>
        <v/>
      </c>
      <c r="H1953" s="16" t="str">
        <f aca="false">IF(OR(C1953="",D1953=""),"",ROUND(MOD(D1953-C1953,1)*24,2))</f>
        <v/>
      </c>
      <c r="I1953" s="18"/>
      <c r="J1953" s="18"/>
      <c r="K1953" s="18"/>
    </row>
    <row r="1954" customFormat="false" ht="15" hidden="false" customHeight="false" outlineLevel="0" collapsed="false">
      <c r="A1954" s="17"/>
      <c r="B1954" s="18"/>
      <c r="C1954" s="19"/>
      <c r="D1954" s="19"/>
      <c r="E1954" s="18"/>
      <c r="F1954" s="18"/>
      <c r="G1954" s="13" t="str">
        <f aca="false">IF(F1954="","",IFERROR(INDEX(Metas!$B$5:$B$54,MATCH(F1954,Metas!$A$5:$A$54,0)),"⚠ ID de meta no existe"))</f>
        <v/>
      </c>
      <c r="H1954" s="16" t="str">
        <f aca="false">IF(OR(C1954="",D1954=""),"",ROUND(MOD(D1954-C1954,1)*24,2))</f>
        <v/>
      </c>
      <c r="I1954" s="18"/>
      <c r="J1954" s="18"/>
      <c r="K1954" s="18"/>
    </row>
    <row r="1955" customFormat="false" ht="15" hidden="false" customHeight="false" outlineLevel="0" collapsed="false">
      <c r="A1955" s="17"/>
      <c r="B1955" s="18"/>
      <c r="C1955" s="19"/>
      <c r="D1955" s="19"/>
      <c r="E1955" s="18"/>
      <c r="F1955" s="18"/>
      <c r="G1955" s="13" t="str">
        <f aca="false">IF(F1955="","",IFERROR(INDEX(Metas!$B$5:$B$54,MATCH(F1955,Metas!$A$5:$A$54,0)),"⚠ ID de meta no existe"))</f>
        <v/>
      </c>
      <c r="H1955" s="16" t="str">
        <f aca="false">IF(OR(C1955="",D1955=""),"",ROUND(MOD(D1955-C1955,1)*24,2))</f>
        <v/>
      </c>
      <c r="I1955" s="18"/>
      <c r="J1955" s="18"/>
      <c r="K1955" s="18"/>
    </row>
    <row r="1956" customFormat="false" ht="15" hidden="false" customHeight="false" outlineLevel="0" collapsed="false">
      <c r="A1956" s="17"/>
      <c r="B1956" s="18"/>
      <c r="C1956" s="19"/>
      <c r="D1956" s="19"/>
      <c r="E1956" s="18"/>
      <c r="F1956" s="18"/>
      <c r="G1956" s="13" t="str">
        <f aca="false">IF(F1956="","",IFERROR(INDEX(Metas!$B$5:$B$54,MATCH(F1956,Metas!$A$5:$A$54,0)),"⚠ ID de meta no existe"))</f>
        <v/>
      </c>
      <c r="H1956" s="16" t="str">
        <f aca="false">IF(OR(C1956="",D1956=""),"",ROUND(MOD(D1956-C1956,1)*24,2))</f>
        <v/>
      </c>
      <c r="I1956" s="18"/>
      <c r="J1956" s="18"/>
      <c r="K1956" s="18"/>
    </row>
    <row r="1957" customFormat="false" ht="15" hidden="false" customHeight="false" outlineLevel="0" collapsed="false">
      <c r="A1957" s="17"/>
      <c r="B1957" s="18"/>
      <c r="C1957" s="19"/>
      <c r="D1957" s="19"/>
      <c r="E1957" s="18"/>
      <c r="F1957" s="18"/>
      <c r="G1957" s="13" t="str">
        <f aca="false">IF(F1957="","",IFERROR(INDEX(Metas!$B$5:$B$54,MATCH(F1957,Metas!$A$5:$A$54,0)),"⚠ ID de meta no existe"))</f>
        <v/>
      </c>
      <c r="H1957" s="16" t="str">
        <f aca="false">IF(OR(C1957="",D1957=""),"",ROUND(MOD(D1957-C1957,1)*24,2))</f>
        <v/>
      </c>
      <c r="I1957" s="18"/>
      <c r="J1957" s="18"/>
      <c r="K1957" s="18"/>
    </row>
    <row r="1958" customFormat="false" ht="15" hidden="false" customHeight="false" outlineLevel="0" collapsed="false">
      <c r="A1958" s="17"/>
      <c r="B1958" s="18"/>
      <c r="C1958" s="19"/>
      <c r="D1958" s="19"/>
      <c r="E1958" s="18"/>
      <c r="F1958" s="18"/>
      <c r="G1958" s="13" t="str">
        <f aca="false">IF(F1958="","",IFERROR(INDEX(Metas!$B$5:$B$54,MATCH(F1958,Metas!$A$5:$A$54,0)),"⚠ ID de meta no existe"))</f>
        <v/>
      </c>
      <c r="H1958" s="16" t="str">
        <f aca="false">IF(OR(C1958="",D1958=""),"",ROUND(MOD(D1958-C1958,1)*24,2))</f>
        <v/>
      </c>
      <c r="I1958" s="18"/>
      <c r="J1958" s="18"/>
      <c r="K1958" s="18"/>
    </row>
    <row r="1959" customFormat="false" ht="15" hidden="false" customHeight="false" outlineLevel="0" collapsed="false">
      <c r="A1959" s="17"/>
      <c r="B1959" s="18"/>
      <c r="C1959" s="19"/>
      <c r="D1959" s="19"/>
      <c r="E1959" s="18"/>
      <c r="F1959" s="18"/>
      <c r="G1959" s="13" t="str">
        <f aca="false">IF(F1959="","",IFERROR(INDEX(Metas!$B$5:$B$54,MATCH(F1959,Metas!$A$5:$A$54,0)),"⚠ ID de meta no existe"))</f>
        <v/>
      </c>
      <c r="H1959" s="16" t="str">
        <f aca="false">IF(OR(C1959="",D1959=""),"",ROUND(MOD(D1959-C1959,1)*24,2))</f>
        <v/>
      </c>
      <c r="I1959" s="18"/>
      <c r="J1959" s="18"/>
      <c r="K1959" s="18"/>
    </row>
    <row r="1960" customFormat="false" ht="15" hidden="false" customHeight="false" outlineLevel="0" collapsed="false">
      <c r="A1960" s="17"/>
      <c r="B1960" s="18"/>
      <c r="C1960" s="19"/>
      <c r="D1960" s="19"/>
      <c r="E1960" s="18"/>
      <c r="F1960" s="18"/>
      <c r="G1960" s="13" t="str">
        <f aca="false">IF(F1960="","",IFERROR(INDEX(Metas!$B$5:$B$54,MATCH(F1960,Metas!$A$5:$A$54,0)),"⚠ ID de meta no existe"))</f>
        <v/>
      </c>
      <c r="H1960" s="16" t="str">
        <f aca="false">IF(OR(C1960="",D1960=""),"",ROUND(MOD(D1960-C1960,1)*24,2))</f>
        <v/>
      </c>
      <c r="I1960" s="18"/>
      <c r="J1960" s="18"/>
      <c r="K1960" s="18"/>
    </row>
    <row r="1961" customFormat="false" ht="15" hidden="false" customHeight="false" outlineLevel="0" collapsed="false">
      <c r="A1961" s="17"/>
      <c r="B1961" s="18"/>
      <c r="C1961" s="19"/>
      <c r="D1961" s="19"/>
      <c r="E1961" s="18"/>
      <c r="F1961" s="18"/>
      <c r="G1961" s="13" t="str">
        <f aca="false">IF(F1961="","",IFERROR(INDEX(Metas!$B$5:$B$54,MATCH(F1961,Metas!$A$5:$A$54,0)),"⚠ ID de meta no existe"))</f>
        <v/>
      </c>
      <c r="H1961" s="16" t="str">
        <f aca="false">IF(OR(C1961="",D1961=""),"",ROUND(MOD(D1961-C1961,1)*24,2))</f>
        <v/>
      </c>
      <c r="I1961" s="18"/>
      <c r="J1961" s="18"/>
      <c r="K1961" s="18"/>
    </row>
    <row r="1962" customFormat="false" ht="15" hidden="false" customHeight="false" outlineLevel="0" collapsed="false">
      <c r="A1962" s="17"/>
      <c r="B1962" s="18"/>
      <c r="C1962" s="19"/>
      <c r="D1962" s="19"/>
      <c r="E1962" s="18"/>
      <c r="F1962" s="18"/>
      <c r="G1962" s="13" t="str">
        <f aca="false">IF(F1962="","",IFERROR(INDEX(Metas!$B$5:$B$54,MATCH(F1962,Metas!$A$5:$A$54,0)),"⚠ ID de meta no existe"))</f>
        <v/>
      </c>
      <c r="H1962" s="16" t="str">
        <f aca="false">IF(OR(C1962="",D1962=""),"",ROUND(MOD(D1962-C1962,1)*24,2))</f>
        <v/>
      </c>
      <c r="I1962" s="18"/>
      <c r="J1962" s="18"/>
      <c r="K1962" s="18"/>
    </row>
    <row r="1963" customFormat="false" ht="15" hidden="false" customHeight="false" outlineLevel="0" collapsed="false">
      <c r="A1963" s="17"/>
      <c r="B1963" s="18"/>
      <c r="C1963" s="19"/>
      <c r="D1963" s="19"/>
      <c r="E1963" s="18"/>
      <c r="F1963" s="18"/>
      <c r="G1963" s="13" t="str">
        <f aca="false">IF(F1963="","",IFERROR(INDEX(Metas!$B$5:$B$54,MATCH(F1963,Metas!$A$5:$A$54,0)),"⚠ ID de meta no existe"))</f>
        <v/>
      </c>
      <c r="H1963" s="16" t="str">
        <f aca="false">IF(OR(C1963="",D1963=""),"",ROUND(MOD(D1963-C1963,1)*24,2))</f>
        <v/>
      </c>
      <c r="I1963" s="18"/>
      <c r="J1963" s="18"/>
      <c r="K1963" s="18"/>
    </row>
    <row r="1964" customFormat="false" ht="15" hidden="false" customHeight="false" outlineLevel="0" collapsed="false">
      <c r="A1964" s="17"/>
      <c r="B1964" s="18"/>
      <c r="C1964" s="19"/>
      <c r="D1964" s="19"/>
      <c r="E1964" s="18"/>
      <c r="F1964" s="18"/>
      <c r="G1964" s="13" t="str">
        <f aca="false">IF(F1964="","",IFERROR(INDEX(Metas!$B$5:$B$54,MATCH(F1964,Metas!$A$5:$A$54,0)),"⚠ ID de meta no existe"))</f>
        <v/>
      </c>
      <c r="H1964" s="16" t="str">
        <f aca="false">IF(OR(C1964="",D1964=""),"",ROUND(MOD(D1964-C1964,1)*24,2))</f>
        <v/>
      </c>
      <c r="I1964" s="18"/>
      <c r="J1964" s="18"/>
      <c r="K1964" s="18"/>
    </row>
    <row r="1965" customFormat="false" ht="15" hidden="false" customHeight="false" outlineLevel="0" collapsed="false">
      <c r="A1965" s="17"/>
      <c r="B1965" s="18"/>
      <c r="C1965" s="19"/>
      <c r="D1965" s="19"/>
      <c r="E1965" s="18"/>
      <c r="F1965" s="18"/>
      <c r="G1965" s="13" t="str">
        <f aca="false">IF(F1965="","",IFERROR(INDEX(Metas!$B$5:$B$54,MATCH(F1965,Metas!$A$5:$A$54,0)),"⚠ ID de meta no existe"))</f>
        <v/>
      </c>
      <c r="H1965" s="16" t="str">
        <f aca="false">IF(OR(C1965="",D1965=""),"",ROUND(MOD(D1965-C1965,1)*24,2))</f>
        <v/>
      </c>
      <c r="I1965" s="18"/>
      <c r="J1965" s="18"/>
      <c r="K1965" s="18"/>
    </row>
    <row r="1966" customFormat="false" ht="15" hidden="false" customHeight="false" outlineLevel="0" collapsed="false">
      <c r="A1966" s="17"/>
      <c r="B1966" s="18"/>
      <c r="C1966" s="19"/>
      <c r="D1966" s="19"/>
      <c r="E1966" s="18"/>
      <c r="F1966" s="18"/>
      <c r="G1966" s="13" t="str">
        <f aca="false">IF(F1966="","",IFERROR(INDEX(Metas!$B$5:$B$54,MATCH(F1966,Metas!$A$5:$A$54,0)),"⚠ ID de meta no existe"))</f>
        <v/>
      </c>
      <c r="H1966" s="16" t="str">
        <f aca="false">IF(OR(C1966="",D1966=""),"",ROUND(MOD(D1966-C1966,1)*24,2))</f>
        <v/>
      </c>
      <c r="I1966" s="18"/>
      <c r="J1966" s="18"/>
      <c r="K1966" s="18"/>
    </row>
    <row r="1967" customFormat="false" ht="15" hidden="false" customHeight="false" outlineLevel="0" collapsed="false">
      <c r="A1967" s="17"/>
      <c r="B1967" s="18"/>
      <c r="C1967" s="19"/>
      <c r="D1967" s="19"/>
      <c r="E1967" s="18"/>
      <c r="F1967" s="18"/>
      <c r="G1967" s="13" t="str">
        <f aca="false">IF(F1967="","",IFERROR(INDEX(Metas!$B$5:$B$54,MATCH(F1967,Metas!$A$5:$A$54,0)),"⚠ ID de meta no existe"))</f>
        <v/>
      </c>
      <c r="H1967" s="16" t="str">
        <f aca="false">IF(OR(C1967="",D1967=""),"",ROUND(MOD(D1967-C1967,1)*24,2))</f>
        <v/>
      </c>
      <c r="I1967" s="18"/>
      <c r="J1967" s="18"/>
      <c r="K1967" s="18"/>
    </row>
    <row r="1968" customFormat="false" ht="15" hidden="false" customHeight="false" outlineLevel="0" collapsed="false">
      <c r="A1968" s="17"/>
      <c r="B1968" s="18"/>
      <c r="C1968" s="19"/>
      <c r="D1968" s="19"/>
      <c r="E1968" s="18"/>
      <c r="F1968" s="18"/>
      <c r="G1968" s="13" t="str">
        <f aca="false">IF(F1968="","",IFERROR(INDEX(Metas!$B$5:$B$54,MATCH(F1968,Metas!$A$5:$A$54,0)),"⚠ ID de meta no existe"))</f>
        <v/>
      </c>
      <c r="H1968" s="16" t="str">
        <f aca="false">IF(OR(C1968="",D1968=""),"",ROUND(MOD(D1968-C1968,1)*24,2))</f>
        <v/>
      </c>
      <c r="I1968" s="18"/>
      <c r="J1968" s="18"/>
      <c r="K1968" s="18"/>
    </row>
    <row r="1969" customFormat="false" ht="15" hidden="false" customHeight="false" outlineLevel="0" collapsed="false">
      <c r="A1969" s="17"/>
      <c r="B1969" s="18"/>
      <c r="C1969" s="19"/>
      <c r="D1969" s="19"/>
      <c r="E1969" s="18"/>
      <c r="F1969" s="18"/>
      <c r="G1969" s="13" t="str">
        <f aca="false">IF(F1969="","",IFERROR(INDEX(Metas!$B$5:$B$54,MATCH(F1969,Metas!$A$5:$A$54,0)),"⚠ ID de meta no existe"))</f>
        <v/>
      </c>
      <c r="H1969" s="16" t="str">
        <f aca="false">IF(OR(C1969="",D1969=""),"",ROUND(MOD(D1969-C1969,1)*24,2))</f>
        <v/>
      </c>
      <c r="I1969" s="18"/>
      <c r="J1969" s="18"/>
      <c r="K1969" s="18"/>
    </row>
    <row r="1970" customFormat="false" ht="15" hidden="false" customHeight="false" outlineLevel="0" collapsed="false">
      <c r="A1970" s="17"/>
      <c r="B1970" s="18"/>
      <c r="C1970" s="19"/>
      <c r="D1970" s="19"/>
      <c r="E1970" s="18"/>
      <c r="F1970" s="18"/>
      <c r="G1970" s="13" t="str">
        <f aca="false">IF(F1970="","",IFERROR(INDEX(Metas!$B$5:$B$54,MATCH(F1970,Metas!$A$5:$A$54,0)),"⚠ ID de meta no existe"))</f>
        <v/>
      </c>
      <c r="H1970" s="16" t="str">
        <f aca="false">IF(OR(C1970="",D1970=""),"",ROUND(MOD(D1970-C1970,1)*24,2))</f>
        <v/>
      </c>
      <c r="I1970" s="18"/>
      <c r="J1970" s="18"/>
      <c r="K1970" s="18"/>
    </row>
    <row r="1971" customFormat="false" ht="15" hidden="false" customHeight="false" outlineLevel="0" collapsed="false">
      <c r="A1971" s="17"/>
      <c r="B1971" s="18"/>
      <c r="C1971" s="19"/>
      <c r="D1971" s="19"/>
      <c r="E1971" s="18"/>
      <c r="F1971" s="18"/>
      <c r="G1971" s="13" t="str">
        <f aca="false">IF(F1971="","",IFERROR(INDEX(Metas!$B$5:$B$54,MATCH(F1971,Metas!$A$5:$A$54,0)),"⚠ ID de meta no existe"))</f>
        <v/>
      </c>
      <c r="H1971" s="16" t="str">
        <f aca="false">IF(OR(C1971="",D1971=""),"",ROUND(MOD(D1971-C1971,1)*24,2))</f>
        <v/>
      </c>
      <c r="I1971" s="18"/>
      <c r="J1971" s="18"/>
      <c r="K1971" s="18"/>
    </row>
    <row r="1972" customFormat="false" ht="15" hidden="false" customHeight="false" outlineLevel="0" collapsed="false">
      <c r="A1972" s="17"/>
      <c r="B1972" s="18"/>
      <c r="C1972" s="19"/>
      <c r="D1972" s="19"/>
      <c r="E1972" s="18"/>
      <c r="F1972" s="18"/>
      <c r="G1972" s="13" t="str">
        <f aca="false">IF(F1972="","",IFERROR(INDEX(Metas!$B$5:$B$54,MATCH(F1972,Metas!$A$5:$A$54,0)),"⚠ ID de meta no existe"))</f>
        <v/>
      </c>
      <c r="H1972" s="16" t="str">
        <f aca="false">IF(OR(C1972="",D1972=""),"",ROUND(MOD(D1972-C1972,1)*24,2))</f>
        <v/>
      </c>
      <c r="I1972" s="18"/>
      <c r="J1972" s="18"/>
      <c r="K1972" s="18"/>
    </row>
    <row r="1973" customFormat="false" ht="15" hidden="false" customHeight="false" outlineLevel="0" collapsed="false">
      <c r="A1973" s="17"/>
      <c r="B1973" s="18"/>
      <c r="C1973" s="19"/>
      <c r="D1973" s="19"/>
      <c r="E1973" s="18"/>
      <c r="F1973" s="18"/>
      <c r="G1973" s="13" t="str">
        <f aca="false">IF(F1973="","",IFERROR(INDEX(Metas!$B$5:$B$54,MATCH(F1973,Metas!$A$5:$A$54,0)),"⚠ ID de meta no existe"))</f>
        <v/>
      </c>
      <c r="H1973" s="16" t="str">
        <f aca="false">IF(OR(C1973="",D1973=""),"",ROUND(MOD(D1973-C1973,1)*24,2))</f>
        <v/>
      </c>
      <c r="I1973" s="18"/>
      <c r="J1973" s="18"/>
      <c r="K1973" s="18"/>
    </row>
    <row r="1974" customFormat="false" ht="15" hidden="false" customHeight="false" outlineLevel="0" collapsed="false">
      <c r="A1974" s="17"/>
      <c r="B1974" s="18"/>
      <c r="C1974" s="19"/>
      <c r="D1974" s="19"/>
      <c r="E1974" s="18"/>
      <c r="F1974" s="18"/>
      <c r="G1974" s="13" t="str">
        <f aca="false">IF(F1974="","",IFERROR(INDEX(Metas!$B$5:$B$54,MATCH(F1974,Metas!$A$5:$A$54,0)),"⚠ ID de meta no existe"))</f>
        <v/>
      </c>
      <c r="H1974" s="16" t="str">
        <f aca="false">IF(OR(C1974="",D1974=""),"",ROUND(MOD(D1974-C1974,1)*24,2))</f>
        <v/>
      </c>
      <c r="I1974" s="18"/>
      <c r="J1974" s="18"/>
      <c r="K1974" s="18"/>
    </row>
    <row r="1975" customFormat="false" ht="15" hidden="false" customHeight="false" outlineLevel="0" collapsed="false">
      <c r="A1975" s="17"/>
      <c r="B1975" s="18"/>
      <c r="C1975" s="19"/>
      <c r="D1975" s="19"/>
      <c r="E1975" s="18"/>
      <c r="F1975" s="18"/>
      <c r="G1975" s="13" t="str">
        <f aca="false">IF(F1975="","",IFERROR(INDEX(Metas!$B$5:$B$54,MATCH(F1975,Metas!$A$5:$A$54,0)),"⚠ ID de meta no existe"))</f>
        <v/>
      </c>
      <c r="H1975" s="16" t="str">
        <f aca="false">IF(OR(C1975="",D1975=""),"",ROUND(MOD(D1975-C1975,1)*24,2))</f>
        <v/>
      </c>
      <c r="I1975" s="18"/>
      <c r="J1975" s="18"/>
      <c r="K1975" s="18"/>
    </row>
    <row r="1976" customFormat="false" ht="15" hidden="false" customHeight="false" outlineLevel="0" collapsed="false">
      <c r="A1976" s="17"/>
      <c r="B1976" s="18"/>
      <c r="C1976" s="19"/>
      <c r="D1976" s="19"/>
      <c r="E1976" s="18"/>
      <c r="F1976" s="18"/>
      <c r="G1976" s="13" t="str">
        <f aca="false">IF(F1976="","",IFERROR(INDEX(Metas!$B$5:$B$54,MATCH(F1976,Metas!$A$5:$A$54,0)),"⚠ ID de meta no existe"))</f>
        <v/>
      </c>
      <c r="H1976" s="16" t="str">
        <f aca="false">IF(OR(C1976="",D1976=""),"",ROUND(MOD(D1976-C1976,1)*24,2))</f>
        <v/>
      </c>
      <c r="I1976" s="18"/>
      <c r="J1976" s="18"/>
      <c r="K1976" s="18"/>
    </row>
    <row r="1977" customFormat="false" ht="15" hidden="false" customHeight="false" outlineLevel="0" collapsed="false">
      <c r="A1977" s="17"/>
      <c r="B1977" s="18"/>
      <c r="C1977" s="19"/>
      <c r="D1977" s="19"/>
      <c r="E1977" s="18"/>
      <c r="F1977" s="18"/>
      <c r="G1977" s="13" t="str">
        <f aca="false">IF(F1977="","",IFERROR(INDEX(Metas!$B$5:$B$54,MATCH(F1977,Metas!$A$5:$A$54,0)),"⚠ ID de meta no existe"))</f>
        <v/>
      </c>
      <c r="H1977" s="16" t="str">
        <f aca="false">IF(OR(C1977="",D1977=""),"",ROUND(MOD(D1977-C1977,1)*24,2))</f>
        <v/>
      </c>
      <c r="I1977" s="18"/>
      <c r="J1977" s="18"/>
      <c r="K1977" s="18"/>
    </row>
    <row r="1978" customFormat="false" ht="15" hidden="false" customHeight="false" outlineLevel="0" collapsed="false">
      <c r="A1978" s="17"/>
      <c r="B1978" s="18"/>
      <c r="C1978" s="19"/>
      <c r="D1978" s="19"/>
      <c r="E1978" s="18"/>
      <c r="F1978" s="18"/>
      <c r="G1978" s="13" t="str">
        <f aca="false">IF(F1978="","",IFERROR(INDEX(Metas!$B$5:$B$54,MATCH(F1978,Metas!$A$5:$A$54,0)),"⚠ ID de meta no existe"))</f>
        <v/>
      </c>
      <c r="H1978" s="16" t="str">
        <f aca="false">IF(OR(C1978="",D1978=""),"",ROUND(MOD(D1978-C1978,1)*24,2))</f>
        <v/>
      </c>
      <c r="I1978" s="18"/>
      <c r="J1978" s="18"/>
      <c r="K1978" s="18"/>
    </row>
    <row r="1979" customFormat="false" ht="15" hidden="false" customHeight="false" outlineLevel="0" collapsed="false">
      <c r="A1979" s="17"/>
      <c r="B1979" s="18"/>
      <c r="C1979" s="19"/>
      <c r="D1979" s="19"/>
      <c r="E1979" s="18"/>
      <c r="F1979" s="18"/>
      <c r="G1979" s="13" t="str">
        <f aca="false">IF(F1979="","",IFERROR(INDEX(Metas!$B$5:$B$54,MATCH(F1979,Metas!$A$5:$A$54,0)),"⚠ ID de meta no existe"))</f>
        <v/>
      </c>
      <c r="H1979" s="16" t="str">
        <f aca="false">IF(OR(C1979="",D1979=""),"",ROUND(MOD(D1979-C1979,1)*24,2))</f>
        <v/>
      </c>
      <c r="I1979" s="18"/>
      <c r="J1979" s="18"/>
      <c r="K1979" s="18"/>
    </row>
    <row r="1980" customFormat="false" ht="15" hidden="false" customHeight="false" outlineLevel="0" collapsed="false">
      <c r="A1980" s="17"/>
      <c r="B1980" s="18"/>
      <c r="C1980" s="19"/>
      <c r="D1980" s="19"/>
      <c r="E1980" s="18"/>
      <c r="F1980" s="18"/>
      <c r="G1980" s="13" t="str">
        <f aca="false">IF(F1980="","",IFERROR(INDEX(Metas!$B$5:$B$54,MATCH(F1980,Metas!$A$5:$A$54,0)),"⚠ ID de meta no existe"))</f>
        <v/>
      </c>
      <c r="H1980" s="16" t="str">
        <f aca="false">IF(OR(C1980="",D1980=""),"",ROUND(MOD(D1980-C1980,1)*24,2))</f>
        <v/>
      </c>
      <c r="I1980" s="18"/>
      <c r="J1980" s="18"/>
      <c r="K1980" s="18"/>
    </row>
    <row r="1981" customFormat="false" ht="15" hidden="false" customHeight="false" outlineLevel="0" collapsed="false">
      <c r="A1981" s="17"/>
      <c r="B1981" s="18"/>
      <c r="C1981" s="19"/>
      <c r="D1981" s="19"/>
      <c r="E1981" s="18"/>
      <c r="F1981" s="18"/>
      <c r="G1981" s="13" t="str">
        <f aca="false">IF(F1981="","",IFERROR(INDEX(Metas!$B$5:$B$54,MATCH(F1981,Metas!$A$5:$A$54,0)),"⚠ ID de meta no existe"))</f>
        <v/>
      </c>
      <c r="H1981" s="16" t="str">
        <f aca="false">IF(OR(C1981="",D1981=""),"",ROUND(MOD(D1981-C1981,1)*24,2))</f>
        <v/>
      </c>
      <c r="I1981" s="18"/>
      <c r="J1981" s="18"/>
      <c r="K1981" s="18"/>
    </row>
    <row r="1982" customFormat="false" ht="15" hidden="false" customHeight="false" outlineLevel="0" collapsed="false">
      <c r="A1982" s="17"/>
      <c r="B1982" s="18"/>
      <c r="C1982" s="19"/>
      <c r="D1982" s="19"/>
      <c r="E1982" s="18"/>
      <c r="F1982" s="18"/>
      <c r="G1982" s="13" t="str">
        <f aca="false">IF(F1982="","",IFERROR(INDEX(Metas!$B$5:$B$54,MATCH(F1982,Metas!$A$5:$A$54,0)),"⚠ ID de meta no existe"))</f>
        <v/>
      </c>
      <c r="H1982" s="16" t="str">
        <f aca="false">IF(OR(C1982="",D1982=""),"",ROUND(MOD(D1982-C1982,1)*24,2))</f>
        <v/>
      </c>
      <c r="I1982" s="18"/>
      <c r="J1982" s="18"/>
      <c r="K1982" s="18"/>
    </row>
    <row r="1983" customFormat="false" ht="15" hidden="false" customHeight="false" outlineLevel="0" collapsed="false">
      <c r="A1983" s="17"/>
      <c r="B1983" s="18"/>
      <c r="C1983" s="19"/>
      <c r="D1983" s="19"/>
      <c r="E1983" s="18"/>
      <c r="F1983" s="18"/>
      <c r="G1983" s="13" t="str">
        <f aca="false">IF(F1983="","",IFERROR(INDEX(Metas!$B$5:$B$54,MATCH(F1983,Metas!$A$5:$A$54,0)),"⚠ ID de meta no existe"))</f>
        <v/>
      </c>
      <c r="H1983" s="16" t="str">
        <f aca="false">IF(OR(C1983="",D1983=""),"",ROUND(MOD(D1983-C1983,1)*24,2))</f>
        <v/>
      </c>
      <c r="I1983" s="18"/>
      <c r="J1983" s="18"/>
      <c r="K1983" s="18"/>
    </row>
    <row r="1984" customFormat="false" ht="15" hidden="false" customHeight="false" outlineLevel="0" collapsed="false">
      <c r="A1984" s="17"/>
      <c r="B1984" s="18"/>
      <c r="C1984" s="19"/>
      <c r="D1984" s="19"/>
      <c r="E1984" s="18"/>
      <c r="F1984" s="18"/>
      <c r="G1984" s="13" t="str">
        <f aca="false">IF(F1984="","",IFERROR(INDEX(Metas!$B$5:$B$54,MATCH(F1984,Metas!$A$5:$A$54,0)),"⚠ ID de meta no existe"))</f>
        <v/>
      </c>
      <c r="H1984" s="16" t="str">
        <f aca="false">IF(OR(C1984="",D1984=""),"",ROUND(MOD(D1984-C1984,1)*24,2))</f>
        <v/>
      </c>
      <c r="I1984" s="18"/>
      <c r="J1984" s="18"/>
      <c r="K1984" s="18"/>
    </row>
    <row r="1985" customFormat="false" ht="15" hidden="false" customHeight="false" outlineLevel="0" collapsed="false">
      <c r="A1985" s="17"/>
      <c r="B1985" s="18"/>
      <c r="C1985" s="19"/>
      <c r="D1985" s="19"/>
      <c r="E1985" s="18"/>
      <c r="F1985" s="18"/>
      <c r="G1985" s="13" t="str">
        <f aca="false">IF(F1985="","",IFERROR(INDEX(Metas!$B$5:$B$54,MATCH(F1985,Metas!$A$5:$A$54,0)),"⚠ ID de meta no existe"))</f>
        <v/>
      </c>
      <c r="H1985" s="16" t="str">
        <f aca="false">IF(OR(C1985="",D1985=""),"",ROUND(MOD(D1985-C1985,1)*24,2))</f>
        <v/>
      </c>
      <c r="I1985" s="18"/>
      <c r="J1985" s="18"/>
      <c r="K1985" s="18"/>
    </row>
    <row r="1986" customFormat="false" ht="15" hidden="false" customHeight="false" outlineLevel="0" collapsed="false">
      <c r="A1986" s="17"/>
      <c r="B1986" s="18"/>
      <c r="C1986" s="19"/>
      <c r="D1986" s="19"/>
      <c r="E1986" s="18"/>
      <c r="F1986" s="18"/>
      <c r="G1986" s="13" t="str">
        <f aca="false">IF(F1986="","",IFERROR(INDEX(Metas!$B$5:$B$54,MATCH(F1986,Metas!$A$5:$A$54,0)),"⚠ ID de meta no existe"))</f>
        <v/>
      </c>
      <c r="H1986" s="16" t="str">
        <f aca="false">IF(OR(C1986="",D1986=""),"",ROUND(MOD(D1986-C1986,1)*24,2))</f>
        <v/>
      </c>
      <c r="I1986" s="18"/>
      <c r="J1986" s="18"/>
      <c r="K1986" s="18"/>
    </row>
    <row r="1987" customFormat="false" ht="15" hidden="false" customHeight="false" outlineLevel="0" collapsed="false">
      <c r="A1987" s="17"/>
      <c r="B1987" s="18"/>
      <c r="C1987" s="19"/>
      <c r="D1987" s="19"/>
      <c r="E1987" s="18"/>
      <c r="F1987" s="18"/>
      <c r="G1987" s="13" t="str">
        <f aca="false">IF(F1987="","",IFERROR(INDEX(Metas!$B$5:$B$54,MATCH(F1987,Metas!$A$5:$A$54,0)),"⚠ ID de meta no existe"))</f>
        <v/>
      </c>
      <c r="H1987" s="16" t="str">
        <f aca="false">IF(OR(C1987="",D1987=""),"",ROUND(MOD(D1987-C1987,1)*24,2))</f>
        <v/>
      </c>
      <c r="I1987" s="18"/>
      <c r="J1987" s="18"/>
      <c r="K1987" s="18"/>
    </row>
    <row r="1988" customFormat="false" ht="15" hidden="false" customHeight="false" outlineLevel="0" collapsed="false">
      <c r="A1988" s="17"/>
      <c r="B1988" s="18"/>
      <c r="C1988" s="19"/>
      <c r="D1988" s="19"/>
      <c r="E1988" s="18"/>
      <c r="F1988" s="18"/>
      <c r="G1988" s="13" t="str">
        <f aca="false">IF(F1988="","",IFERROR(INDEX(Metas!$B$5:$B$54,MATCH(F1988,Metas!$A$5:$A$54,0)),"⚠ ID de meta no existe"))</f>
        <v/>
      </c>
      <c r="H1988" s="16" t="str">
        <f aca="false">IF(OR(C1988="",D1988=""),"",ROUND(MOD(D1988-C1988,1)*24,2))</f>
        <v/>
      </c>
      <c r="I1988" s="18"/>
      <c r="J1988" s="18"/>
      <c r="K1988" s="18"/>
    </row>
    <row r="1989" customFormat="false" ht="15" hidden="false" customHeight="false" outlineLevel="0" collapsed="false">
      <c r="A1989" s="17"/>
      <c r="B1989" s="18"/>
      <c r="C1989" s="19"/>
      <c r="D1989" s="19"/>
      <c r="E1989" s="18"/>
      <c r="F1989" s="18"/>
      <c r="G1989" s="13" t="str">
        <f aca="false">IF(F1989="","",IFERROR(INDEX(Metas!$B$5:$B$54,MATCH(F1989,Metas!$A$5:$A$54,0)),"⚠ ID de meta no existe"))</f>
        <v/>
      </c>
      <c r="H1989" s="16" t="str">
        <f aca="false">IF(OR(C1989="",D1989=""),"",ROUND(MOD(D1989-C1989,1)*24,2))</f>
        <v/>
      </c>
      <c r="I1989" s="18"/>
      <c r="J1989" s="18"/>
      <c r="K1989" s="18"/>
    </row>
    <row r="1990" customFormat="false" ht="15" hidden="false" customHeight="false" outlineLevel="0" collapsed="false">
      <c r="A1990" s="17"/>
      <c r="B1990" s="18"/>
      <c r="C1990" s="19"/>
      <c r="D1990" s="19"/>
      <c r="E1990" s="18"/>
      <c r="F1990" s="18"/>
      <c r="G1990" s="13" t="str">
        <f aca="false">IF(F1990="","",IFERROR(INDEX(Metas!$B$5:$B$54,MATCH(F1990,Metas!$A$5:$A$54,0)),"⚠ ID de meta no existe"))</f>
        <v/>
      </c>
      <c r="H1990" s="16" t="str">
        <f aca="false">IF(OR(C1990="",D1990=""),"",ROUND(MOD(D1990-C1990,1)*24,2))</f>
        <v/>
      </c>
      <c r="I1990" s="18"/>
      <c r="J1990" s="18"/>
      <c r="K1990" s="18"/>
    </row>
    <row r="1991" customFormat="false" ht="15" hidden="false" customHeight="false" outlineLevel="0" collapsed="false">
      <c r="A1991" s="17"/>
      <c r="B1991" s="18"/>
      <c r="C1991" s="19"/>
      <c r="D1991" s="19"/>
      <c r="E1991" s="18"/>
      <c r="F1991" s="18"/>
      <c r="G1991" s="13" t="str">
        <f aca="false">IF(F1991="","",IFERROR(INDEX(Metas!$B$5:$B$54,MATCH(F1991,Metas!$A$5:$A$54,0)),"⚠ ID de meta no existe"))</f>
        <v/>
      </c>
      <c r="H1991" s="16" t="str">
        <f aca="false">IF(OR(C1991="",D1991=""),"",ROUND(MOD(D1991-C1991,1)*24,2))</f>
        <v/>
      </c>
      <c r="I1991" s="18"/>
      <c r="J1991" s="18"/>
      <c r="K1991" s="18"/>
    </row>
    <row r="1992" customFormat="false" ht="15" hidden="false" customHeight="false" outlineLevel="0" collapsed="false">
      <c r="A1992" s="17"/>
      <c r="B1992" s="18"/>
      <c r="C1992" s="19"/>
      <c r="D1992" s="19"/>
      <c r="E1992" s="18"/>
      <c r="F1992" s="18"/>
      <c r="G1992" s="13" t="str">
        <f aca="false">IF(F1992="","",IFERROR(INDEX(Metas!$B$5:$B$54,MATCH(F1992,Metas!$A$5:$A$54,0)),"⚠ ID de meta no existe"))</f>
        <v/>
      </c>
      <c r="H1992" s="16" t="str">
        <f aca="false">IF(OR(C1992="",D1992=""),"",ROUND(MOD(D1992-C1992,1)*24,2))</f>
        <v/>
      </c>
      <c r="I1992" s="18"/>
      <c r="J1992" s="18"/>
      <c r="K1992" s="18"/>
    </row>
    <row r="1993" customFormat="false" ht="15" hidden="false" customHeight="false" outlineLevel="0" collapsed="false">
      <c r="A1993" s="17"/>
      <c r="B1993" s="18"/>
      <c r="C1993" s="19"/>
      <c r="D1993" s="19"/>
      <c r="E1993" s="18"/>
      <c r="F1993" s="18"/>
      <c r="G1993" s="13" t="str">
        <f aca="false">IF(F1993="","",IFERROR(INDEX(Metas!$B$5:$B$54,MATCH(F1993,Metas!$A$5:$A$54,0)),"⚠ ID de meta no existe"))</f>
        <v/>
      </c>
      <c r="H1993" s="16" t="str">
        <f aca="false">IF(OR(C1993="",D1993=""),"",ROUND(MOD(D1993-C1993,1)*24,2))</f>
        <v/>
      </c>
      <c r="I1993" s="18"/>
      <c r="J1993" s="18"/>
      <c r="K1993" s="18"/>
    </row>
    <row r="1994" customFormat="false" ht="15" hidden="false" customHeight="false" outlineLevel="0" collapsed="false">
      <c r="A1994" s="17"/>
      <c r="B1994" s="18"/>
      <c r="C1994" s="19"/>
      <c r="D1994" s="19"/>
      <c r="E1994" s="18"/>
      <c r="F1994" s="18"/>
      <c r="G1994" s="13" t="str">
        <f aca="false">IF(F1994="","",IFERROR(INDEX(Metas!$B$5:$B$54,MATCH(F1994,Metas!$A$5:$A$54,0)),"⚠ ID de meta no existe"))</f>
        <v/>
      </c>
      <c r="H1994" s="16" t="str">
        <f aca="false">IF(OR(C1994="",D1994=""),"",ROUND(MOD(D1994-C1994,1)*24,2))</f>
        <v/>
      </c>
      <c r="I1994" s="18"/>
      <c r="J1994" s="18"/>
      <c r="K1994" s="18"/>
    </row>
    <row r="1995" customFormat="false" ht="15" hidden="false" customHeight="false" outlineLevel="0" collapsed="false">
      <c r="A1995" s="17"/>
      <c r="B1995" s="18"/>
      <c r="C1995" s="19"/>
      <c r="D1995" s="19"/>
      <c r="E1995" s="18"/>
      <c r="F1995" s="18"/>
      <c r="G1995" s="13" t="str">
        <f aca="false">IF(F1995="","",IFERROR(INDEX(Metas!$B$5:$B$54,MATCH(F1995,Metas!$A$5:$A$54,0)),"⚠ ID de meta no existe"))</f>
        <v/>
      </c>
      <c r="H1995" s="16" t="str">
        <f aca="false">IF(OR(C1995="",D1995=""),"",ROUND(MOD(D1995-C1995,1)*24,2))</f>
        <v/>
      </c>
      <c r="I1995" s="18"/>
      <c r="J1995" s="18"/>
      <c r="K1995" s="18"/>
    </row>
    <row r="1996" customFormat="false" ht="15" hidden="false" customHeight="false" outlineLevel="0" collapsed="false">
      <c r="A1996" s="17"/>
      <c r="B1996" s="18"/>
      <c r="C1996" s="19"/>
      <c r="D1996" s="19"/>
      <c r="E1996" s="18"/>
      <c r="F1996" s="18"/>
      <c r="G1996" s="13" t="str">
        <f aca="false">IF(F1996="","",IFERROR(INDEX(Metas!$B$5:$B$54,MATCH(F1996,Metas!$A$5:$A$54,0)),"⚠ ID de meta no existe"))</f>
        <v/>
      </c>
      <c r="H1996" s="16" t="str">
        <f aca="false">IF(OR(C1996="",D1996=""),"",ROUND(MOD(D1996-C1996,1)*24,2))</f>
        <v/>
      </c>
      <c r="I1996" s="18"/>
      <c r="J1996" s="18"/>
      <c r="K1996" s="18"/>
    </row>
    <row r="1997" customFormat="false" ht="15" hidden="false" customHeight="false" outlineLevel="0" collapsed="false">
      <c r="A1997" s="17"/>
      <c r="B1997" s="18"/>
      <c r="C1997" s="19"/>
      <c r="D1997" s="19"/>
      <c r="E1997" s="18"/>
      <c r="F1997" s="18"/>
      <c r="G1997" s="13" t="str">
        <f aca="false">IF(F1997="","",IFERROR(INDEX(Metas!$B$5:$B$54,MATCH(F1997,Metas!$A$5:$A$54,0)),"⚠ ID de meta no existe"))</f>
        <v/>
      </c>
      <c r="H1997" s="16" t="str">
        <f aca="false">IF(OR(C1997="",D1997=""),"",ROUND(MOD(D1997-C1997,1)*24,2))</f>
        <v/>
      </c>
      <c r="I1997" s="18"/>
      <c r="J1997" s="18"/>
      <c r="K1997" s="18"/>
    </row>
    <row r="1998" customFormat="false" ht="15" hidden="false" customHeight="false" outlineLevel="0" collapsed="false">
      <c r="A1998" s="17"/>
      <c r="B1998" s="18"/>
      <c r="C1998" s="19"/>
      <c r="D1998" s="19"/>
      <c r="E1998" s="18"/>
      <c r="F1998" s="18"/>
      <c r="G1998" s="13" t="str">
        <f aca="false">IF(F1998="","",IFERROR(INDEX(Metas!$B$5:$B$54,MATCH(F1998,Metas!$A$5:$A$54,0)),"⚠ ID de meta no existe"))</f>
        <v/>
      </c>
      <c r="H1998" s="16" t="str">
        <f aca="false">IF(OR(C1998="",D1998=""),"",ROUND(MOD(D1998-C1998,1)*24,2))</f>
        <v/>
      </c>
      <c r="I1998" s="18"/>
      <c r="J1998" s="18"/>
      <c r="K1998" s="18"/>
    </row>
    <row r="1999" customFormat="false" ht="15" hidden="false" customHeight="false" outlineLevel="0" collapsed="false">
      <c r="A1999" s="17"/>
      <c r="B1999" s="18"/>
      <c r="C1999" s="19"/>
      <c r="D1999" s="19"/>
      <c r="E1999" s="18"/>
      <c r="F1999" s="18"/>
      <c r="G1999" s="13" t="str">
        <f aca="false">IF(F1999="","",IFERROR(INDEX(Metas!$B$5:$B$54,MATCH(F1999,Metas!$A$5:$A$54,0)),"⚠ ID de meta no existe"))</f>
        <v/>
      </c>
      <c r="H1999" s="16" t="str">
        <f aca="false">IF(OR(C1999="",D1999=""),"",ROUND(MOD(D1999-C1999,1)*24,2))</f>
        <v/>
      </c>
      <c r="I1999" s="18"/>
      <c r="J1999" s="18"/>
      <c r="K1999" s="18"/>
    </row>
    <row r="2000" customFormat="false" ht="15" hidden="false" customHeight="false" outlineLevel="0" collapsed="false">
      <c r="A2000" s="17"/>
      <c r="B2000" s="18"/>
      <c r="C2000" s="19"/>
      <c r="D2000" s="19"/>
      <c r="E2000" s="18"/>
      <c r="F2000" s="18"/>
      <c r="G2000" s="13" t="str">
        <f aca="false">IF(F2000="","",IFERROR(INDEX(Metas!$B$5:$B$54,MATCH(F2000,Metas!$A$5:$A$54,0)),"⚠ ID de meta no existe"))</f>
        <v/>
      </c>
      <c r="H2000" s="16" t="str">
        <f aca="false">IF(OR(C2000="",D2000=""),"",ROUND(MOD(D2000-C2000,1)*24,2))</f>
        <v/>
      </c>
      <c r="I2000" s="18"/>
      <c r="J2000" s="18"/>
      <c r="K2000" s="18"/>
    </row>
    <row r="2001" customFormat="false" ht="15" hidden="false" customHeight="false" outlineLevel="0" collapsed="false">
      <c r="A2001" s="17"/>
      <c r="B2001" s="18"/>
      <c r="C2001" s="19"/>
      <c r="D2001" s="19"/>
      <c r="E2001" s="18"/>
      <c r="F2001" s="18"/>
      <c r="G2001" s="13" t="str">
        <f aca="false">IF(F2001="","",IFERROR(INDEX(Metas!$B$5:$B$54,MATCH(F2001,Metas!$A$5:$A$54,0)),"⚠ ID de meta no existe"))</f>
        <v/>
      </c>
      <c r="H2001" s="16" t="str">
        <f aca="false">IF(OR(C2001="",D2001=""),"",ROUND(MOD(D2001-C2001,1)*24,2))</f>
        <v/>
      </c>
      <c r="I2001" s="18"/>
      <c r="J2001" s="18"/>
      <c r="K2001" s="18"/>
    </row>
    <row r="2002" customFormat="false" ht="15" hidden="false" customHeight="false" outlineLevel="0" collapsed="false">
      <c r="A2002" s="17"/>
      <c r="B2002" s="18"/>
      <c r="C2002" s="19"/>
      <c r="D2002" s="19"/>
      <c r="E2002" s="18"/>
      <c r="F2002" s="18"/>
      <c r="G2002" s="13" t="str">
        <f aca="false">IF(F2002="","",IFERROR(INDEX(Metas!$B$5:$B$54,MATCH(F2002,Metas!$A$5:$A$54,0)),"⚠ ID de meta no existe"))</f>
        <v/>
      </c>
      <c r="H2002" s="16" t="str">
        <f aca="false">IF(OR(C2002="",D2002=""),"",ROUND(MOD(D2002-C2002,1)*24,2))</f>
        <v/>
      </c>
      <c r="I2002" s="18"/>
      <c r="J2002" s="18"/>
      <c r="K2002" s="18"/>
    </row>
    <row r="2003" customFormat="false" ht="15" hidden="false" customHeight="false" outlineLevel="0" collapsed="false">
      <c r="A2003" s="17"/>
      <c r="B2003" s="18"/>
      <c r="C2003" s="19"/>
      <c r="D2003" s="19"/>
      <c r="E2003" s="18"/>
      <c r="F2003" s="18"/>
      <c r="G2003" s="13" t="str">
        <f aca="false">IF(F2003="","",IFERROR(INDEX(Metas!$B$5:$B$54,MATCH(F2003,Metas!$A$5:$A$54,0)),"⚠ ID de meta no existe"))</f>
        <v/>
      </c>
      <c r="H2003" s="16" t="str">
        <f aca="false">IF(OR(C2003="",D2003=""),"",ROUND(MOD(D2003-C2003,1)*24,2))</f>
        <v/>
      </c>
      <c r="I2003" s="18"/>
      <c r="J2003" s="18"/>
      <c r="K2003" s="18"/>
    </row>
    <row r="2004" customFormat="false" ht="15" hidden="false" customHeight="false" outlineLevel="0" collapsed="false">
      <c r="A2004" s="17"/>
      <c r="B2004" s="18"/>
      <c r="C2004" s="19"/>
      <c r="D2004" s="19"/>
      <c r="E2004" s="18"/>
      <c r="F2004" s="18"/>
      <c r="G2004" s="13" t="str">
        <f aca="false">IF(F2004="","",IFERROR(INDEX(Metas!$B$5:$B$54,MATCH(F2004,Metas!$A$5:$A$54,0)),"⚠ ID de meta no existe"))</f>
        <v/>
      </c>
      <c r="H2004" s="16" t="str">
        <f aca="false">IF(OR(C2004="",D2004=""),"",ROUND(MOD(D2004-C2004,1)*24,2))</f>
        <v/>
      </c>
      <c r="I2004" s="18"/>
      <c r="J2004" s="18"/>
      <c r="K2004" s="18"/>
    </row>
  </sheetData>
  <autoFilter ref="A4:K2004"/>
  <conditionalFormatting sqref="J5:J2004">
    <cfRule type="expression" priority="2" aboveAverage="0" equalAverage="0" bottom="0" percent="0" rank="0" text="" dxfId="14">
      <formula>J5="Bloqueada"</formula>
    </cfRule>
  </conditionalFormatting>
  <conditionalFormatting sqref="F5:F2004">
    <cfRule type="expression" priority="3" aboveAverage="0" equalAverage="0" bottom="0" percent="0" rank="0" text="" dxfId="13">
      <formula>AND(E5&lt;&gt;"",F5="",$H5&lt;&gt;"")</formula>
    </cfRule>
  </conditionalFormatting>
  <dataValidations count="4">
    <dataValidation allowBlank="true" error="Elige un colaborador de la lista (pestaña Personal)." errorStyle="stop" errorTitle="Valor no válido" operator="between" showDropDown="false" showErrorMessage="true" showInputMessage="false" sqref="B5:B2004" type="list">
      <formula1>Personal!$B$5:$B$104</formula1>
      <formula2>0</formula2>
    </dataValidation>
    <dataValidation allowBlank="true" errorStyle="warning" operator="between" showDropDown="false" showErrorMessage="true" showInputMessage="false" sqref="C5:D2004" type="list">
      <formula1>Catálogos!$D$5:$D$39</formula1>
      <formula2>0</formula2>
    </dataValidation>
    <dataValidation allowBlank="true" error="Elige un ID de meta de la pestaña Metas." errorStyle="stop" errorTitle="Valor no válido" operator="between" showDropDown="false" showErrorMessage="true" showInputMessage="false" sqref="F5:F2004" type="list">
      <formula1>Metas!$A$5:$A$54</formula1>
      <formula2>0</formula2>
    </dataValidation>
    <dataValidation allowBlank="true" errorStyle="warning" operator="between" showDropDown="false" showErrorMessage="true" showInputMessage="false" sqref="J5:J2004" type="list">
      <formula1>Catálogos!$C$5:$C$20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8" min="6" style="0" width="14"/>
  </cols>
  <sheetData>
    <row r="1" customFormat="false" ht="17.35" hidden="false" customHeight="false" outlineLevel="0" collapsed="false">
      <c r="A1" s="1" t="s">
        <v>81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82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1.5" hidden="false" customHeight="true" outlineLevel="0" collapsed="false">
      <c r="A4" s="9" t="s">
        <v>83</v>
      </c>
      <c r="B4" s="9" t="s">
        <v>84</v>
      </c>
      <c r="C4" s="9" t="s">
        <v>85</v>
      </c>
      <c r="D4" s="9" t="s">
        <v>86</v>
      </c>
      <c r="E4" s="9" t="s">
        <v>87</v>
      </c>
      <c r="F4" s="9" t="s">
        <v>88</v>
      </c>
      <c r="G4" s="10" t="s">
        <v>89</v>
      </c>
      <c r="H4" s="10" t="s">
        <v>90</v>
      </c>
    </row>
    <row r="5" customFormat="false" ht="15" hidden="false" customHeight="false" outlineLevel="0" collapsed="false">
      <c r="A5" s="18" t="s">
        <v>59</v>
      </c>
      <c r="B5" s="18" t="s">
        <v>91</v>
      </c>
      <c r="C5" s="18" t="s">
        <v>92</v>
      </c>
      <c r="D5" s="18" t="s">
        <v>93</v>
      </c>
      <c r="E5" s="18" t="s">
        <v>94</v>
      </c>
      <c r="F5" s="17" t="n">
        <v>46387</v>
      </c>
      <c r="G5" s="21" t="n">
        <f aca="false">IF(A5="","",SUMIF('Registro por hora'!$F$5:$F$2004,A5,'Registro por hora'!$H$5:$H$2004))</f>
        <v>5</v>
      </c>
      <c r="H5" s="22" t="n">
        <f aca="false">IF(OR(A5="",SUM('Registro por hora'!$H$5:$H$2004)=0),"",G5/SUM('Registro por hora'!$H$5:$H$2004))</f>
        <v>0.625</v>
      </c>
    </row>
    <row r="6" customFormat="false" ht="15" hidden="false" customHeight="false" outlineLevel="0" collapsed="false">
      <c r="A6" s="18" t="s">
        <v>71</v>
      </c>
      <c r="B6" s="18" t="s">
        <v>95</v>
      </c>
      <c r="C6" s="18" t="s">
        <v>96</v>
      </c>
      <c r="D6" s="18" t="s">
        <v>97</v>
      </c>
      <c r="E6" s="18" t="s">
        <v>98</v>
      </c>
      <c r="F6" s="17" t="n">
        <v>46387</v>
      </c>
      <c r="G6" s="21" t="n">
        <f aca="false">IF(A6="","",SUMIF('Registro por hora'!$F$5:$F$2004,A6,'Registro por hora'!$H$5:$H$2004))</f>
        <v>1</v>
      </c>
      <c r="H6" s="22" t="n">
        <f aca="false">IF(OR(A6="",SUM('Registro por hora'!$H$5:$H$2004)=0),"",G6/SUM('Registro por hora'!$H$5:$H$2004))</f>
        <v>0.125</v>
      </c>
    </row>
    <row r="7" customFormat="false" ht="15" hidden="false" customHeight="false" outlineLevel="0" collapsed="false">
      <c r="A7" s="18" t="s">
        <v>99</v>
      </c>
      <c r="B7" s="18" t="s">
        <v>100</v>
      </c>
      <c r="C7" s="18" t="s">
        <v>101</v>
      </c>
      <c r="D7" s="18" t="s">
        <v>102</v>
      </c>
      <c r="E7" s="18" t="s">
        <v>103</v>
      </c>
      <c r="F7" s="17" t="n">
        <v>46356</v>
      </c>
      <c r="G7" s="21" t="n">
        <f aca="false">IF(A7="","",SUMIF('Registro por hora'!$F$5:$F$2004,A7,'Registro por hora'!$H$5:$H$2004))</f>
        <v>0</v>
      </c>
      <c r="H7" s="22" t="n">
        <f aca="false">IF(OR(A7="",SUM('Registro por hora'!$H$5:$H$2004)=0),"",G7/SUM('Registro por hora'!$H$5:$H$2004))</f>
        <v>0</v>
      </c>
    </row>
    <row r="8" customFormat="false" ht="23.85" hidden="false" customHeight="false" outlineLevel="0" collapsed="false">
      <c r="A8" s="18" t="s">
        <v>104</v>
      </c>
      <c r="B8" s="18" t="s">
        <v>105</v>
      </c>
      <c r="C8" s="18" t="s">
        <v>106</v>
      </c>
      <c r="D8" s="18" t="s">
        <v>107</v>
      </c>
      <c r="E8" s="18" t="s">
        <v>108</v>
      </c>
      <c r="F8" s="17" t="n">
        <v>46371</v>
      </c>
      <c r="G8" s="21" t="n">
        <f aca="false">IF(A8="","",SUMIF('Registro por hora'!$F$5:$F$2004,A8,'Registro por hora'!$H$5:$H$2004))</f>
        <v>0</v>
      </c>
      <c r="H8" s="22" t="n">
        <f aca="false">IF(OR(A8="",SUM('Registro por hora'!$H$5:$H$2004)=0),"",G8/SUM('Registro por hora'!$H$5:$H$2004))</f>
        <v>0</v>
      </c>
    </row>
    <row r="9" customFormat="false" ht="15" hidden="false" customHeight="false" outlineLevel="0" collapsed="false">
      <c r="A9" s="18" t="s">
        <v>77</v>
      </c>
      <c r="B9" s="18" t="s">
        <v>109</v>
      </c>
      <c r="C9" s="18" t="s">
        <v>110</v>
      </c>
      <c r="D9" s="18" t="s">
        <v>111</v>
      </c>
      <c r="E9" s="18" t="s">
        <v>112</v>
      </c>
      <c r="F9" s="17" t="n">
        <v>46387</v>
      </c>
      <c r="G9" s="21" t="n">
        <f aca="false">IF(A9="","",SUMIF('Registro por hora'!$F$5:$F$2004,A9,'Registro por hora'!$H$5:$H$2004))</f>
        <v>1</v>
      </c>
      <c r="H9" s="22" t="n">
        <f aca="false">IF(OR(A9="",SUM('Registro por hora'!$H$5:$H$2004)=0),"",G9/SUM('Registro por hora'!$H$5:$H$2004))</f>
        <v>0.125</v>
      </c>
    </row>
    <row r="10" customFormat="false" ht="23.85" hidden="false" customHeight="false" outlineLevel="0" collapsed="false">
      <c r="A10" s="18" t="s">
        <v>74</v>
      </c>
      <c r="B10" s="18" t="s">
        <v>113</v>
      </c>
      <c r="C10" s="18" t="s">
        <v>114</v>
      </c>
      <c r="D10" s="18" t="s">
        <v>115</v>
      </c>
      <c r="E10" s="18" t="s">
        <v>116</v>
      </c>
      <c r="F10" s="17"/>
      <c r="G10" s="21" t="n">
        <f aca="false">IF(A10="","",SUMIF('Registro por hora'!$F$5:$F$2004,A10,'Registro por hora'!$H$5:$H$2004))</f>
        <v>1</v>
      </c>
      <c r="H10" s="22" t="n">
        <f aca="false">IF(OR(A10="",SUM('Registro por hora'!$H$5:$H$2004)=0),"",G10/SUM('Registro por hora'!$H$5:$H$2004))</f>
        <v>0.125</v>
      </c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7"/>
      <c r="G11" s="21" t="str">
        <f aca="false">IF(A11="","",SUMIF('Registro por hora'!$F$5:$F$2004,A11,'Registro por hora'!$H$5:$H$2004))</f>
        <v/>
      </c>
      <c r="H11" s="22" t="str">
        <f aca="false">IF(OR(A11="",SUM('Registro por hora'!$H$5:$H$2004)=0),"",G11/SUM('Registro por hora'!$H$5:$H$2004))</f>
        <v/>
      </c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7"/>
      <c r="G12" s="21" t="str">
        <f aca="false">IF(A12="","",SUMIF('Registro por hora'!$F$5:$F$2004,A12,'Registro por hora'!$H$5:$H$2004))</f>
        <v/>
      </c>
      <c r="H12" s="22" t="str">
        <f aca="false">IF(OR(A12="",SUM('Registro por hora'!$H$5:$H$2004)=0),"",G12/SUM('Registro por hora'!$H$5:$H$2004))</f>
        <v/>
      </c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7"/>
      <c r="G13" s="21" t="str">
        <f aca="false">IF(A13="","",SUMIF('Registro por hora'!$F$5:$F$2004,A13,'Registro por hora'!$H$5:$H$2004))</f>
        <v/>
      </c>
      <c r="H13" s="22" t="str">
        <f aca="false">IF(OR(A13="",SUM('Registro por hora'!$H$5:$H$2004)=0),"",G13/SUM('Registro por hora'!$H$5:$H$2004))</f>
        <v/>
      </c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7"/>
      <c r="G14" s="21" t="str">
        <f aca="false">IF(A14="","",SUMIF('Registro por hora'!$F$5:$F$2004,A14,'Registro por hora'!$H$5:$H$2004))</f>
        <v/>
      </c>
      <c r="H14" s="22" t="str">
        <f aca="false">IF(OR(A14="",SUM('Registro por hora'!$H$5:$H$2004)=0),"",G14/SUM('Registro por hora'!$H$5:$H$2004))</f>
        <v/>
      </c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7"/>
      <c r="G15" s="21" t="str">
        <f aca="false">IF(A15="","",SUMIF('Registro por hora'!$F$5:$F$2004,A15,'Registro por hora'!$H$5:$H$2004))</f>
        <v/>
      </c>
      <c r="H15" s="22" t="str">
        <f aca="false">IF(OR(A15="",SUM('Registro por hora'!$H$5:$H$2004)=0),"",G15/SUM('Registro por hora'!$H$5:$H$2004))</f>
        <v/>
      </c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7"/>
      <c r="G16" s="21" t="str">
        <f aca="false">IF(A16="","",SUMIF('Registro por hora'!$F$5:$F$2004,A16,'Registro por hora'!$H$5:$H$2004))</f>
        <v/>
      </c>
      <c r="H16" s="22" t="str">
        <f aca="false">IF(OR(A16="",SUM('Registro por hora'!$H$5:$H$2004)=0),"",G16/SUM('Registro por hora'!$H$5:$H$2004))</f>
        <v/>
      </c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7"/>
      <c r="G17" s="21" t="str">
        <f aca="false">IF(A17="","",SUMIF('Registro por hora'!$F$5:$F$2004,A17,'Registro por hora'!$H$5:$H$2004))</f>
        <v/>
      </c>
      <c r="H17" s="22" t="str">
        <f aca="false">IF(OR(A17="",SUM('Registro por hora'!$H$5:$H$2004)=0),"",G17/SUM('Registro por hora'!$H$5:$H$2004))</f>
        <v/>
      </c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7"/>
      <c r="G18" s="21" t="str">
        <f aca="false">IF(A18="","",SUMIF('Registro por hora'!$F$5:$F$2004,A18,'Registro por hora'!$H$5:$H$2004))</f>
        <v/>
      </c>
      <c r="H18" s="22" t="str">
        <f aca="false">IF(OR(A18="",SUM('Registro por hora'!$H$5:$H$2004)=0),"",G18/SUM('Registro por hora'!$H$5:$H$2004))</f>
        <v/>
      </c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7"/>
      <c r="G19" s="21" t="str">
        <f aca="false">IF(A19="","",SUMIF('Registro por hora'!$F$5:$F$2004,A19,'Registro por hora'!$H$5:$H$2004))</f>
        <v/>
      </c>
      <c r="H19" s="22" t="str">
        <f aca="false">IF(OR(A19="",SUM('Registro por hora'!$H$5:$H$2004)=0),"",G19/SUM('Registro por hora'!$H$5:$H$2004))</f>
        <v/>
      </c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7"/>
      <c r="G20" s="21" t="str">
        <f aca="false">IF(A20="","",SUMIF('Registro por hora'!$F$5:$F$2004,A20,'Registro por hora'!$H$5:$H$2004))</f>
        <v/>
      </c>
      <c r="H20" s="22" t="str">
        <f aca="false">IF(OR(A20="",SUM('Registro por hora'!$H$5:$H$2004)=0),"",G20/SUM('Registro por hora'!$H$5:$H$2004))</f>
        <v/>
      </c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7"/>
      <c r="G21" s="21" t="str">
        <f aca="false">IF(A21="","",SUMIF('Registro por hora'!$F$5:$F$2004,A21,'Registro por hora'!$H$5:$H$2004))</f>
        <v/>
      </c>
      <c r="H21" s="22" t="str">
        <f aca="false">IF(OR(A21="",SUM('Registro por hora'!$H$5:$H$2004)=0),"",G21/SUM('Registro por hora'!$H$5:$H$2004))</f>
        <v/>
      </c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7"/>
      <c r="G22" s="21" t="str">
        <f aca="false">IF(A22="","",SUMIF('Registro por hora'!$F$5:$F$2004,A22,'Registro por hora'!$H$5:$H$2004))</f>
        <v/>
      </c>
      <c r="H22" s="22" t="str">
        <f aca="false">IF(OR(A22="",SUM('Registro por hora'!$H$5:$H$2004)=0),"",G22/SUM('Registro por hora'!$H$5:$H$2004))</f>
        <v/>
      </c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7"/>
      <c r="G23" s="21" t="str">
        <f aca="false">IF(A23="","",SUMIF('Registro por hora'!$F$5:$F$2004,A23,'Registro por hora'!$H$5:$H$2004))</f>
        <v/>
      </c>
      <c r="H23" s="22" t="str">
        <f aca="false">IF(OR(A23="",SUM('Registro por hora'!$H$5:$H$2004)=0),"",G23/SUM('Registro por hora'!$H$5:$H$2004))</f>
        <v/>
      </c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7"/>
      <c r="G24" s="21" t="str">
        <f aca="false">IF(A24="","",SUMIF('Registro por hora'!$F$5:$F$2004,A24,'Registro por hora'!$H$5:$H$2004))</f>
        <v/>
      </c>
      <c r="H24" s="22" t="str">
        <f aca="false">IF(OR(A24="",SUM('Registro por hora'!$H$5:$H$2004)=0),"",G24/SUM('Registro por hora'!$H$5:$H$2004))</f>
        <v/>
      </c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7"/>
      <c r="G25" s="21" t="str">
        <f aca="false">IF(A25="","",SUMIF('Registro por hora'!$F$5:$F$2004,A25,'Registro por hora'!$H$5:$H$2004))</f>
        <v/>
      </c>
      <c r="H25" s="22" t="str">
        <f aca="false">IF(OR(A25="",SUM('Registro por hora'!$H$5:$H$2004)=0),"",G25/SUM('Registro por hora'!$H$5:$H$2004))</f>
        <v/>
      </c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7"/>
      <c r="G26" s="21" t="str">
        <f aca="false">IF(A26="","",SUMIF('Registro por hora'!$F$5:$F$2004,A26,'Registro por hora'!$H$5:$H$2004))</f>
        <v/>
      </c>
      <c r="H26" s="22" t="str">
        <f aca="false">IF(OR(A26="",SUM('Registro por hora'!$H$5:$H$2004)=0),"",G26/SUM('Registro por hora'!$H$5:$H$2004))</f>
        <v/>
      </c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7"/>
      <c r="G27" s="21" t="str">
        <f aca="false">IF(A27="","",SUMIF('Registro por hora'!$F$5:$F$2004,A27,'Registro por hora'!$H$5:$H$2004))</f>
        <v/>
      </c>
      <c r="H27" s="22" t="str">
        <f aca="false">IF(OR(A27="",SUM('Registro por hora'!$H$5:$H$2004)=0),"",G27/SUM('Registro por hora'!$H$5:$H$2004))</f>
        <v/>
      </c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7"/>
      <c r="G28" s="21" t="str">
        <f aca="false">IF(A28="","",SUMIF('Registro por hora'!$F$5:$F$2004,A28,'Registro por hora'!$H$5:$H$2004))</f>
        <v/>
      </c>
      <c r="H28" s="22" t="str">
        <f aca="false">IF(OR(A28="",SUM('Registro por hora'!$H$5:$H$2004)=0),"",G28/SUM('Registro por hora'!$H$5:$H$2004))</f>
        <v/>
      </c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7"/>
      <c r="G29" s="21" t="str">
        <f aca="false">IF(A29="","",SUMIF('Registro por hora'!$F$5:$F$2004,A29,'Registro por hora'!$H$5:$H$2004))</f>
        <v/>
      </c>
      <c r="H29" s="22" t="str">
        <f aca="false">IF(OR(A29="",SUM('Registro por hora'!$H$5:$H$2004)=0),"",G29/SUM('Registro por hora'!$H$5:$H$2004))</f>
        <v/>
      </c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7"/>
      <c r="G30" s="21" t="str">
        <f aca="false">IF(A30="","",SUMIF('Registro por hora'!$F$5:$F$2004,A30,'Registro por hora'!$H$5:$H$2004))</f>
        <v/>
      </c>
      <c r="H30" s="22" t="str">
        <f aca="false">IF(OR(A30="",SUM('Registro por hora'!$H$5:$H$2004)=0),"",G30/SUM('Registro por hora'!$H$5:$H$2004))</f>
        <v/>
      </c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7"/>
      <c r="G31" s="21" t="str">
        <f aca="false">IF(A31="","",SUMIF('Registro por hora'!$F$5:$F$2004,A31,'Registro por hora'!$H$5:$H$2004))</f>
        <v/>
      </c>
      <c r="H31" s="22" t="str">
        <f aca="false">IF(OR(A31="",SUM('Registro por hora'!$H$5:$H$2004)=0),"",G31/SUM('Registro por hora'!$H$5:$H$2004))</f>
        <v/>
      </c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7"/>
      <c r="G32" s="21" t="str">
        <f aca="false">IF(A32="","",SUMIF('Registro por hora'!$F$5:$F$2004,A32,'Registro por hora'!$H$5:$H$2004))</f>
        <v/>
      </c>
      <c r="H32" s="22" t="str">
        <f aca="false">IF(OR(A32="",SUM('Registro por hora'!$H$5:$H$2004)=0),"",G32/SUM('Registro por hora'!$H$5:$H$2004))</f>
        <v/>
      </c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17"/>
      <c r="G33" s="21" t="str">
        <f aca="false">IF(A33="","",SUMIF('Registro por hora'!$F$5:$F$2004,A33,'Registro por hora'!$H$5:$H$2004))</f>
        <v/>
      </c>
      <c r="H33" s="22" t="str">
        <f aca="false">IF(OR(A33="",SUM('Registro por hora'!$H$5:$H$2004)=0),"",G33/SUM('Registro por hora'!$H$5:$H$2004))</f>
        <v/>
      </c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7"/>
      <c r="G34" s="21" t="str">
        <f aca="false">IF(A34="","",SUMIF('Registro por hora'!$F$5:$F$2004,A34,'Registro por hora'!$H$5:$H$2004))</f>
        <v/>
      </c>
      <c r="H34" s="22" t="str">
        <f aca="false">IF(OR(A34="",SUM('Registro por hora'!$H$5:$H$2004)=0),"",G34/SUM('Registro por hora'!$H$5:$H$2004))</f>
        <v/>
      </c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17"/>
      <c r="G35" s="21" t="str">
        <f aca="false">IF(A35="","",SUMIF('Registro por hora'!$F$5:$F$2004,A35,'Registro por hora'!$H$5:$H$2004))</f>
        <v/>
      </c>
      <c r="H35" s="22" t="str">
        <f aca="false">IF(OR(A35="",SUM('Registro por hora'!$H$5:$H$2004)=0),"",G35/SUM('Registro por hora'!$H$5:$H$2004))</f>
        <v/>
      </c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7"/>
      <c r="G36" s="21" t="str">
        <f aca="false">IF(A36="","",SUMIF('Registro por hora'!$F$5:$F$2004,A36,'Registro por hora'!$H$5:$H$2004))</f>
        <v/>
      </c>
      <c r="H36" s="22" t="str">
        <f aca="false">IF(OR(A36="",SUM('Registro por hora'!$H$5:$H$2004)=0),"",G36/SUM('Registro por hora'!$H$5:$H$2004))</f>
        <v/>
      </c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17"/>
      <c r="G37" s="21" t="str">
        <f aca="false">IF(A37="","",SUMIF('Registro por hora'!$F$5:$F$2004,A37,'Registro por hora'!$H$5:$H$2004))</f>
        <v/>
      </c>
      <c r="H37" s="22" t="str">
        <f aca="false">IF(OR(A37="",SUM('Registro por hora'!$H$5:$H$2004)=0),"",G37/SUM('Registro por hora'!$H$5:$H$2004))</f>
        <v/>
      </c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7"/>
      <c r="G38" s="21" t="str">
        <f aca="false">IF(A38="","",SUMIF('Registro por hora'!$F$5:$F$2004,A38,'Registro por hora'!$H$5:$H$2004))</f>
        <v/>
      </c>
      <c r="H38" s="22" t="str">
        <f aca="false">IF(OR(A38="",SUM('Registro por hora'!$H$5:$H$2004)=0),"",G38/SUM('Registro por hora'!$H$5:$H$2004))</f>
        <v/>
      </c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17"/>
      <c r="G39" s="21" t="str">
        <f aca="false">IF(A39="","",SUMIF('Registro por hora'!$F$5:$F$2004,A39,'Registro por hora'!$H$5:$H$2004))</f>
        <v/>
      </c>
      <c r="H39" s="22" t="str">
        <f aca="false">IF(OR(A39="",SUM('Registro por hora'!$H$5:$H$2004)=0),"",G39/SUM('Registro por hora'!$H$5:$H$2004))</f>
        <v/>
      </c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7"/>
      <c r="G40" s="21" t="str">
        <f aca="false">IF(A40="","",SUMIF('Registro por hora'!$F$5:$F$2004,A40,'Registro por hora'!$H$5:$H$2004))</f>
        <v/>
      </c>
      <c r="H40" s="22" t="str">
        <f aca="false">IF(OR(A40="",SUM('Registro por hora'!$H$5:$H$2004)=0),"",G40/SUM('Registro por hora'!$H$5:$H$2004))</f>
        <v/>
      </c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17"/>
      <c r="G41" s="21" t="str">
        <f aca="false">IF(A41="","",SUMIF('Registro por hora'!$F$5:$F$2004,A41,'Registro por hora'!$H$5:$H$2004))</f>
        <v/>
      </c>
      <c r="H41" s="22" t="str">
        <f aca="false">IF(OR(A41="",SUM('Registro por hora'!$H$5:$H$2004)=0),"",G41/SUM('Registro por hora'!$H$5:$H$2004))</f>
        <v/>
      </c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7"/>
      <c r="G42" s="21" t="str">
        <f aca="false">IF(A42="","",SUMIF('Registro por hora'!$F$5:$F$2004,A42,'Registro por hora'!$H$5:$H$2004))</f>
        <v/>
      </c>
      <c r="H42" s="22" t="str">
        <f aca="false">IF(OR(A42="",SUM('Registro por hora'!$H$5:$H$2004)=0),"",G42/SUM('Registro por hora'!$H$5:$H$2004))</f>
        <v/>
      </c>
    </row>
    <row r="43" customFormat="false" ht="15" hidden="false" customHeight="false" outlineLevel="0" collapsed="false">
      <c r="A43" s="18"/>
      <c r="B43" s="18"/>
      <c r="C43" s="18"/>
      <c r="D43" s="18"/>
      <c r="E43" s="18"/>
      <c r="F43" s="17"/>
      <c r="G43" s="21" t="str">
        <f aca="false">IF(A43="","",SUMIF('Registro por hora'!$F$5:$F$2004,A43,'Registro por hora'!$H$5:$H$2004))</f>
        <v/>
      </c>
      <c r="H43" s="22" t="str">
        <f aca="false">IF(OR(A43="",SUM('Registro por hora'!$H$5:$H$2004)=0),"",G43/SUM('Registro por hora'!$H$5:$H$2004))</f>
        <v/>
      </c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7"/>
      <c r="G44" s="21" t="str">
        <f aca="false">IF(A44="","",SUMIF('Registro por hora'!$F$5:$F$2004,A44,'Registro por hora'!$H$5:$H$2004))</f>
        <v/>
      </c>
      <c r="H44" s="22" t="str">
        <f aca="false">IF(OR(A44="",SUM('Registro por hora'!$H$5:$H$2004)=0),"",G44/SUM('Registro por hora'!$H$5:$H$2004))</f>
        <v/>
      </c>
    </row>
    <row r="45" customFormat="false" ht="15" hidden="false" customHeight="false" outlineLevel="0" collapsed="false">
      <c r="A45" s="18"/>
      <c r="B45" s="18"/>
      <c r="C45" s="18"/>
      <c r="D45" s="18"/>
      <c r="E45" s="18"/>
      <c r="F45" s="17"/>
      <c r="G45" s="21" t="str">
        <f aca="false">IF(A45="","",SUMIF('Registro por hora'!$F$5:$F$2004,A45,'Registro por hora'!$H$5:$H$2004))</f>
        <v/>
      </c>
      <c r="H45" s="22" t="str">
        <f aca="false">IF(OR(A45="",SUM('Registro por hora'!$H$5:$H$2004)=0),"",G45/SUM('Registro por hora'!$H$5:$H$2004))</f>
        <v/>
      </c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7"/>
      <c r="G46" s="21" t="str">
        <f aca="false">IF(A46="","",SUMIF('Registro por hora'!$F$5:$F$2004,A46,'Registro por hora'!$H$5:$H$2004))</f>
        <v/>
      </c>
      <c r="H46" s="22" t="str">
        <f aca="false">IF(OR(A46="",SUM('Registro por hora'!$H$5:$H$2004)=0),"",G46/SUM('Registro por hora'!$H$5:$H$2004))</f>
        <v/>
      </c>
    </row>
    <row r="47" customFormat="false" ht="15" hidden="false" customHeight="false" outlineLevel="0" collapsed="false">
      <c r="A47" s="18"/>
      <c r="B47" s="18"/>
      <c r="C47" s="18"/>
      <c r="D47" s="18"/>
      <c r="E47" s="18"/>
      <c r="F47" s="17"/>
      <c r="G47" s="21" t="str">
        <f aca="false">IF(A47="","",SUMIF('Registro por hora'!$F$5:$F$2004,A47,'Registro por hora'!$H$5:$H$2004))</f>
        <v/>
      </c>
      <c r="H47" s="22" t="str">
        <f aca="false">IF(OR(A47="",SUM('Registro por hora'!$H$5:$H$2004)=0),"",G47/SUM('Registro por hora'!$H$5:$H$2004))</f>
        <v/>
      </c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7"/>
      <c r="G48" s="21" t="str">
        <f aca="false">IF(A48="","",SUMIF('Registro por hora'!$F$5:$F$2004,A48,'Registro por hora'!$H$5:$H$2004))</f>
        <v/>
      </c>
      <c r="H48" s="22" t="str">
        <f aca="false">IF(OR(A48="",SUM('Registro por hora'!$H$5:$H$2004)=0),"",G48/SUM('Registro por hora'!$H$5:$H$2004))</f>
        <v/>
      </c>
    </row>
    <row r="49" customFormat="false" ht="15" hidden="false" customHeight="false" outlineLevel="0" collapsed="false">
      <c r="A49" s="18"/>
      <c r="B49" s="18"/>
      <c r="C49" s="18"/>
      <c r="D49" s="18"/>
      <c r="E49" s="18"/>
      <c r="F49" s="17"/>
      <c r="G49" s="21" t="str">
        <f aca="false">IF(A49="","",SUMIF('Registro por hora'!$F$5:$F$2004,A49,'Registro por hora'!$H$5:$H$2004))</f>
        <v/>
      </c>
      <c r="H49" s="22" t="str">
        <f aca="false">IF(OR(A49="",SUM('Registro por hora'!$H$5:$H$2004)=0),"",G49/SUM('Registro por hora'!$H$5:$H$2004))</f>
        <v/>
      </c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7"/>
      <c r="G50" s="21" t="str">
        <f aca="false">IF(A50="","",SUMIF('Registro por hora'!$F$5:$F$2004,A50,'Registro por hora'!$H$5:$H$2004))</f>
        <v/>
      </c>
      <c r="H50" s="22" t="str">
        <f aca="false">IF(OR(A50="",SUM('Registro por hora'!$H$5:$H$2004)=0),"",G50/SUM('Registro por hora'!$H$5:$H$2004))</f>
        <v/>
      </c>
    </row>
    <row r="51" customFormat="false" ht="15" hidden="false" customHeight="false" outlineLevel="0" collapsed="false">
      <c r="A51" s="18"/>
      <c r="B51" s="18"/>
      <c r="C51" s="18"/>
      <c r="D51" s="18"/>
      <c r="E51" s="18"/>
      <c r="F51" s="17"/>
      <c r="G51" s="21" t="str">
        <f aca="false">IF(A51="","",SUMIF('Registro por hora'!$F$5:$F$2004,A51,'Registro por hora'!$H$5:$H$2004))</f>
        <v/>
      </c>
      <c r="H51" s="22" t="str">
        <f aca="false">IF(OR(A51="",SUM('Registro por hora'!$H$5:$H$2004)=0),"",G51/SUM('Registro por hora'!$H$5:$H$2004))</f>
        <v/>
      </c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7"/>
      <c r="G52" s="21" t="str">
        <f aca="false">IF(A52="","",SUMIF('Registro por hora'!$F$5:$F$2004,A52,'Registro por hora'!$H$5:$H$2004))</f>
        <v/>
      </c>
      <c r="H52" s="22" t="str">
        <f aca="false">IF(OR(A52="",SUM('Registro por hora'!$H$5:$H$2004)=0),"",G52/SUM('Registro por hora'!$H$5:$H$2004))</f>
        <v/>
      </c>
    </row>
    <row r="53" customFormat="false" ht="15" hidden="false" customHeight="false" outlineLevel="0" collapsed="false">
      <c r="A53" s="18"/>
      <c r="B53" s="18"/>
      <c r="C53" s="18"/>
      <c r="D53" s="18"/>
      <c r="E53" s="18"/>
      <c r="F53" s="17"/>
      <c r="G53" s="21" t="str">
        <f aca="false">IF(A53="","",SUMIF('Registro por hora'!$F$5:$F$2004,A53,'Registro por hora'!$H$5:$H$2004))</f>
        <v/>
      </c>
      <c r="H53" s="22" t="str">
        <f aca="false">IF(OR(A53="",SUM('Registro por hora'!$H$5:$H$2004)=0),"",G53/SUM('Registro por hora'!$H$5:$H$2004))</f>
        <v/>
      </c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7"/>
      <c r="G54" s="21" t="str">
        <f aca="false">IF(A54="","",SUMIF('Registro por hora'!$F$5:$F$2004,A54,'Registro por hora'!$H$5:$H$2004))</f>
        <v/>
      </c>
      <c r="H54" s="22" t="str">
        <f aca="false">IF(OR(A54="",SUM('Registro por hora'!$H$5:$H$2004)=0),"",G54/SUM('Registro por hora'!$H$5:$H$2004))</f>
        <v/>
      </c>
    </row>
  </sheetData>
  <autoFilter ref="A4:H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117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118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1.5" hidden="false" customHeight="true" outlineLevel="0" collapsed="false">
      <c r="A4" s="9" t="s">
        <v>83</v>
      </c>
      <c r="B4" s="9" t="s">
        <v>119</v>
      </c>
      <c r="C4" s="9" t="s">
        <v>29</v>
      </c>
      <c r="D4" s="9" t="s">
        <v>120</v>
      </c>
      <c r="E4" s="9" t="s">
        <v>121</v>
      </c>
      <c r="F4" s="9" t="s">
        <v>122</v>
      </c>
    </row>
    <row r="5" customFormat="false" ht="15" hidden="false" customHeight="false" outlineLevel="0" collapsed="false">
      <c r="A5" s="18" t="s">
        <v>123</v>
      </c>
      <c r="B5" s="18" t="s">
        <v>40</v>
      </c>
      <c r="C5" s="18" t="s">
        <v>124</v>
      </c>
      <c r="D5" s="18" t="s">
        <v>125</v>
      </c>
      <c r="E5" s="19" t="n">
        <v>0.375</v>
      </c>
      <c r="F5" s="19" t="n">
        <v>0.75</v>
      </c>
    </row>
    <row r="6" customFormat="false" ht="15" hidden="false" customHeight="false" outlineLevel="0" collapsed="false">
      <c r="A6" s="18" t="s">
        <v>126</v>
      </c>
      <c r="B6" s="18" t="s">
        <v>43</v>
      </c>
      <c r="C6" s="18" t="s">
        <v>98</v>
      </c>
      <c r="D6" s="18" t="s">
        <v>127</v>
      </c>
      <c r="E6" s="19" t="n">
        <v>0.375</v>
      </c>
      <c r="F6" s="19" t="n">
        <v>0.75</v>
      </c>
    </row>
    <row r="7" customFormat="false" ht="15" hidden="false" customHeight="false" outlineLevel="0" collapsed="false">
      <c r="A7" s="18" t="s">
        <v>128</v>
      </c>
      <c r="B7" s="18" t="s">
        <v>129</v>
      </c>
      <c r="C7" s="18" t="s">
        <v>108</v>
      </c>
      <c r="D7" s="18" t="s">
        <v>130</v>
      </c>
      <c r="E7" s="19" t="n">
        <v>0.333333333333333</v>
      </c>
      <c r="F7" s="19" t="n">
        <v>0.708333333333333</v>
      </c>
    </row>
    <row r="8" customFormat="false" ht="15" hidden="false" customHeight="false" outlineLevel="0" collapsed="false">
      <c r="A8" s="18"/>
      <c r="B8" s="18"/>
      <c r="C8" s="18"/>
      <c r="D8" s="18"/>
      <c r="E8" s="19"/>
      <c r="F8" s="19"/>
    </row>
    <row r="9" customFormat="false" ht="15" hidden="false" customHeight="false" outlineLevel="0" collapsed="false">
      <c r="A9" s="18"/>
      <c r="B9" s="18"/>
      <c r="C9" s="18"/>
      <c r="D9" s="18"/>
      <c r="E9" s="19"/>
      <c r="F9" s="19"/>
    </row>
    <row r="10" customFormat="false" ht="15" hidden="false" customHeight="false" outlineLevel="0" collapsed="false">
      <c r="A10" s="18"/>
      <c r="B10" s="18"/>
      <c r="C10" s="18"/>
      <c r="D10" s="18"/>
      <c r="E10" s="19"/>
      <c r="F10" s="19"/>
    </row>
    <row r="11" customFormat="false" ht="15" hidden="false" customHeight="false" outlineLevel="0" collapsed="false">
      <c r="A11" s="18"/>
      <c r="B11" s="18"/>
      <c r="C11" s="18"/>
      <c r="D11" s="18"/>
      <c r="E11" s="19"/>
      <c r="F11" s="19"/>
    </row>
    <row r="12" customFormat="false" ht="15" hidden="false" customHeight="false" outlineLevel="0" collapsed="false">
      <c r="A12" s="18"/>
      <c r="B12" s="18"/>
      <c r="C12" s="18"/>
      <c r="D12" s="18"/>
      <c r="E12" s="19"/>
      <c r="F12" s="19"/>
    </row>
    <row r="13" customFormat="false" ht="15" hidden="false" customHeight="false" outlineLevel="0" collapsed="false">
      <c r="A13" s="18"/>
      <c r="B13" s="18"/>
      <c r="C13" s="18"/>
      <c r="D13" s="18"/>
      <c r="E13" s="19"/>
      <c r="F13" s="19"/>
    </row>
    <row r="14" customFormat="false" ht="15" hidden="false" customHeight="false" outlineLevel="0" collapsed="false">
      <c r="A14" s="18"/>
      <c r="B14" s="18"/>
      <c r="C14" s="18"/>
      <c r="D14" s="18"/>
      <c r="E14" s="19"/>
      <c r="F14" s="19"/>
    </row>
    <row r="15" customFormat="false" ht="15" hidden="false" customHeight="false" outlineLevel="0" collapsed="false">
      <c r="A15" s="18"/>
      <c r="B15" s="18"/>
      <c r="C15" s="18"/>
      <c r="D15" s="18"/>
      <c r="E15" s="19"/>
      <c r="F15" s="19"/>
    </row>
    <row r="16" customFormat="false" ht="15" hidden="false" customHeight="false" outlineLevel="0" collapsed="false">
      <c r="A16" s="18"/>
      <c r="B16" s="18"/>
      <c r="C16" s="18"/>
      <c r="D16" s="18"/>
      <c r="E16" s="19"/>
      <c r="F16" s="19"/>
    </row>
    <row r="17" customFormat="false" ht="15" hidden="false" customHeight="false" outlineLevel="0" collapsed="false">
      <c r="A17" s="18"/>
      <c r="B17" s="18"/>
      <c r="C17" s="18"/>
      <c r="D17" s="18"/>
      <c r="E17" s="19"/>
      <c r="F17" s="19"/>
    </row>
    <row r="18" customFormat="false" ht="15" hidden="false" customHeight="false" outlineLevel="0" collapsed="false">
      <c r="A18" s="18"/>
      <c r="B18" s="18"/>
      <c r="C18" s="18"/>
      <c r="D18" s="18"/>
      <c r="E18" s="19"/>
      <c r="F18" s="19"/>
    </row>
    <row r="19" customFormat="false" ht="15" hidden="false" customHeight="false" outlineLevel="0" collapsed="false">
      <c r="A19" s="18"/>
      <c r="B19" s="18"/>
      <c r="C19" s="18"/>
      <c r="D19" s="18"/>
      <c r="E19" s="19"/>
      <c r="F19" s="19"/>
    </row>
    <row r="20" customFormat="false" ht="15" hidden="false" customHeight="false" outlineLevel="0" collapsed="false">
      <c r="A20" s="18"/>
      <c r="B20" s="18"/>
      <c r="C20" s="18"/>
      <c r="D20" s="18"/>
      <c r="E20" s="19"/>
      <c r="F20" s="19"/>
    </row>
    <row r="21" customFormat="false" ht="15" hidden="false" customHeight="false" outlineLevel="0" collapsed="false">
      <c r="A21" s="18"/>
      <c r="B21" s="18"/>
      <c r="C21" s="18"/>
      <c r="D21" s="18"/>
      <c r="E21" s="19"/>
      <c r="F21" s="19"/>
    </row>
    <row r="22" customFormat="false" ht="15" hidden="false" customHeight="false" outlineLevel="0" collapsed="false">
      <c r="A22" s="18"/>
      <c r="B22" s="18"/>
      <c r="C22" s="18"/>
      <c r="D22" s="18"/>
      <c r="E22" s="19"/>
      <c r="F22" s="19"/>
    </row>
    <row r="23" customFormat="false" ht="15" hidden="false" customHeight="false" outlineLevel="0" collapsed="false">
      <c r="A23" s="18"/>
      <c r="B23" s="18"/>
      <c r="C23" s="18"/>
      <c r="D23" s="18"/>
      <c r="E23" s="19"/>
      <c r="F23" s="19"/>
    </row>
    <row r="24" customFormat="false" ht="15" hidden="false" customHeight="false" outlineLevel="0" collapsed="false">
      <c r="A24" s="18"/>
      <c r="B24" s="18"/>
      <c r="C24" s="18"/>
      <c r="D24" s="18"/>
      <c r="E24" s="19"/>
      <c r="F24" s="19"/>
    </row>
    <row r="25" customFormat="false" ht="15" hidden="false" customHeight="false" outlineLevel="0" collapsed="false">
      <c r="A25" s="18"/>
      <c r="B25" s="18"/>
      <c r="C25" s="18"/>
      <c r="D25" s="18"/>
      <c r="E25" s="19"/>
      <c r="F25" s="19"/>
    </row>
    <row r="26" customFormat="false" ht="15" hidden="false" customHeight="false" outlineLevel="0" collapsed="false">
      <c r="A26" s="18"/>
      <c r="B26" s="18"/>
      <c r="C26" s="18"/>
      <c r="D26" s="18"/>
      <c r="E26" s="19"/>
      <c r="F26" s="19"/>
    </row>
    <row r="27" customFormat="false" ht="15" hidden="false" customHeight="false" outlineLevel="0" collapsed="false">
      <c r="A27" s="18"/>
      <c r="B27" s="18"/>
      <c r="C27" s="18"/>
      <c r="D27" s="18"/>
      <c r="E27" s="19"/>
      <c r="F27" s="19"/>
    </row>
    <row r="28" customFormat="false" ht="15" hidden="false" customHeight="false" outlineLevel="0" collapsed="false">
      <c r="A28" s="18"/>
      <c r="B28" s="18"/>
      <c r="C28" s="18"/>
      <c r="D28" s="18"/>
      <c r="E28" s="19"/>
      <c r="F28" s="19"/>
    </row>
    <row r="29" customFormat="false" ht="15" hidden="false" customHeight="false" outlineLevel="0" collapsed="false">
      <c r="A29" s="18"/>
      <c r="B29" s="18"/>
      <c r="C29" s="18"/>
      <c r="D29" s="18"/>
      <c r="E29" s="19"/>
      <c r="F29" s="19"/>
    </row>
    <row r="30" customFormat="false" ht="15" hidden="false" customHeight="false" outlineLevel="0" collapsed="false">
      <c r="A30" s="18"/>
      <c r="B30" s="18"/>
      <c r="C30" s="18"/>
      <c r="D30" s="18"/>
      <c r="E30" s="19"/>
      <c r="F30" s="19"/>
    </row>
    <row r="31" customFormat="false" ht="15" hidden="false" customHeight="false" outlineLevel="0" collapsed="false">
      <c r="A31" s="18"/>
      <c r="B31" s="18"/>
      <c r="C31" s="18"/>
      <c r="D31" s="18"/>
      <c r="E31" s="19"/>
      <c r="F31" s="19"/>
    </row>
    <row r="32" customFormat="false" ht="15" hidden="false" customHeight="false" outlineLevel="0" collapsed="false">
      <c r="A32" s="18"/>
      <c r="B32" s="18"/>
      <c r="C32" s="18"/>
      <c r="D32" s="18"/>
      <c r="E32" s="19"/>
      <c r="F32" s="19"/>
    </row>
    <row r="33" customFormat="false" ht="15" hidden="false" customHeight="false" outlineLevel="0" collapsed="false">
      <c r="A33" s="18"/>
      <c r="B33" s="18"/>
      <c r="C33" s="18"/>
      <c r="D33" s="18"/>
      <c r="E33" s="19"/>
      <c r="F33" s="19"/>
    </row>
    <row r="34" customFormat="false" ht="15" hidden="false" customHeight="false" outlineLevel="0" collapsed="false">
      <c r="A34" s="18"/>
      <c r="B34" s="18"/>
      <c r="C34" s="18"/>
      <c r="D34" s="18"/>
      <c r="E34" s="19"/>
      <c r="F34" s="19"/>
    </row>
    <row r="35" customFormat="false" ht="15" hidden="false" customHeight="false" outlineLevel="0" collapsed="false">
      <c r="A35" s="18"/>
      <c r="B35" s="18"/>
      <c r="C35" s="18"/>
      <c r="D35" s="18"/>
      <c r="E35" s="19"/>
      <c r="F35" s="19"/>
    </row>
    <row r="36" customFormat="false" ht="15" hidden="false" customHeight="false" outlineLevel="0" collapsed="false">
      <c r="A36" s="18"/>
      <c r="B36" s="18"/>
      <c r="C36" s="18"/>
      <c r="D36" s="18"/>
      <c r="E36" s="19"/>
      <c r="F36" s="19"/>
    </row>
    <row r="37" customFormat="false" ht="15" hidden="false" customHeight="false" outlineLevel="0" collapsed="false">
      <c r="A37" s="18"/>
      <c r="B37" s="18"/>
      <c r="C37" s="18"/>
      <c r="D37" s="18"/>
      <c r="E37" s="19"/>
      <c r="F37" s="19"/>
    </row>
    <row r="38" customFormat="false" ht="15" hidden="false" customHeight="false" outlineLevel="0" collapsed="false">
      <c r="A38" s="18"/>
      <c r="B38" s="18"/>
      <c r="C38" s="18"/>
      <c r="D38" s="18"/>
      <c r="E38" s="19"/>
      <c r="F38" s="19"/>
    </row>
    <row r="39" customFormat="false" ht="15" hidden="false" customHeight="false" outlineLevel="0" collapsed="false">
      <c r="A39" s="18"/>
      <c r="B39" s="18"/>
      <c r="C39" s="18"/>
      <c r="D39" s="18"/>
      <c r="E39" s="19"/>
      <c r="F39" s="19"/>
    </row>
    <row r="40" customFormat="false" ht="15" hidden="false" customHeight="false" outlineLevel="0" collapsed="false">
      <c r="A40" s="18"/>
      <c r="B40" s="18"/>
      <c r="C40" s="18"/>
      <c r="D40" s="18"/>
      <c r="E40" s="19"/>
      <c r="F40" s="19"/>
    </row>
    <row r="41" customFormat="false" ht="15" hidden="false" customHeight="false" outlineLevel="0" collapsed="false">
      <c r="A41" s="18"/>
      <c r="B41" s="18"/>
      <c r="C41" s="18"/>
      <c r="D41" s="18"/>
      <c r="E41" s="19"/>
      <c r="F41" s="19"/>
    </row>
    <row r="42" customFormat="false" ht="15" hidden="false" customHeight="false" outlineLevel="0" collapsed="false">
      <c r="A42" s="18"/>
      <c r="B42" s="18"/>
      <c r="C42" s="18"/>
      <c r="D42" s="18"/>
      <c r="E42" s="19"/>
      <c r="F42" s="19"/>
    </row>
    <row r="43" customFormat="false" ht="15" hidden="false" customHeight="false" outlineLevel="0" collapsed="false">
      <c r="A43" s="18"/>
      <c r="B43" s="18"/>
      <c r="C43" s="18"/>
      <c r="D43" s="18"/>
      <c r="E43" s="19"/>
      <c r="F43" s="19"/>
    </row>
    <row r="44" customFormat="false" ht="15" hidden="false" customHeight="false" outlineLevel="0" collapsed="false">
      <c r="A44" s="18"/>
      <c r="B44" s="18"/>
      <c r="C44" s="18"/>
      <c r="D44" s="18"/>
      <c r="E44" s="19"/>
      <c r="F44" s="19"/>
    </row>
    <row r="45" customFormat="false" ht="15" hidden="false" customHeight="false" outlineLevel="0" collapsed="false">
      <c r="A45" s="18"/>
      <c r="B45" s="18"/>
      <c r="C45" s="18"/>
      <c r="D45" s="18"/>
      <c r="E45" s="19"/>
      <c r="F45" s="19"/>
    </row>
    <row r="46" customFormat="false" ht="15" hidden="false" customHeight="false" outlineLevel="0" collapsed="false">
      <c r="A46" s="18"/>
      <c r="B46" s="18"/>
      <c r="C46" s="18"/>
      <c r="D46" s="18"/>
      <c r="E46" s="19"/>
      <c r="F46" s="19"/>
    </row>
    <row r="47" customFormat="false" ht="15" hidden="false" customHeight="false" outlineLevel="0" collapsed="false">
      <c r="A47" s="18"/>
      <c r="B47" s="18"/>
      <c r="C47" s="18"/>
      <c r="D47" s="18"/>
      <c r="E47" s="19"/>
      <c r="F47" s="19"/>
    </row>
    <row r="48" customFormat="false" ht="15" hidden="false" customHeight="false" outlineLevel="0" collapsed="false">
      <c r="A48" s="18"/>
      <c r="B48" s="18"/>
      <c r="C48" s="18"/>
      <c r="D48" s="18"/>
      <c r="E48" s="19"/>
      <c r="F48" s="19"/>
    </row>
    <row r="49" customFormat="false" ht="15" hidden="false" customHeight="false" outlineLevel="0" collapsed="false">
      <c r="A49" s="18"/>
      <c r="B49" s="18"/>
      <c r="C49" s="18"/>
      <c r="D49" s="18"/>
      <c r="E49" s="19"/>
      <c r="F49" s="19"/>
    </row>
    <row r="50" customFormat="false" ht="15" hidden="false" customHeight="false" outlineLevel="0" collapsed="false">
      <c r="A50" s="18"/>
      <c r="B50" s="18"/>
      <c r="C50" s="18"/>
      <c r="D50" s="18"/>
      <c r="E50" s="19"/>
      <c r="F50" s="19"/>
    </row>
    <row r="51" customFormat="false" ht="15" hidden="false" customHeight="false" outlineLevel="0" collapsed="false">
      <c r="A51" s="18"/>
      <c r="B51" s="18"/>
      <c r="C51" s="18"/>
      <c r="D51" s="18"/>
      <c r="E51" s="19"/>
      <c r="F51" s="19"/>
    </row>
    <row r="52" customFormat="false" ht="15" hidden="false" customHeight="false" outlineLevel="0" collapsed="false">
      <c r="A52" s="18"/>
      <c r="B52" s="18"/>
      <c r="C52" s="18"/>
      <c r="D52" s="18"/>
      <c r="E52" s="19"/>
      <c r="F52" s="19"/>
    </row>
    <row r="53" customFormat="false" ht="15" hidden="false" customHeight="false" outlineLevel="0" collapsed="false">
      <c r="A53" s="18"/>
      <c r="B53" s="18"/>
      <c r="C53" s="18"/>
      <c r="D53" s="18"/>
      <c r="E53" s="19"/>
      <c r="F53" s="19"/>
    </row>
    <row r="54" customFormat="false" ht="15" hidden="false" customHeight="false" outlineLevel="0" collapsed="false">
      <c r="A54" s="18"/>
      <c r="B54" s="18"/>
      <c r="C54" s="18"/>
      <c r="D54" s="18"/>
      <c r="E54" s="19"/>
      <c r="F54" s="19"/>
    </row>
    <row r="55" customFormat="false" ht="15" hidden="false" customHeight="false" outlineLevel="0" collapsed="false">
      <c r="A55" s="18"/>
      <c r="B55" s="18"/>
      <c r="C55" s="18"/>
      <c r="D55" s="18"/>
      <c r="E55" s="19"/>
      <c r="F55" s="19"/>
    </row>
    <row r="56" customFormat="false" ht="15" hidden="false" customHeight="false" outlineLevel="0" collapsed="false">
      <c r="A56" s="18"/>
      <c r="B56" s="18"/>
      <c r="C56" s="18"/>
      <c r="D56" s="18"/>
      <c r="E56" s="19"/>
      <c r="F56" s="19"/>
    </row>
    <row r="57" customFormat="false" ht="15" hidden="false" customHeight="false" outlineLevel="0" collapsed="false">
      <c r="A57" s="18"/>
      <c r="B57" s="18"/>
      <c r="C57" s="18"/>
      <c r="D57" s="18"/>
      <c r="E57" s="19"/>
      <c r="F57" s="19"/>
    </row>
    <row r="58" customFormat="false" ht="15" hidden="false" customHeight="false" outlineLevel="0" collapsed="false">
      <c r="A58" s="18"/>
      <c r="B58" s="18"/>
      <c r="C58" s="18"/>
      <c r="D58" s="18"/>
      <c r="E58" s="19"/>
      <c r="F58" s="19"/>
    </row>
    <row r="59" customFormat="false" ht="15" hidden="false" customHeight="false" outlineLevel="0" collapsed="false">
      <c r="A59" s="18"/>
      <c r="B59" s="18"/>
      <c r="C59" s="18"/>
      <c r="D59" s="18"/>
      <c r="E59" s="19"/>
      <c r="F59" s="19"/>
    </row>
    <row r="60" customFormat="false" ht="15" hidden="false" customHeight="false" outlineLevel="0" collapsed="false">
      <c r="A60" s="18"/>
      <c r="B60" s="18"/>
      <c r="C60" s="18"/>
      <c r="D60" s="18"/>
      <c r="E60" s="19"/>
      <c r="F60" s="19"/>
    </row>
    <row r="61" customFormat="false" ht="15" hidden="false" customHeight="false" outlineLevel="0" collapsed="false">
      <c r="A61" s="18"/>
      <c r="B61" s="18"/>
      <c r="C61" s="18"/>
      <c r="D61" s="18"/>
      <c r="E61" s="19"/>
      <c r="F61" s="19"/>
    </row>
    <row r="62" customFormat="false" ht="15" hidden="false" customHeight="false" outlineLevel="0" collapsed="false">
      <c r="A62" s="18"/>
      <c r="B62" s="18"/>
      <c r="C62" s="18"/>
      <c r="D62" s="18"/>
      <c r="E62" s="19"/>
      <c r="F62" s="19"/>
    </row>
    <row r="63" customFormat="false" ht="15" hidden="false" customHeight="false" outlineLevel="0" collapsed="false">
      <c r="A63" s="18"/>
      <c r="B63" s="18"/>
      <c r="C63" s="18"/>
      <c r="D63" s="18"/>
      <c r="E63" s="19"/>
      <c r="F63" s="19"/>
    </row>
    <row r="64" customFormat="false" ht="15" hidden="false" customHeight="false" outlineLevel="0" collapsed="false">
      <c r="A64" s="18"/>
      <c r="B64" s="18"/>
      <c r="C64" s="18"/>
      <c r="D64" s="18"/>
      <c r="E64" s="19"/>
      <c r="F64" s="19"/>
    </row>
    <row r="65" customFormat="false" ht="15" hidden="false" customHeight="false" outlineLevel="0" collapsed="false">
      <c r="A65" s="18"/>
      <c r="B65" s="18"/>
      <c r="C65" s="18"/>
      <c r="D65" s="18"/>
      <c r="E65" s="19"/>
      <c r="F65" s="19"/>
    </row>
    <row r="66" customFormat="false" ht="15" hidden="false" customHeight="false" outlineLevel="0" collapsed="false">
      <c r="A66" s="18"/>
      <c r="B66" s="18"/>
      <c r="C66" s="18"/>
      <c r="D66" s="18"/>
      <c r="E66" s="19"/>
      <c r="F66" s="19"/>
    </row>
    <row r="67" customFormat="false" ht="15" hidden="false" customHeight="false" outlineLevel="0" collapsed="false">
      <c r="A67" s="18"/>
      <c r="B67" s="18"/>
      <c r="C67" s="18"/>
      <c r="D67" s="18"/>
      <c r="E67" s="19"/>
      <c r="F67" s="19"/>
    </row>
    <row r="68" customFormat="false" ht="15" hidden="false" customHeight="false" outlineLevel="0" collapsed="false">
      <c r="A68" s="18"/>
      <c r="B68" s="18"/>
      <c r="C68" s="18"/>
      <c r="D68" s="18"/>
      <c r="E68" s="19"/>
      <c r="F68" s="19"/>
    </row>
    <row r="69" customFormat="false" ht="15" hidden="false" customHeight="false" outlineLevel="0" collapsed="false">
      <c r="A69" s="18"/>
      <c r="B69" s="18"/>
      <c r="C69" s="18"/>
      <c r="D69" s="18"/>
      <c r="E69" s="19"/>
      <c r="F69" s="19"/>
    </row>
    <row r="70" customFormat="false" ht="15" hidden="false" customHeight="false" outlineLevel="0" collapsed="false">
      <c r="A70" s="18"/>
      <c r="B70" s="18"/>
      <c r="C70" s="18"/>
      <c r="D70" s="18"/>
      <c r="E70" s="19"/>
      <c r="F70" s="19"/>
    </row>
    <row r="71" customFormat="false" ht="15" hidden="false" customHeight="false" outlineLevel="0" collapsed="false">
      <c r="A71" s="18"/>
      <c r="B71" s="18"/>
      <c r="C71" s="18"/>
      <c r="D71" s="18"/>
      <c r="E71" s="19"/>
      <c r="F71" s="19"/>
    </row>
    <row r="72" customFormat="false" ht="15" hidden="false" customHeight="false" outlineLevel="0" collapsed="false">
      <c r="A72" s="18"/>
      <c r="B72" s="18"/>
      <c r="C72" s="18"/>
      <c r="D72" s="18"/>
      <c r="E72" s="19"/>
      <c r="F72" s="19"/>
    </row>
    <row r="73" customFormat="false" ht="15" hidden="false" customHeight="false" outlineLevel="0" collapsed="false">
      <c r="A73" s="18"/>
      <c r="B73" s="18"/>
      <c r="C73" s="18"/>
      <c r="D73" s="18"/>
      <c r="E73" s="19"/>
      <c r="F73" s="19"/>
    </row>
    <row r="74" customFormat="false" ht="15" hidden="false" customHeight="false" outlineLevel="0" collapsed="false">
      <c r="A74" s="18"/>
      <c r="B74" s="18"/>
      <c r="C74" s="18"/>
      <c r="D74" s="18"/>
      <c r="E74" s="19"/>
      <c r="F74" s="19"/>
    </row>
    <row r="75" customFormat="false" ht="15" hidden="false" customHeight="false" outlineLevel="0" collapsed="false">
      <c r="A75" s="18"/>
      <c r="B75" s="18"/>
      <c r="C75" s="18"/>
      <c r="D75" s="18"/>
      <c r="E75" s="19"/>
      <c r="F75" s="19"/>
    </row>
    <row r="76" customFormat="false" ht="15" hidden="false" customHeight="false" outlineLevel="0" collapsed="false">
      <c r="A76" s="18"/>
      <c r="B76" s="18"/>
      <c r="C76" s="18"/>
      <c r="D76" s="18"/>
      <c r="E76" s="19"/>
      <c r="F76" s="19"/>
    </row>
    <row r="77" customFormat="false" ht="15" hidden="false" customHeight="false" outlineLevel="0" collapsed="false">
      <c r="A77" s="18"/>
      <c r="B77" s="18"/>
      <c r="C77" s="18"/>
      <c r="D77" s="18"/>
      <c r="E77" s="19"/>
      <c r="F77" s="19"/>
    </row>
    <row r="78" customFormat="false" ht="15" hidden="false" customHeight="false" outlineLevel="0" collapsed="false">
      <c r="A78" s="18"/>
      <c r="B78" s="18"/>
      <c r="C78" s="18"/>
      <c r="D78" s="18"/>
      <c r="E78" s="19"/>
      <c r="F78" s="19"/>
    </row>
    <row r="79" customFormat="false" ht="15" hidden="false" customHeight="false" outlineLevel="0" collapsed="false">
      <c r="A79" s="18"/>
      <c r="B79" s="18"/>
      <c r="C79" s="18"/>
      <c r="D79" s="18"/>
      <c r="E79" s="19"/>
      <c r="F79" s="19"/>
    </row>
    <row r="80" customFormat="false" ht="15" hidden="false" customHeight="false" outlineLevel="0" collapsed="false">
      <c r="A80" s="18"/>
      <c r="B80" s="18"/>
      <c r="C80" s="18"/>
      <c r="D80" s="18"/>
      <c r="E80" s="19"/>
      <c r="F80" s="19"/>
    </row>
    <row r="81" customFormat="false" ht="15" hidden="false" customHeight="false" outlineLevel="0" collapsed="false">
      <c r="A81" s="18"/>
      <c r="B81" s="18"/>
      <c r="C81" s="18"/>
      <c r="D81" s="18"/>
      <c r="E81" s="19"/>
      <c r="F81" s="19"/>
    </row>
    <row r="82" customFormat="false" ht="15" hidden="false" customHeight="false" outlineLevel="0" collapsed="false">
      <c r="A82" s="18"/>
      <c r="B82" s="18"/>
      <c r="C82" s="18"/>
      <c r="D82" s="18"/>
      <c r="E82" s="19"/>
      <c r="F82" s="19"/>
    </row>
    <row r="83" customFormat="false" ht="15" hidden="false" customHeight="false" outlineLevel="0" collapsed="false">
      <c r="A83" s="18"/>
      <c r="B83" s="18"/>
      <c r="C83" s="18"/>
      <c r="D83" s="18"/>
      <c r="E83" s="19"/>
      <c r="F83" s="19"/>
    </row>
    <row r="84" customFormat="false" ht="15" hidden="false" customHeight="false" outlineLevel="0" collapsed="false">
      <c r="A84" s="18"/>
      <c r="B84" s="18"/>
      <c r="C84" s="18"/>
      <c r="D84" s="18"/>
      <c r="E84" s="19"/>
      <c r="F84" s="19"/>
    </row>
    <row r="85" customFormat="false" ht="15" hidden="false" customHeight="false" outlineLevel="0" collapsed="false">
      <c r="A85" s="18"/>
      <c r="B85" s="18"/>
      <c r="C85" s="18"/>
      <c r="D85" s="18"/>
      <c r="E85" s="19"/>
      <c r="F85" s="19"/>
    </row>
    <row r="86" customFormat="false" ht="15" hidden="false" customHeight="false" outlineLevel="0" collapsed="false">
      <c r="A86" s="18"/>
      <c r="B86" s="18"/>
      <c r="C86" s="18"/>
      <c r="D86" s="18"/>
      <c r="E86" s="19"/>
      <c r="F86" s="19"/>
    </row>
    <row r="87" customFormat="false" ht="15" hidden="false" customHeight="false" outlineLevel="0" collapsed="false">
      <c r="A87" s="18"/>
      <c r="B87" s="18"/>
      <c r="C87" s="18"/>
      <c r="D87" s="18"/>
      <c r="E87" s="19"/>
      <c r="F87" s="19"/>
    </row>
    <row r="88" customFormat="false" ht="15" hidden="false" customHeight="false" outlineLevel="0" collapsed="false">
      <c r="A88" s="18"/>
      <c r="B88" s="18"/>
      <c r="C88" s="18"/>
      <c r="D88" s="18"/>
      <c r="E88" s="19"/>
      <c r="F88" s="19"/>
    </row>
    <row r="89" customFormat="false" ht="15" hidden="false" customHeight="false" outlineLevel="0" collapsed="false">
      <c r="A89" s="18"/>
      <c r="B89" s="18"/>
      <c r="C89" s="18"/>
      <c r="D89" s="18"/>
      <c r="E89" s="19"/>
      <c r="F89" s="19"/>
    </row>
    <row r="90" customFormat="false" ht="15" hidden="false" customHeight="false" outlineLevel="0" collapsed="false">
      <c r="A90" s="18"/>
      <c r="B90" s="18"/>
      <c r="C90" s="18"/>
      <c r="D90" s="18"/>
      <c r="E90" s="19"/>
      <c r="F90" s="19"/>
    </row>
    <row r="91" customFormat="false" ht="15" hidden="false" customHeight="false" outlineLevel="0" collapsed="false">
      <c r="A91" s="18"/>
      <c r="B91" s="18"/>
      <c r="C91" s="18"/>
      <c r="D91" s="18"/>
      <c r="E91" s="19"/>
      <c r="F91" s="19"/>
    </row>
    <row r="92" customFormat="false" ht="15" hidden="false" customHeight="false" outlineLevel="0" collapsed="false">
      <c r="A92" s="18"/>
      <c r="B92" s="18"/>
      <c r="C92" s="18"/>
      <c r="D92" s="18"/>
      <c r="E92" s="19"/>
      <c r="F92" s="19"/>
    </row>
    <row r="93" customFormat="false" ht="15" hidden="false" customHeight="false" outlineLevel="0" collapsed="false">
      <c r="A93" s="18"/>
      <c r="B93" s="18"/>
      <c r="C93" s="18"/>
      <c r="D93" s="18"/>
      <c r="E93" s="19"/>
      <c r="F93" s="19"/>
    </row>
    <row r="94" customFormat="false" ht="15" hidden="false" customHeight="false" outlineLevel="0" collapsed="false">
      <c r="A94" s="18"/>
      <c r="B94" s="18"/>
      <c r="C94" s="18"/>
      <c r="D94" s="18"/>
      <c r="E94" s="19"/>
      <c r="F94" s="19"/>
    </row>
    <row r="95" customFormat="false" ht="15" hidden="false" customHeight="false" outlineLevel="0" collapsed="false">
      <c r="A95" s="18"/>
      <c r="B95" s="18"/>
      <c r="C95" s="18"/>
      <c r="D95" s="18"/>
      <c r="E95" s="19"/>
      <c r="F95" s="19"/>
    </row>
    <row r="96" customFormat="false" ht="15" hidden="false" customHeight="false" outlineLevel="0" collapsed="false">
      <c r="A96" s="18"/>
      <c r="B96" s="18"/>
      <c r="C96" s="18"/>
      <c r="D96" s="18"/>
      <c r="E96" s="19"/>
      <c r="F96" s="19"/>
    </row>
    <row r="97" customFormat="false" ht="15" hidden="false" customHeight="false" outlineLevel="0" collapsed="false">
      <c r="A97" s="18"/>
      <c r="B97" s="18"/>
      <c r="C97" s="18"/>
      <c r="D97" s="18"/>
      <c r="E97" s="19"/>
      <c r="F97" s="19"/>
    </row>
    <row r="98" customFormat="false" ht="15" hidden="false" customHeight="false" outlineLevel="0" collapsed="false">
      <c r="A98" s="18"/>
      <c r="B98" s="18"/>
      <c r="C98" s="18"/>
      <c r="D98" s="18"/>
      <c r="E98" s="19"/>
      <c r="F98" s="19"/>
    </row>
    <row r="99" customFormat="false" ht="15" hidden="false" customHeight="false" outlineLevel="0" collapsed="false">
      <c r="A99" s="18"/>
      <c r="B99" s="18"/>
      <c r="C99" s="18"/>
      <c r="D99" s="18"/>
      <c r="E99" s="19"/>
      <c r="F99" s="19"/>
    </row>
    <row r="100" customFormat="false" ht="15" hidden="false" customHeight="false" outlineLevel="0" collapsed="false">
      <c r="A100" s="18"/>
      <c r="B100" s="18"/>
      <c r="C100" s="18"/>
      <c r="D100" s="18"/>
      <c r="E100" s="19"/>
      <c r="F100" s="19"/>
    </row>
    <row r="101" customFormat="false" ht="15" hidden="false" customHeight="false" outlineLevel="0" collapsed="false">
      <c r="A101" s="18"/>
      <c r="B101" s="18"/>
      <c r="C101" s="18"/>
      <c r="D101" s="18"/>
      <c r="E101" s="19"/>
      <c r="F101" s="19"/>
    </row>
    <row r="102" customFormat="false" ht="15" hidden="false" customHeight="false" outlineLevel="0" collapsed="false">
      <c r="A102" s="18"/>
      <c r="B102" s="18"/>
      <c r="C102" s="18"/>
      <c r="D102" s="18"/>
      <c r="E102" s="19"/>
      <c r="F102" s="19"/>
    </row>
    <row r="103" customFormat="false" ht="15" hidden="false" customHeight="false" outlineLevel="0" collapsed="false">
      <c r="A103" s="18"/>
      <c r="B103" s="18"/>
      <c r="C103" s="18"/>
      <c r="D103" s="18"/>
      <c r="E103" s="19"/>
      <c r="F103" s="19"/>
    </row>
    <row r="104" customFormat="false" ht="15" hidden="false" customHeight="false" outlineLevel="0" collapsed="false">
      <c r="A104" s="18"/>
      <c r="B104" s="18"/>
      <c r="C104" s="18"/>
      <c r="D104" s="18"/>
      <c r="E104" s="19"/>
      <c r="F104" s="19"/>
    </row>
  </sheetData>
  <dataValidations count="1">
    <dataValidation allowBlank="true" errorStyle="warning" operator="between" showDropDown="false" showErrorMessage="true" showInputMessage="false" sqref="E5:F104" type="list">
      <formula1>Catálogos!$D$5:$D$39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3"/>
    <col collapsed="false" customWidth="true" hidden="false" outlineLevel="0" max="10" min="10" style="0" width="8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1"/>
  </cols>
  <sheetData>
    <row r="1" customFormat="false" ht="17.35" hidden="false" customHeight="false" outlineLevel="0" collapsed="false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132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23" t="s">
        <v>133</v>
      </c>
      <c r="B4" s="24" t="n">
        <v>46023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23" t="s">
        <v>134</v>
      </c>
      <c r="B5" s="24" t="n">
        <v>46387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25" t="s">
        <v>135</v>
      </c>
      <c r="B7" s="2"/>
      <c r="C7" s="2"/>
      <c r="D7" s="2"/>
      <c r="E7" s="2"/>
      <c r="F7" s="2"/>
      <c r="G7" s="2"/>
      <c r="H7" s="2"/>
      <c r="I7" s="2"/>
      <c r="J7" s="25" t="s">
        <v>136</v>
      </c>
      <c r="K7" s="2"/>
      <c r="L7" s="2"/>
      <c r="M7" s="2"/>
    </row>
    <row r="8" customFormat="false" ht="31.5" hidden="false" customHeight="true" outlineLevel="0" collapsed="false">
      <c r="A8" s="9" t="s">
        <v>28</v>
      </c>
      <c r="B8" s="9" t="s">
        <v>137</v>
      </c>
      <c r="C8" s="9" t="s">
        <v>138</v>
      </c>
      <c r="D8" s="9" t="s">
        <v>139</v>
      </c>
      <c r="E8" s="9" t="s">
        <v>34</v>
      </c>
      <c r="F8" s="9" t="s">
        <v>140</v>
      </c>
      <c r="G8" s="9" t="s">
        <v>141</v>
      </c>
      <c r="H8" s="9" t="s">
        <v>142</v>
      </c>
      <c r="I8" s="2"/>
      <c r="J8" s="9" t="s">
        <v>83</v>
      </c>
      <c r="K8" s="9" t="s">
        <v>84</v>
      </c>
      <c r="L8" s="9" t="s">
        <v>143</v>
      </c>
      <c r="M8" s="9" t="s">
        <v>144</v>
      </c>
    </row>
    <row r="9" customFormat="false" ht="15" hidden="false" customHeight="false" outlineLevel="0" collapsed="false">
      <c r="A9" s="26" t="str">
        <f aca="false">IF(Personal!B5="","",Personal!B5)</f>
        <v>Ana López</v>
      </c>
      <c r="B9" s="26" t="n">
        <f aca="false">IF($A9="","",COUNTIFS(Asistencia!$B$5:$B$504,$A9,Asistencia!$A$5:$A$504,"&gt;="&amp;$B$4,Asistencia!$A$5:$A$504,"&lt;="&amp;$B$5)-COUNTIFS(Asistencia!$B$5:$B$504,$A9,Asistencia!$D$5:$D$504,"Ausente",Asistencia!$A$5:$A$504,"&gt;="&amp;$B$4,Asistencia!$A$5:$A$504,"&lt;="&amp;$B$5))</f>
        <v>1</v>
      </c>
      <c r="C9" s="26" t="n">
        <f aca="false">IF($A9="","",COUNTIFS(Asistencia!$B$5:$B$504,$A9,Asistencia!$D$5:$D$504,"Ausente",Asistencia!$A$5:$A$504,"&gt;="&amp;$B$4,Asistencia!$A$5:$A$504,"&lt;="&amp;$B$5))</f>
        <v>0</v>
      </c>
      <c r="D9" s="27" t="n">
        <f aca="false">IF($A9="","",COUNTIFS(Asistencia!$B$5:$B$504,$A9,Asistencia!$D$5:$D$504,"Ausente",Asistencia!$I$5:$I$504,"",Asistencia!$A$5:$A$504,"&gt;="&amp;$B$4,Asistencia!$A$5:$A$504,"&lt;="&amp;$B$5))</f>
        <v>0</v>
      </c>
      <c r="E9" s="28" t="n">
        <f aca="false">IF($A9="","",SUMIFS(Asistencia!$H$5:$H$504,Asistencia!$B$5:$B$504,$A9,Asistencia!$A$5:$A$504,"&gt;="&amp;$B$4,Asistencia!$A$5:$A$504,"&lt;="&amp;$B$5))</f>
        <v>8</v>
      </c>
      <c r="F9" s="28" t="n">
        <f aca="false">IF($A9="","",SUMIFS('Registro por hora'!$H$5:$H$2004,'Registro por hora'!$B$5:$B$2004,$A9,'Registro por hora'!$A$5:$A$2004,"&gt;="&amp;$B$4,'Registro por hora'!$A$5:$A$2004,"&lt;="&amp;$B$5))</f>
        <v>8</v>
      </c>
      <c r="G9" s="29" t="n">
        <f aca="false">IF(OR($A9="",N(E9)=0),"",F9/E9)</f>
        <v>1</v>
      </c>
      <c r="H9" s="28" t="n">
        <f aca="false">IF(OR($A9="",N(B9)=0),"",E9/B9)</f>
        <v>8</v>
      </c>
      <c r="I9" s="2"/>
      <c r="J9" s="26" t="str">
        <f aca="false">IF(Metas!A5="","",Metas!A5)</f>
        <v>M1</v>
      </c>
      <c r="K9" s="26" t="str">
        <f aca="false">IF(Metas!A5="","",Metas!B5)</f>
        <v>Incrementar ventas 15% en el año</v>
      </c>
      <c r="L9" s="28" t="n">
        <f aca="false">IF(J9="","",SUMIFS('Registro por hora'!$H$5:$H$2004,'Registro por hora'!$F$5:$F$2004,J9,'Registro por hora'!$A$5:$A$2004,"&gt;="&amp;$B$4,'Registro por hora'!$A$5:$A$2004,"&lt;="&amp;$B$5))</f>
        <v>5</v>
      </c>
      <c r="M9" s="29" t="n">
        <f aca="false">IF(OR(J9="",SUM($L$9:$L$58)=0),"",L9/SUM($L$9:$L$58))</f>
        <v>0.625</v>
      </c>
    </row>
    <row r="10" customFormat="false" ht="15" hidden="false" customHeight="false" outlineLevel="0" collapsed="false">
      <c r="A10" s="26" t="str">
        <f aca="false">IF(Personal!B6="","",Personal!B6)</f>
        <v>Carlos Ruiz</v>
      </c>
      <c r="B10" s="26" t="n">
        <f aca="false">IF($A10="","",COUNTIFS(Asistencia!$B$5:$B$504,$A10,Asistencia!$A$5:$A$504,"&gt;="&amp;$B$4,Asistencia!$A$5:$A$504,"&lt;="&amp;$B$5)-COUNTIFS(Asistencia!$B$5:$B$504,$A10,Asistencia!$D$5:$D$504,"Ausente",Asistencia!$A$5:$A$504,"&gt;="&amp;$B$4,Asistencia!$A$5:$A$504,"&lt;="&amp;$B$5))</f>
        <v>0</v>
      </c>
      <c r="C10" s="26" t="n">
        <f aca="false">IF($A10="","",COUNTIFS(Asistencia!$B$5:$B$504,$A10,Asistencia!$D$5:$D$504,"Ausente",Asistencia!$A$5:$A$504,"&gt;="&amp;$B$4,Asistencia!$A$5:$A$504,"&lt;="&amp;$B$5))</f>
        <v>1</v>
      </c>
      <c r="D10" s="27" t="n">
        <f aca="false">IF($A10="","",COUNTIFS(Asistencia!$B$5:$B$504,$A10,Asistencia!$D$5:$D$504,"Ausente",Asistencia!$I$5:$I$504,"",Asistencia!$A$5:$A$504,"&gt;="&amp;$B$4,Asistencia!$A$5:$A$504,"&lt;="&amp;$B$5))</f>
        <v>0</v>
      </c>
      <c r="E10" s="28" t="n">
        <f aca="false">IF($A10="","",SUMIFS(Asistencia!$H$5:$H$504,Asistencia!$B$5:$B$504,$A10,Asistencia!$A$5:$A$504,"&gt;="&amp;$B$4,Asistencia!$A$5:$A$504,"&lt;="&amp;$B$5))</f>
        <v>0</v>
      </c>
      <c r="F10" s="28" t="n">
        <f aca="false">IF($A10="","",SUMIFS('Registro por hora'!$H$5:$H$2004,'Registro por hora'!$B$5:$B$2004,$A10,'Registro por hora'!$A$5:$A$2004,"&gt;="&amp;$B$4,'Registro por hora'!$A$5:$A$2004,"&lt;="&amp;$B$5))</f>
        <v>0</v>
      </c>
      <c r="G10" s="29" t="str">
        <f aca="false">IF(OR($A10="",N(E10)=0),"",F10/E10)</f>
        <v/>
      </c>
      <c r="H10" s="28" t="str">
        <f aca="false">IF(OR($A10="",N(B10)=0),"",E10/B10)</f>
        <v/>
      </c>
      <c r="I10" s="2"/>
      <c r="J10" s="26" t="str">
        <f aca="false">IF(Metas!A6="","",Metas!A6)</f>
        <v>M2</v>
      </c>
      <c r="K10" s="26" t="str">
        <f aca="false">IF(Metas!A6="","",Metas!B6)</f>
        <v>Mejorar satisfacción del cliente</v>
      </c>
      <c r="L10" s="28" t="n">
        <f aca="false">IF(J10="","",SUMIFS('Registro por hora'!$H$5:$H$2004,'Registro por hora'!$F$5:$F$2004,J10,'Registro por hora'!$A$5:$A$2004,"&gt;="&amp;$B$4,'Registro por hora'!$A$5:$A$2004,"&lt;="&amp;$B$5))</f>
        <v>1</v>
      </c>
      <c r="M10" s="29" t="n">
        <f aca="false">IF(OR(J10="",SUM($L$9:$L$58)=0),"",L10/SUM($L$9:$L$58))</f>
        <v>0.125</v>
      </c>
    </row>
    <row r="11" customFormat="false" ht="15" hidden="false" customHeight="false" outlineLevel="0" collapsed="false">
      <c r="A11" s="26" t="str">
        <f aca="false">IF(Personal!B7="","",Personal!B7)</f>
        <v>María Hernández</v>
      </c>
      <c r="B11" s="26" t="n">
        <f aca="false">IF($A11="","",COUNTIFS(Asistencia!$B$5:$B$504,$A11,Asistencia!$A$5:$A$504,"&gt;="&amp;$B$4,Asistencia!$A$5:$A$504,"&lt;="&amp;$B$5)-COUNTIFS(Asistencia!$B$5:$B$504,$A11,Asistencia!$D$5:$D$504,"Ausente",Asistencia!$A$5:$A$504,"&gt;="&amp;$B$4,Asistencia!$A$5:$A$504,"&lt;="&amp;$B$5))</f>
        <v>0</v>
      </c>
      <c r="C11" s="26" t="n">
        <f aca="false">IF($A11="","",COUNTIFS(Asistencia!$B$5:$B$504,$A11,Asistencia!$D$5:$D$504,"Ausente",Asistencia!$A$5:$A$504,"&gt;="&amp;$B$4,Asistencia!$A$5:$A$504,"&lt;="&amp;$B$5))</f>
        <v>0</v>
      </c>
      <c r="D11" s="27" t="n">
        <f aca="false">IF($A11="","",COUNTIFS(Asistencia!$B$5:$B$504,$A11,Asistencia!$D$5:$D$504,"Ausente",Asistencia!$I$5:$I$504,"",Asistencia!$A$5:$A$504,"&gt;="&amp;$B$4,Asistencia!$A$5:$A$504,"&lt;="&amp;$B$5))</f>
        <v>0</v>
      </c>
      <c r="E11" s="28" t="n">
        <f aca="false">IF($A11="","",SUMIFS(Asistencia!$H$5:$H$504,Asistencia!$B$5:$B$504,$A11,Asistencia!$A$5:$A$504,"&gt;="&amp;$B$4,Asistencia!$A$5:$A$504,"&lt;="&amp;$B$5))</f>
        <v>0</v>
      </c>
      <c r="F11" s="28" t="n">
        <f aca="false">IF($A11="","",SUMIFS('Registro por hora'!$H$5:$H$2004,'Registro por hora'!$B$5:$B$2004,$A11,'Registro por hora'!$A$5:$A$2004,"&gt;="&amp;$B$4,'Registro por hora'!$A$5:$A$2004,"&lt;="&amp;$B$5))</f>
        <v>0</v>
      </c>
      <c r="G11" s="29" t="str">
        <f aca="false">IF(OR($A11="",N(E11)=0),"",F11/E11)</f>
        <v/>
      </c>
      <c r="H11" s="28" t="str">
        <f aca="false">IF(OR($A11="",N(B11)=0),"",E11/B11)</f>
        <v/>
      </c>
      <c r="I11" s="2"/>
      <c r="J11" s="26" t="str">
        <f aca="false">IF(Metas!A7="","",Metas!A7)</f>
        <v>M3</v>
      </c>
      <c r="K11" s="26" t="str">
        <f aca="false">IF(Metas!A7="","",Metas!B7)</f>
        <v>Lanzar nuevo producto / servicio</v>
      </c>
      <c r="L11" s="28" t="n">
        <f aca="false">IF(J11="","",SUMIFS('Registro por hora'!$H$5:$H$2004,'Registro por hora'!$F$5:$F$2004,J11,'Registro por hora'!$A$5:$A$2004,"&gt;="&amp;$B$4,'Registro por hora'!$A$5:$A$2004,"&lt;="&amp;$B$5))</f>
        <v>0</v>
      </c>
      <c r="M11" s="29" t="n">
        <f aca="false">IF(OR(J11="",SUM($L$9:$L$58)=0),"",L11/SUM($L$9:$L$58))</f>
        <v>0</v>
      </c>
    </row>
    <row r="12" customFormat="false" ht="15" hidden="false" customHeight="false" outlineLevel="0" collapsed="false">
      <c r="A12" s="26" t="str">
        <f aca="false">IF(Personal!B8="","",Personal!B8)</f>
        <v/>
      </c>
      <c r="B12" s="26" t="str">
        <f aca="false">IF($A12="","",COUNTIFS(Asistencia!$B$5:$B$504,$A12,Asistencia!$A$5:$A$504,"&gt;="&amp;$B$4,Asistencia!$A$5:$A$504,"&lt;="&amp;$B$5)-COUNTIFS(Asistencia!$B$5:$B$504,$A12,Asistencia!$D$5:$D$504,"Ausente",Asistencia!$A$5:$A$504,"&gt;="&amp;$B$4,Asistencia!$A$5:$A$504,"&lt;="&amp;$B$5))</f>
        <v/>
      </c>
      <c r="C12" s="26" t="str">
        <f aca="false">IF($A12="","",COUNTIFS(Asistencia!$B$5:$B$504,$A12,Asistencia!$D$5:$D$504,"Ausente",Asistencia!$A$5:$A$504,"&gt;="&amp;$B$4,Asistencia!$A$5:$A$504,"&lt;="&amp;$B$5))</f>
        <v/>
      </c>
      <c r="D12" s="27" t="str">
        <f aca="false">IF($A12="","",COUNTIFS(Asistencia!$B$5:$B$504,$A12,Asistencia!$D$5:$D$504,"Ausente",Asistencia!$I$5:$I$504,"",Asistencia!$A$5:$A$504,"&gt;="&amp;$B$4,Asistencia!$A$5:$A$504,"&lt;="&amp;$B$5))</f>
        <v/>
      </c>
      <c r="E12" s="28" t="str">
        <f aca="false">IF($A12="","",SUMIFS(Asistencia!$H$5:$H$504,Asistencia!$B$5:$B$504,$A12,Asistencia!$A$5:$A$504,"&gt;="&amp;$B$4,Asistencia!$A$5:$A$504,"&lt;="&amp;$B$5))</f>
        <v/>
      </c>
      <c r="F12" s="28" t="str">
        <f aca="false">IF($A12="","",SUMIFS('Registro por hora'!$H$5:$H$2004,'Registro por hora'!$B$5:$B$2004,$A12,'Registro por hora'!$A$5:$A$2004,"&gt;="&amp;$B$4,'Registro por hora'!$A$5:$A$2004,"&lt;="&amp;$B$5))</f>
        <v/>
      </c>
      <c r="G12" s="29" t="str">
        <f aca="false">IF(OR($A12="",N(E12)=0),"",F12/E12)</f>
        <v/>
      </c>
      <c r="H12" s="28" t="str">
        <f aca="false">IF(OR($A12="",N(B12)=0),"",E12/B12)</f>
        <v/>
      </c>
      <c r="I12" s="2"/>
      <c r="J12" s="26" t="str">
        <f aca="false">IF(Metas!A8="","",Metas!A8)</f>
        <v>M4</v>
      </c>
      <c r="K12" s="26" t="str">
        <f aca="false">IF(Metas!A8="","",Metas!B8)</f>
        <v>Optimizar procesos internos</v>
      </c>
      <c r="L12" s="28" t="n">
        <f aca="false">IF(J12="","",SUMIFS('Registro por hora'!$H$5:$H$2004,'Registro por hora'!$F$5:$F$2004,J12,'Registro por hora'!$A$5:$A$2004,"&gt;="&amp;$B$4,'Registro por hora'!$A$5:$A$2004,"&lt;="&amp;$B$5))</f>
        <v>0</v>
      </c>
      <c r="M12" s="29" t="n">
        <f aca="false">IF(OR(J12="",SUM($L$9:$L$58)=0),"",L12/SUM($L$9:$L$58))</f>
        <v>0</v>
      </c>
    </row>
    <row r="13" customFormat="false" ht="15" hidden="false" customHeight="false" outlineLevel="0" collapsed="false">
      <c r="A13" s="26" t="str">
        <f aca="false">IF(Personal!B9="","",Personal!B9)</f>
        <v/>
      </c>
      <c r="B13" s="26" t="str">
        <f aca="false">IF($A13="","",COUNTIFS(Asistencia!$B$5:$B$504,$A13,Asistencia!$A$5:$A$504,"&gt;="&amp;$B$4,Asistencia!$A$5:$A$504,"&lt;="&amp;$B$5)-COUNTIFS(Asistencia!$B$5:$B$504,$A13,Asistencia!$D$5:$D$504,"Ausente",Asistencia!$A$5:$A$504,"&gt;="&amp;$B$4,Asistencia!$A$5:$A$504,"&lt;="&amp;$B$5))</f>
        <v/>
      </c>
      <c r="C13" s="26" t="str">
        <f aca="false">IF($A13="","",COUNTIFS(Asistencia!$B$5:$B$504,$A13,Asistencia!$D$5:$D$504,"Ausente",Asistencia!$A$5:$A$504,"&gt;="&amp;$B$4,Asistencia!$A$5:$A$504,"&lt;="&amp;$B$5))</f>
        <v/>
      </c>
      <c r="D13" s="27" t="str">
        <f aca="false">IF($A13="","",COUNTIFS(Asistencia!$B$5:$B$504,$A13,Asistencia!$D$5:$D$504,"Ausente",Asistencia!$I$5:$I$504,"",Asistencia!$A$5:$A$504,"&gt;="&amp;$B$4,Asistencia!$A$5:$A$504,"&lt;="&amp;$B$5))</f>
        <v/>
      </c>
      <c r="E13" s="28" t="str">
        <f aca="false">IF($A13="","",SUMIFS(Asistencia!$H$5:$H$504,Asistencia!$B$5:$B$504,$A13,Asistencia!$A$5:$A$504,"&gt;="&amp;$B$4,Asistencia!$A$5:$A$504,"&lt;="&amp;$B$5))</f>
        <v/>
      </c>
      <c r="F13" s="28" t="str">
        <f aca="false">IF($A13="","",SUMIFS('Registro por hora'!$H$5:$H$2004,'Registro por hora'!$B$5:$B$2004,$A13,'Registro por hora'!$A$5:$A$2004,"&gt;="&amp;$B$4,'Registro por hora'!$A$5:$A$2004,"&lt;="&amp;$B$5))</f>
        <v/>
      </c>
      <c r="G13" s="29" t="str">
        <f aca="false">IF(OR($A13="",N(E13)=0),"",F13/E13)</f>
        <v/>
      </c>
      <c r="H13" s="28" t="str">
        <f aca="false">IF(OR($A13="",N(B13)=0),"",E13/B13)</f>
        <v/>
      </c>
      <c r="I13" s="2"/>
      <c r="J13" s="26" t="str">
        <f aca="false">IF(Metas!A9="","",Metas!A9)</f>
        <v>M5</v>
      </c>
      <c r="K13" s="26" t="str">
        <f aca="false">IF(Metas!A9="","",Metas!B9)</f>
        <v>Capacitación y desarrollo del equipo</v>
      </c>
      <c r="L13" s="28" t="n">
        <f aca="false">IF(J13="","",SUMIFS('Registro por hora'!$H$5:$H$2004,'Registro por hora'!$F$5:$F$2004,J13,'Registro por hora'!$A$5:$A$2004,"&gt;="&amp;$B$4,'Registro por hora'!$A$5:$A$2004,"&lt;="&amp;$B$5))</f>
        <v>1</v>
      </c>
      <c r="M13" s="29" t="n">
        <f aca="false">IF(OR(J13="",SUM($L$9:$L$58)=0),"",L13/SUM($L$9:$L$58))</f>
        <v>0.125</v>
      </c>
    </row>
    <row r="14" customFormat="false" ht="15" hidden="false" customHeight="false" outlineLevel="0" collapsed="false">
      <c r="A14" s="26" t="str">
        <f aca="false">IF(Personal!B10="","",Personal!B10)</f>
        <v/>
      </c>
      <c r="B14" s="26" t="str">
        <f aca="false">IF($A14="","",COUNTIFS(Asistencia!$B$5:$B$504,$A14,Asistencia!$A$5:$A$504,"&gt;="&amp;$B$4,Asistencia!$A$5:$A$504,"&lt;="&amp;$B$5)-COUNTIFS(Asistencia!$B$5:$B$504,$A14,Asistencia!$D$5:$D$504,"Ausente",Asistencia!$A$5:$A$504,"&gt;="&amp;$B$4,Asistencia!$A$5:$A$504,"&lt;="&amp;$B$5))</f>
        <v/>
      </c>
      <c r="C14" s="26" t="str">
        <f aca="false">IF($A14="","",COUNTIFS(Asistencia!$B$5:$B$504,$A14,Asistencia!$D$5:$D$504,"Ausente",Asistencia!$A$5:$A$504,"&gt;="&amp;$B$4,Asistencia!$A$5:$A$504,"&lt;="&amp;$B$5))</f>
        <v/>
      </c>
      <c r="D14" s="27" t="str">
        <f aca="false">IF($A14="","",COUNTIFS(Asistencia!$B$5:$B$504,$A14,Asistencia!$D$5:$D$504,"Ausente",Asistencia!$I$5:$I$504,"",Asistencia!$A$5:$A$504,"&gt;="&amp;$B$4,Asistencia!$A$5:$A$504,"&lt;="&amp;$B$5))</f>
        <v/>
      </c>
      <c r="E14" s="28" t="str">
        <f aca="false">IF($A14="","",SUMIFS(Asistencia!$H$5:$H$504,Asistencia!$B$5:$B$504,$A14,Asistencia!$A$5:$A$504,"&gt;="&amp;$B$4,Asistencia!$A$5:$A$504,"&lt;="&amp;$B$5))</f>
        <v/>
      </c>
      <c r="F14" s="28" t="str">
        <f aca="false">IF($A14="","",SUMIFS('Registro por hora'!$H$5:$H$2004,'Registro por hora'!$B$5:$B$2004,$A14,'Registro por hora'!$A$5:$A$2004,"&gt;="&amp;$B$4,'Registro por hora'!$A$5:$A$2004,"&lt;="&amp;$B$5))</f>
        <v/>
      </c>
      <c r="G14" s="29" t="str">
        <f aca="false">IF(OR($A14="",N(E14)=0),"",F14/E14)</f>
        <v/>
      </c>
      <c r="H14" s="28" t="str">
        <f aca="false">IF(OR($A14="",N(B14)=0),"",E14/B14)</f>
        <v/>
      </c>
      <c r="I14" s="2"/>
      <c r="J14" s="26" t="str">
        <f aca="false">IF(Metas!A10="","",Metas!A10)</f>
        <v>M0</v>
      </c>
      <c r="K14" s="26" t="str">
        <f aca="false">IF(Metas!A10="","",Metas!B10)</f>
        <v>Administrativo / soporte general</v>
      </c>
      <c r="L14" s="28" t="n">
        <f aca="false">IF(J14="","",SUMIFS('Registro por hora'!$H$5:$H$2004,'Registro por hora'!$F$5:$F$2004,J14,'Registro por hora'!$A$5:$A$2004,"&gt;="&amp;$B$4,'Registro por hora'!$A$5:$A$2004,"&lt;="&amp;$B$5))</f>
        <v>1</v>
      </c>
      <c r="M14" s="29" t="n">
        <f aca="false">IF(OR(J14="",SUM($L$9:$L$58)=0),"",L14/SUM($L$9:$L$58))</f>
        <v>0.125</v>
      </c>
    </row>
    <row r="15" customFormat="false" ht="15" hidden="false" customHeight="false" outlineLevel="0" collapsed="false">
      <c r="A15" s="26" t="str">
        <f aca="false">IF(Personal!B11="","",Personal!B11)</f>
        <v/>
      </c>
      <c r="B15" s="26" t="str">
        <f aca="false">IF($A15="","",COUNTIFS(Asistencia!$B$5:$B$504,$A15,Asistencia!$A$5:$A$504,"&gt;="&amp;$B$4,Asistencia!$A$5:$A$504,"&lt;="&amp;$B$5)-COUNTIFS(Asistencia!$B$5:$B$504,$A15,Asistencia!$D$5:$D$504,"Ausente",Asistencia!$A$5:$A$504,"&gt;="&amp;$B$4,Asistencia!$A$5:$A$504,"&lt;="&amp;$B$5))</f>
        <v/>
      </c>
      <c r="C15" s="26" t="str">
        <f aca="false">IF($A15="","",COUNTIFS(Asistencia!$B$5:$B$504,$A15,Asistencia!$D$5:$D$504,"Ausente",Asistencia!$A$5:$A$504,"&gt;="&amp;$B$4,Asistencia!$A$5:$A$504,"&lt;="&amp;$B$5))</f>
        <v/>
      </c>
      <c r="D15" s="27" t="str">
        <f aca="false">IF($A15="","",COUNTIFS(Asistencia!$B$5:$B$504,$A15,Asistencia!$D$5:$D$504,"Ausente",Asistencia!$I$5:$I$504,"",Asistencia!$A$5:$A$504,"&gt;="&amp;$B$4,Asistencia!$A$5:$A$504,"&lt;="&amp;$B$5))</f>
        <v/>
      </c>
      <c r="E15" s="28" t="str">
        <f aca="false">IF($A15="","",SUMIFS(Asistencia!$H$5:$H$504,Asistencia!$B$5:$B$504,$A15,Asistencia!$A$5:$A$504,"&gt;="&amp;$B$4,Asistencia!$A$5:$A$504,"&lt;="&amp;$B$5))</f>
        <v/>
      </c>
      <c r="F15" s="28" t="str">
        <f aca="false">IF($A15="","",SUMIFS('Registro por hora'!$H$5:$H$2004,'Registro por hora'!$B$5:$B$2004,$A15,'Registro por hora'!$A$5:$A$2004,"&gt;="&amp;$B$4,'Registro por hora'!$A$5:$A$2004,"&lt;="&amp;$B$5))</f>
        <v/>
      </c>
      <c r="G15" s="29" t="str">
        <f aca="false">IF(OR($A15="",N(E15)=0),"",F15/E15)</f>
        <v/>
      </c>
      <c r="H15" s="28" t="str">
        <f aca="false">IF(OR($A15="",N(B15)=0),"",E15/B15)</f>
        <v/>
      </c>
      <c r="I15" s="2"/>
      <c r="J15" s="26" t="str">
        <f aca="false">IF(Metas!A11="","",Metas!A11)</f>
        <v/>
      </c>
      <c r="K15" s="26" t="str">
        <f aca="false">IF(Metas!A11="","",Metas!B11)</f>
        <v/>
      </c>
      <c r="L15" s="28" t="str">
        <f aca="false">IF(J15="","",SUMIFS('Registro por hora'!$H$5:$H$2004,'Registro por hora'!$F$5:$F$2004,J15,'Registro por hora'!$A$5:$A$2004,"&gt;="&amp;$B$4,'Registro por hora'!$A$5:$A$2004,"&lt;="&amp;$B$5))</f>
        <v/>
      </c>
      <c r="M15" s="29" t="str">
        <f aca="false">IF(OR(J15="",SUM($L$9:$L$58)=0),"",L15/SUM($L$9:$L$58))</f>
        <v/>
      </c>
    </row>
    <row r="16" customFormat="false" ht="15" hidden="false" customHeight="false" outlineLevel="0" collapsed="false">
      <c r="A16" s="26" t="str">
        <f aca="false">IF(Personal!B12="","",Personal!B12)</f>
        <v/>
      </c>
      <c r="B16" s="26" t="str">
        <f aca="false">IF($A16="","",COUNTIFS(Asistencia!$B$5:$B$504,$A16,Asistencia!$A$5:$A$504,"&gt;="&amp;$B$4,Asistencia!$A$5:$A$504,"&lt;="&amp;$B$5)-COUNTIFS(Asistencia!$B$5:$B$504,$A16,Asistencia!$D$5:$D$504,"Ausente",Asistencia!$A$5:$A$504,"&gt;="&amp;$B$4,Asistencia!$A$5:$A$504,"&lt;="&amp;$B$5))</f>
        <v/>
      </c>
      <c r="C16" s="26" t="str">
        <f aca="false">IF($A16="","",COUNTIFS(Asistencia!$B$5:$B$504,$A16,Asistencia!$D$5:$D$504,"Ausente",Asistencia!$A$5:$A$504,"&gt;="&amp;$B$4,Asistencia!$A$5:$A$504,"&lt;="&amp;$B$5))</f>
        <v/>
      </c>
      <c r="D16" s="27" t="str">
        <f aca="false">IF($A16="","",COUNTIFS(Asistencia!$B$5:$B$504,$A16,Asistencia!$D$5:$D$504,"Ausente",Asistencia!$I$5:$I$504,"",Asistencia!$A$5:$A$504,"&gt;="&amp;$B$4,Asistencia!$A$5:$A$504,"&lt;="&amp;$B$5))</f>
        <v/>
      </c>
      <c r="E16" s="28" t="str">
        <f aca="false">IF($A16="","",SUMIFS(Asistencia!$H$5:$H$504,Asistencia!$B$5:$B$504,$A16,Asistencia!$A$5:$A$504,"&gt;="&amp;$B$4,Asistencia!$A$5:$A$504,"&lt;="&amp;$B$5))</f>
        <v/>
      </c>
      <c r="F16" s="28" t="str">
        <f aca="false">IF($A16="","",SUMIFS('Registro por hora'!$H$5:$H$2004,'Registro por hora'!$B$5:$B$2004,$A16,'Registro por hora'!$A$5:$A$2004,"&gt;="&amp;$B$4,'Registro por hora'!$A$5:$A$2004,"&lt;="&amp;$B$5))</f>
        <v/>
      </c>
      <c r="G16" s="29" t="str">
        <f aca="false">IF(OR($A16="",N(E16)=0),"",F16/E16)</f>
        <v/>
      </c>
      <c r="H16" s="28" t="str">
        <f aca="false">IF(OR($A16="",N(B16)=0),"",E16/B16)</f>
        <v/>
      </c>
      <c r="I16" s="2"/>
      <c r="J16" s="26" t="str">
        <f aca="false">IF(Metas!A12="","",Metas!A12)</f>
        <v/>
      </c>
      <c r="K16" s="26" t="str">
        <f aca="false">IF(Metas!A12="","",Metas!B12)</f>
        <v/>
      </c>
      <c r="L16" s="28" t="str">
        <f aca="false">IF(J16="","",SUMIFS('Registro por hora'!$H$5:$H$2004,'Registro por hora'!$F$5:$F$2004,J16,'Registro por hora'!$A$5:$A$2004,"&gt;="&amp;$B$4,'Registro por hora'!$A$5:$A$2004,"&lt;="&amp;$B$5))</f>
        <v/>
      </c>
      <c r="M16" s="29" t="str">
        <f aca="false">IF(OR(J16="",SUM($L$9:$L$58)=0),"",L16/SUM($L$9:$L$58))</f>
        <v/>
      </c>
    </row>
    <row r="17" customFormat="false" ht="15" hidden="false" customHeight="false" outlineLevel="0" collapsed="false">
      <c r="A17" s="26" t="str">
        <f aca="false">IF(Personal!B13="","",Personal!B13)</f>
        <v/>
      </c>
      <c r="B17" s="26" t="str">
        <f aca="false">IF($A17="","",COUNTIFS(Asistencia!$B$5:$B$504,$A17,Asistencia!$A$5:$A$504,"&gt;="&amp;$B$4,Asistencia!$A$5:$A$504,"&lt;="&amp;$B$5)-COUNTIFS(Asistencia!$B$5:$B$504,$A17,Asistencia!$D$5:$D$504,"Ausente",Asistencia!$A$5:$A$504,"&gt;="&amp;$B$4,Asistencia!$A$5:$A$504,"&lt;="&amp;$B$5))</f>
        <v/>
      </c>
      <c r="C17" s="26" t="str">
        <f aca="false">IF($A17="","",COUNTIFS(Asistencia!$B$5:$B$504,$A17,Asistencia!$D$5:$D$504,"Ausente",Asistencia!$A$5:$A$504,"&gt;="&amp;$B$4,Asistencia!$A$5:$A$504,"&lt;="&amp;$B$5))</f>
        <v/>
      </c>
      <c r="D17" s="27" t="str">
        <f aca="false">IF($A17="","",COUNTIFS(Asistencia!$B$5:$B$504,$A17,Asistencia!$D$5:$D$504,"Ausente",Asistencia!$I$5:$I$504,"",Asistencia!$A$5:$A$504,"&gt;="&amp;$B$4,Asistencia!$A$5:$A$504,"&lt;="&amp;$B$5))</f>
        <v/>
      </c>
      <c r="E17" s="28" t="str">
        <f aca="false">IF($A17="","",SUMIFS(Asistencia!$H$5:$H$504,Asistencia!$B$5:$B$504,$A17,Asistencia!$A$5:$A$504,"&gt;="&amp;$B$4,Asistencia!$A$5:$A$504,"&lt;="&amp;$B$5))</f>
        <v/>
      </c>
      <c r="F17" s="28" t="str">
        <f aca="false">IF($A17="","",SUMIFS('Registro por hora'!$H$5:$H$2004,'Registro por hora'!$B$5:$B$2004,$A17,'Registro por hora'!$A$5:$A$2004,"&gt;="&amp;$B$4,'Registro por hora'!$A$5:$A$2004,"&lt;="&amp;$B$5))</f>
        <v/>
      </c>
      <c r="G17" s="29" t="str">
        <f aca="false">IF(OR($A17="",N(E17)=0),"",F17/E17)</f>
        <v/>
      </c>
      <c r="H17" s="28" t="str">
        <f aca="false">IF(OR($A17="",N(B17)=0),"",E17/B17)</f>
        <v/>
      </c>
      <c r="I17" s="2"/>
      <c r="J17" s="26" t="str">
        <f aca="false">IF(Metas!A13="","",Metas!A13)</f>
        <v/>
      </c>
      <c r="K17" s="26" t="str">
        <f aca="false">IF(Metas!A13="","",Metas!B13)</f>
        <v/>
      </c>
      <c r="L17" s="28" t="str">
        <f aca="false">IF(J17="","",SUMIFS('Registro por hora'!$H$5:$H$2004,'Registro por hora'!$F$5:$F$2004,J17,'Registro por hora'!$A$5:$A$2004,"&gt;="&amp;$B$4,'Registro por hora'!$A$5:$A$2004,"&lt;="&amp;$B$5))</f>
        <v/>
      </c>
      <c r="M17" s="29" t="str">
        <f aca="false">IF(OR(J17="",SUM($L$9:$L$58)=0),"",L17/SUM($L$9:$L$58))</f>
        <v/>
      </c>
    </row>
    <row r="18" customFormat="false" ht="15" hidden="false" customHeight="false" outlineLevel="0" collapsed="false">
      <c r="A18" s="26" t="str">
        <f aca="false">IF(Personal!B14="","",Personal!B14)</f>
        <v/>
      </c>
      <c r="B18" s="26" t="str">
        <f aca="false">IF($A18="","",COUNTIFS(Asistencia!$B$5:$B$504,$A18,Asistencia!$A$5:$A$504,"&gt;="&amp;$B$4,Asistencia!$A$5:$A$504,"&lt;="&amp;$B$5)-COUNTIFS(Asistencia!$B$5:$B$504,$A18,Asistencia!$D$5:$D$504,"Ausente",Asistencia!$A$5:$A$504,"&gt;="&amp;$B$4,Asistencia!$A$5:$A$504,"&lt;="&amp;$B$5))</f>
        <v/>
      </c>
      <c r="C18" s="26" t="str">
        <f aca="false">IF($A18="","",COUNTIFS(Asistencia!$B$5:$B$504,$A18,Asistencia!$D$5:$D$504,"Ausente",Asistencia!$A$5:$A$504,"&gt;="&amp;$B$4,Asistencia!$A$5:$A$504,"&lt;="&amp;$B$5))</f>
        <v/>
      </c>
      <c r="D18" s="27" t="str">
        <f aca="false">IF($A18="","",COUNTIFS(Asistencia!$B$5:$B$504,$A18,Asistencia!$D$5:$D$504,"Ausente",Asistencia!$I$5:$I$504,"",Asistencia!$A$5:$A$504,"&gt;="&amp;$B$4,Asistencia!$A$5:$A$504,"&lt;="&amp;$B$5))</f>
        <v/>
      </c>
      <c r="E18" s="28" t="str">
        <f aca="false">IF($A18="","",SUMIFS(Asistencia!$H$5:$H$504,Asistencia!$B$5:$B$504,$A18,Asistencia!$A$5:$A$504,"&gt;="&amp;$B$4,Asistencia!$A$5:$A$504,"&lt;="&amp;$B$5))</f>
        <v/>
      </c>
      <c r="F18" s="28" t="str">
        <f aca="false">IF($A18="","",SUMIFS('Registro por hora'!$H$5:$H$2004,'Registro por hora'!$B$5:$B$2004,$A18,'Registro por hora'!$A$5:$A$2004,"&gt;="&amp;$B$4,'Registro por hora'!$A$5:$A$2004,"&lt;="&amp;$B$5))</f>
        <v/>
      </c>
      <c r="G18" s="29" t="str">
        <f aca="false">IF(OR($A18="",N(E18)=0),"",F18/E18)</f>
        <v/>
      </c>
      <c r="H18" s="28" t="str">
        <f aca="false">IF(OR($A18="",N(B18)=0),"",E18/B18)</f>
        <v/>
      </c>
      <c r="I18" s="2"/>
      <c r="J18" s="26" t="str">
        <f aca="false">IF(Metas!A14="","",Metas!A14)</f>
        <v/>
      </c>
      <c r="K18" s="26" t="str">
        <f aca="false">IF(Metas!A14="","",Metas!B14)</f>
        <v/>
      </c>
      <c r="L18" s="28" t="str">
        <f aca="false">IF(J18="","",SUMIFS('Registro por hora'!$H$5:$H$2004,'Registro por hora'!$F$5:$F$2004,J18,'Registro por hora'!$A$5:$A$2004,"&gt;="&amp;$B$4,'Registro por hora'!$A$5:$A$2004,"&lt;="&amp;$B$5))</f>
        <v/>
      </c>
      <c r="M18" s="29" t="str">
        <f aca="false">IF(OR(J18="",SUM($L$9:$L$58)=0),"",L18/SUM($L$9:$L$58))</f>
        <v/>
      </c>
    </row>
    <row r="19" customFormat="false" ht="15" hidden="false" customHeight="false" outlineLevel="0" collapsed="false">
      <c r="A19" s="26" t="str">
        <f aca="false">IF(Personal!B15="","",Personal!B15)</f>
        <v/>
      </c>
      <c r="B19" s="26" t="str">
        <f aca="false">IF($A19="","",COUNTIFS(Asistencia!$B$5:$B$504,$A19,Asistencia!$A$5:$A$504,"&gt;="&amp;$B$4,Asistencia!$A$5:$A$504,"&lt;="&amp;$B$5)-COUNTIFS(Asistencia!$B$5:$B$504,$A19,Asistencia!$D$5:$D$504,"Ausente",Asistencia!$A$5:$A$504,"&gt;="&amp;$B$4,Asistencia!$A$5:$A$504,"&lt;="&amp;$B$5))</f>
        <v/>
      </c>
      <c r="C19" s="26" t="str">
        <f aca="false">IF($A19="","",COUNTIFS(Asistencia!$B$5:$B$504,$A19,Asistencia!$D$5:$D$504,"Ausente",Asistencia!$A$5:$A$504,"&gt;="&amp;$B$4,Asistencia!$A$5:$A$504,"&lt;="&amp;$B$5))</f>
        <v/>
      </c>
      <c r="D19" s="27" t="str">
        <f aca="false">IF($A19="","",COUNTIFS(Asistencia!$B$5:$B$504,$A19,Asistencia!$D$5:$D$504,"Ausente",Asistencia!$I$5:$I$504,"",Asistencia!$A$5:$A$504,"&gt;="&amp;$B$4,Asistencia!$A$5:$A$504,"&lt;="&amp;$B$5))</f>
        <v/>
      </c>
      <c r="E19" s="28" t="str">
        <f aca="false">IF($A19="","",SUMIFS(Asistencia!$H$5:$H$504,Asistencia!$B$5:$B$504,$A19,Asistencia!$A$5:$A$504,"&gt;="&amp;$B$4,Asistencia!$A$5:$A$504,"&lt;="&amp;$B$5))</f>
        <v/>
      </c>
      <c r="F19" s="28" t="str">
        <f aca="false">IF($A19="","",SUMIFS('Registro por hora'!$H$5:$H$2004,'Registro por hora'!$B$5:$B$2004,$A19,'Registro por hora'!$A$5:$A$2004,"&gt;="&amp;$B$4,'Registro por hora'!$A$5:$A$2004,"&lt;="&amp;$B$5))</f>
        <v/>
      </c>
      <c r="G19" s="29" t="str">
        <f aca="false">IF(OR($A19="",N(E19)=0),"",F19/E19)</f>
        <v/>
      </c>
      <c r="H19" s="28" t="str">
        <f aca="false">IF(OR($A19="",N(B19)=0),"",E19/B19)</f>
        <v/>
      </c>
      <c r="I19" s="2"/>
      <c r="J19" s="26" t="str">
        <f aca="false">IF(Metas!A15="","",Metas!A15)</f>
        <v/>
      </c>
      <c r="K19" s="26" t="str">
        <f aca="false">IF(Metas!A15="","",Metas!B15)</f>
        <v/>
      </c>
      <c r="L19" s="28" t="str">
        <f aca="false">IF(J19="","",SUMIFS('Registro por hora'!$H$5:$H$2004,'Registro por hora'!$F$5:$F$2004,J19,'Registro por hora'!$A$5:$A$2004,"&gt;="&amp;$B$4,'Registro por hora'!$A$5:$A$2004,"&lt;="&amp;$B$5))</f>
        <v/>
      </c>
      <c r="M19" s="29" t="str">
        <f aca="false">IF(OR(J19="",SUM($L$9:$L$58)=0),"",L19/SUM($L$9:$L$58))</f>
        <v/>
      </c>
    </row>
    <row r="20" customFormat="false" ht="15" hidden="false" customHeight="false" outlineLevel="0" collapsed="false">
      <c r="A20" s="26" t="str">
        <f aca="false">IF(Personal!B16="","",Personal!B16)</f>
        <v/>
      </c>
      <c r="B20" s="26" t="str">
        <f aca="false">IF($A20="","",COUNTIFS(Asistencia!$B$5:$B$504,$A20,Asistencia!$A$5:$A$504,"&gt;="&amp;$B$4,Asistencia!$A$5:$A$504,"&lt;="&amp;$B$5)-COUNTIFS(Asistencia!$B$5:$B$504,$A20,Asistencia!$D$5:$D$504,"Ausente",Asistencia!$A$5:$A$504,"&gt;="&amp;$B$4,Asistencia!$A$5:$A$504,"&lt;="&amp;$B$5))</f>
        <v/>
      </c>
      <c r="C20" s="26" t="str">
        <f aca="false">IF($A20="","",COUNTIFS(Asistencia!$B$5:$B$504,$A20,Asistencia!$D$5:$D$504,"Ausente",Asistencia!$A$5:$A$504,"&gt;="&amp;$B$4,Asistencia!$A$5:$A$504,"&lt;="&amp;$B$5))</f>
        <v/>
      </c>
      <c r="D20" s="27" t="str">
        <f aca="false">IF($A20="","",COUNTIFS(Asistencia!$B$5:$B$504,$A20,Asistencia!$D$5:$D$504,"Ausente",Asistencia!$I$5:$I$504,"",Asistencia!$A$5:$A$504,"&gt;="&amp;$B$4,Asistencia!$A$5:$A$504,"&lt;="&amp;$B$5))</f>
        <v/>
      </c>
      <c r="E20" s="28" t="str">
        <f aca="false">IF($A20="","",SUMIFS(Asistencia!$H$5:$H$504,Asistencia!$B$5:$B$504,$A20,Asistencia!$A$5:$A$504,"&gt;="&amp;$B$4,Asistencia!$A$5:$A$504,"&lt;="&amp;$B$5))</f>
        <v/>
      </c>
      <c r="F20" s="28" t="str">
        <f aca="false">IF($A20="","",SUMIFS('Registro por hora'!$H$5:$H$2004,'Registro por hora'!$B$5:$B$2004,$A20,'Registro por hora'!$A$5:$A$2004,"&gt;="&amp;$B$4,'Registro por hora'!$A$5:$A$2004,"&lt;="&amp;$B$5))</f>
        <v/>
      </c>
      <c r="G20" s="29" t="str">
        <f aca="false">IF(OR($A20="",N(E20)=0),"",F20/E20)</f>
        <v/>
      </c>
      <c r="H20" s="28" t="str">
        <f aca="false">IF(OR($A20="",N(B20)=0),"",E20/B20)</f>
        <v/>
      </c>
      <c r="I20" s="2"/>
      <c r="J20" s="26" t="str">
        <f aca="false">IF(Metas!A16="","",Metas!A16)</f>
        <v/>
      </c>
      <c r="K20" s="26" t="str">
        <f aca="false">IF(Metas!A16="","",Metas!B16)</f>
        <v/>
      </c>
      <c r="L20" s="28" t="str">
        <f aca="false">IF(J20="","",SUMIFS('Registro por hora'!$H$5:$H$2004,'Registro por hora'!$F$5:$F$2004,J20,'Registro por hora'!$A$5:$A$2004,"&gt;="&amp;$B$4,'Registro por hora'!$A$5:$A$2004,"&lt;="&amp;$B$5))</f>
        <v/>
      </c>
      <c r="M20" s="29" t="str">
        <f aca="false">IF(OR(J20="",SUM($L$9:$L$58)=0),"",L20/SUM($L$9:$L$58))</f>
        <v/>
      </c>
    </row>
    <row r="21" customFormat="false" ht="15" hidden="false" customHeight="false" outlineLevel="0" collapsed="false">
      <c r="A21" s="26" t="str">
        <f aca="false">IF(Personal!B17="","",Personal!B17)</f>
        <v/>
      </c>
      <c r="B21" s="26" t="str">
        <f aca="false">IF($A21="","",COUNTIFS(Asistencia!$B$5:$B$504,$A21,Asistencia!$A$5:$A$504,"&gt;="&amp;$B$4,Asistencia!$A$5:$A$504,"&lt;="&amp;$B$5)-COUNTIFS(Asistencia!$B$5:$B$504,$A21,Asistencia!$D$5:$D$504,"Ausente",Asistencia!$A$5:$A$504,"&gt;="&amp;$B$4,Asistencia!$A$5:$A$504,"&lt;="&amp;$B$5))</f>
        <v/>
      </c>
      <c r="C21" s="26" t="str">
        <f aca="false">IF($A21="","",COUNTIFS(Asistencia!$B$5:$B$504,$A21,Asistencia!$D$5:$D$504,"Ausente",Asistencia!$A$5:$A$504,"&gt;="&amp;$B$4,Asistencia!$A$5:$A$504,"&lt;="&amp;$B$5))</f>
        <v/>
      </c>
      <c r="D21" s="27" t="str">
        <f aca="false">IF($A21="","",COUNTIFS(Asistencia!$B$5:$B$504,$A21,Asistencia!$D$5:$D$504,"Ausente",Asistencia!$I$5:$I$504,"",Asistencia!$A$5:$A$504,"&gt;="&amp;$B$4,Asistencia!$A$5:$A$504,"&lt;="&amp;$B$5))</f>
        <v/>
      </c>
      <c r="E21" s="28" t="str">
        <f aca="false">IF($A21="","",SUMIFS(Asistencia!$H$5:$H$504,Asistencia!$B$5:$B$504,$A21,Asistencia!$A$5:$A$504,"&gt;="&amp;$B$4,Asistencia!$A$5:$A$504,"&lt;="&amp;$B$5))</f>
        <v/>
      </c>
      <c r="F21" s="28" t="str">
        <f aca="false">IF($A21="","",SUMIFS('Registro por hora'!$H$5:$H$2004,'Registro por hora'!$B$5:$B$2004,$A21,'Registro por hora'!$A$5:$A$2004,"&gt;="&amp;$B$4,'Registro por hora'!$A$5:$A$2004,"&lt;="&amp;$B$5))</f>
        <v/>
      </c>
      <c r="G21" s="29" t="str">
        <f aca="false">IF(OR($A21="",N(E21)=0),"",F21/E21)</f>
        <v/>
      </c>
      <c r="H21" s="28" t="str">
        <f aca="false">IF(OR($A21="",N(B21)=0),"",E21/B21)</f>
        <v/>
      </c>
      <c r="I21" s="2"/>
      <c r="J21" s="26" t="str">
        <f aca="false">IF(Metas!A17="","",Metas!A17)</f>
        <v/>
      </c>
      <c r="K21" s="26" t="str">
        <f aca="false">IF(Metas!A17="","",Metas!B17)</f>
        <v/>
      </c>
      <c r="L21" s="28" t="str">
        <f aca="false">IF(J21="","",SUMIFS('Registro por hora'!$H$5:$H$2004,'Registro por hora'!$F$5:$F$2004,J21,'Registro por hora'!$A$5:$A$2004,"&gt;="&amp;$B$4,'Registro por hora'!$A$5:$A$2004,"&lt;="&amp;$B$5))</f>
        <v/>
      </c>
      <c r="M21" s="29" t="str">
        <f aca="false">IF(OR(J21="",SUM($L$9:$L$58)=0),"",L21/SUM($L$9:$L$58))</f>
        <v/>
      </c>
    </row>
    <row r="22" customFormat="false" ht="15" hidden="false" customHeight="false" outlineLevel="0" collapsed="false">
      <c r="A22" s="26" t="str">
        <f aca="false">IF(Personal!B18="","",Personal!B18)</f>
        <v/>
      </c>
      <c r="B22" s="26" t="str">
        <f aca="false">IF($A22="","",COUNTIFS(Asistencia!$B$5:$B$504,$A22,Asistencia!$A$5:$A$504,"&gt;="&amp;$B$4,Asistencia!$A$5:$A$504,"&lt;="&amp;$B$5)-COUNTIFS(Asistencia!$B$5:$B$504,$A22,Asistencia!$D$5:$D$504,"Ausente",Asistencia!$A$5:$A$504,"&gt;="&amp;$B$4,Asistencia!$A$5:$A$504,"&lt;="&amp;$B$5))</f>
        <v/>
      </c>
      <c r="C22" s="26" t="str">
        <f aca="false">IF($A22="","",COUNTIFS(Asistencia!$B$5:$B$504,$A22,Asistencia!$D$5:$D$504,"Ausente",Asistencia!$A$5:$A$504,"&gt;="&amp;$B$4,Asistencia!$A$5:$A$504,"&lt;="&amp;$B$5))</f>
        <v/>
      </c>
      <c r="D22" s="27" t="str">
        <f aca="false">IF($A22="","",COUNTIFS(Asistencia!$B$5:$B$504,$A22,Asistencia!$D$5:$D$504,"Ausente",Asistencia!$I$5:$I$504,"",Asistencia!$A$5:$A$504,"&gt;="&amp;$B$4,Asistencia!$A$5:$A$504,"&lt;="&amp;$B$5))</f>
        <v/>
      </c>
      <c r="E22" s="28" t="str">
        <f aca="false">IF($A22="","",SUMIFS(Asistencia!$H$5:$H$504,Asistencia!$B$5:$B$504,$A22,Asistencia!$A$5:$A$504,"&gt;="&amp;$B$4,Asistencia!$A$5:$A$504,"&lt;="&amp;$B$5))</f>
        <v/>
      </c>
      <c r="F22" s="28" t="str">
        <f aca="false">IF($A22="","",SUMIFS('Registro por hora'!$H$5:$H$2004,'Registro por hora'!$B$5:$B$2004,$A22,'Registro por hora'!$A$5:$A$2004,"&gt;="&amp;$B$4,'Registro por hora'!$A$5:$A$2004,"&lt;="&amp;$B$5))</f>
        <v/>
      </c>
      <c r="G22" s="29" t="str">
        <f aca="false">IF(OR($A22="",N(E22)=0),"",F22/E22)</f>
        <v/>
      </c>
      <c r="H22" s="28" t="str">
        <f aca="false">IF(OR($A22="",N(B22)=0),"",E22/B22)</f>
        <v/>
      </c>
      <c r="I22" s="2"/>
      <c r="J22" s="26" t="str">
        <f aca="false">IF(Metas!A18="","",Metas!A18)</f>
        <v/>
      </c>
      <c r="K22" s="26" t="str">
        <f aca="false">IF(Metas!A18="","",Metas!B18)</f>
        <v/>
      </c>
      <c r="L22" s="28" t="str">
        <f aca="false">IF(J22="","",SUMIFS('Registro por hora'!$H$5:$H$2004,'Registro por hora'!$F$5:$F$2004,J22,'Registro por hora'!$A$5:$A$2004,"&gt;="&amp;$B$4,'Registro por hora'!$A$5:$A$2004,"&lt;="&amp;$B$5))</f>
        <v/>
      </c>
      <c r="M22" s="29" t="str">
        <f aca="false">IF(OR(J22="",SUM($L$9:$L$58)=0),"",L22/SUM($L$9:$L$58))</f>
        <v/>
      </c>
    </row>
    <row r="23" customFormat="false" ht="15" hidden="false" customHeight="false" outlineLevel="0" collapsed="false">
      <c r="A23" s="26" t="str">
        <f aca="false">IF(Personal!B19="","",Personal!B19)</f>
        <v/>
      </c>
      <c r="B23" s="26" t="str">
        <f aca="false">IF($A23="","",COUNTIFS(Asistencia!$B$5:$B$504,$A23,Asistencia!$A$5:$A$504,"&gt;="&amp;$B$4,Asistencia!$A$5:$A$504,"&lt;="&amp;$B$5)-COUNTIFS(Asistencia!$B$5:$B$504,$A23,Asistencia!$D$5:$D$504,"Ausente",Asistencia!$A$5:$A$504,"&gt;="&amp;$B$4,Asistencia!$A$5:$A$504,"&lt;="&amp;$B$5))</f>
        <v/>
      </c>
      <c r="C23" s="26" t="str">
        <f aca="false">IF($A23="","",COUNTIFS(Asistencia!$B$5:$B$504,$A23,Asistencia!$D$5:$D$504,"Ausente",Asistencia!$A$5:$A$504,"&gt;="&amp;$B$4,Asistencia!$A$5:$A$504,"&lt;="&amp;$B$5))</f>
        <v/>
      </c>
      <c r="D23" s="27" t="str">
        <f aca="false">IF($A23="","",COUNTIFS(Asistencia!$B$5:$B$504,$A23,Asistencia!$D$5:$D$504,"Ausente",Asistencia!$I$5:$I$504,"",Asistencia!$A$5:$A$504,"&gt;="&amp;$B$4,Asistencia!$A$5:$A$504,"&lt;="&amp;$B$5))</f>
        <v/>
      </c>
      <c r="E23" s="28" t="str">
        <f aca="false">IF($A23="","",SUMIFS(Asistencia!$H$5:$H$504,Asistencia!$B$5:$B$504,$A23,Asistencia!$A$5:$A$504,"&gt;="&amp;$B$4,Asistencia!$A$5:$A$504,"&lt;="&amp;$B$5))</f>
        <v/>
      </c>
      <c r="F23" s="28" t="str">
        <f aca="false">IF($A23="","",SUMIFS('Registro por hora'!$H$5:$H$2004,'Registro por hora'!$B$5:$B$2004,$A23,'Registro por hora'!$A$5:$A$2004,"&gt;="&amp;$B$4,'Registro por hora'!$A$5:$A$2004,"&lt;="&amp;$B$5))</f>
        <v/>
      </c>
      <c r="G23" s="29" t="str">
        <f aca="false">IF(OR($A23="",N(E23)=0),"",F23/E23)</f>
        <v/>
      </c>
      <c r="H23" s="28" t="str">
        <f aca="false">IF(OR($A23="",N(B23)=0),"",E23/B23)</f>
        <v/>
      </c>
      <c r="I23" s="2"/>
      <c r="J23" s="26" t="str">
        <f aca="false">IF(Metas!A19="","",Metas!A19)</f>
        <v/>
      </c>
      <c r="K23" s="26" t="str">
        <f aca="false">IF(Metas!A19="","",Metas!B19)</f>
        <v/>
      </c>
      <c r="L23" s="28" t="str">
        <f aca="false">IF(J23="","",SUMIFS('Registro por hora'!$H$5:$H$2004,'Registro por hora'!$F$5:$F$2004,J23,'Registro por hora'!$A$5:$A$2004,"&gt;="&amp;$B$4,'Registro por hora'!$A$5:$A$2004,"&lt;="&amp;$B$5))</f>
        <v/>
      </c>
      <c r="M23" s="29" t="str">
        <f aca="false">IF(OR(J23="",SUM($L$9:$L$58)=0),"",L23/SUM($L$9:$L$58))</f>
        <v/>
      </c>
    </row>
    <row r="24" customFormat="false" ht="15" hidden="false" customHeight="false" outlineLevel="0" collapsed="false">
      <c r="A24" s="26" t="str">
        <f aca="false">IF(Personal!B20="","",Personal!B20)</f>
        <v/>
      </c>
      <c r="B24" s="26" t="str">
        <f aca="false">IF($A24="","",COUNTIFS(Asistencia!$B$5:$B$504,$A24,Asistencia!$A$5:$A$504,"&gt;="&amp;$B$4,Asistencia!$A$5:$A$504,"&lt;="&amp;$B$5)-COUNTIFS(Asistencia!$B$5:$B$504,$A24,Asistencia!$D$5:$D$504,"Ausente",Asistencia!$A$5:$A$504,"&gt;="&amp;$B$4,Asistencia!$A$5:$A$504,"&lt;="&amp;$B$5))</f>
        <v/>
      </c>
      <c r="C24" s="26" t="str">
        <f aca="false">IF($A24="","",COUNTIFS(Asistencia!$B$5:$B$504,$A24,Asistencia!$D$5:$D$504,"Ausente",Asistencia!$A$5:$A$504,"&gt;="&amp;$B$4,Asistencia!$A$5:$A$504,"&lt;="&amp;$B$5))</f>
        <v/>
      </c>
      <c r="D24" s="27" t="str">
        <f aca="false">IF($A24="","",COUNTIFS(Asistencia!$B$5:$B$504,$A24,Asistencia!$D$5:$D$504,"Ausente",Asistencia!$I$5:$I$504,"",Asistencia!$A$5:$A$504,"&gt;="&amp;$B$4,Asistencia!$A$5:$A$504,"&lt;="&amp;$B$5))</f>
        <v/>
      </c>
      <c r="E24" s="28" t="str">
        <f aca="false">IF($A24="","",SUMIFS(Asistencia!$H$5:$H$504,Asistencia!$B$5:$B$504,$A24,Asistencia!$A$5:$A$504,"&gt;="&amp;$B$4,Asistencia!$A$5:$A$504,"&lt;="&amp;$B$5))</f>
        <v/>
      </c>
      <c r="F24" s="28" t="str">
        <f aca="false">IF($A24="","",SUMIFS('Registro por hora'!$H$5:$H$2004,'Registro por hora'!$B$5:$B$2004,$A24,'Registro por hora'!$A$5:$A$2004,"&gt;="&amp;$B$4,'Registro por hora'!$A$5:$A$2004,"&lt;="&amp;$B$5))</f>
        <v/>
      </c>
      <c r="G24" s="29" t="str">
        <f aca="false">IF(OR($A24="",N(E24)=0),"",F24/E24)</f>
        <v/>
      </c>
      <c r="H24" s="28" t="str">
        <f aca="false">IF(OR($A24="",N(B24)=0),"",E24/B24)</f>
        <v/>
      </c>
      <c r="I24" s="2"/>
      <c r="J24" s="26" t="str">
        <f aca="false">IF(Metas!A20="","",Metas!A20)</f>
        <v/>
      </c>
      <c r="K24" s="26" t="str">
        <f aca="false">IF(Metas!A20="","",Metas!B20)</f>
        <v/>
      </c>
      <c r="L24" s="28" t="str">
        <f aca="false">IF(J24="","",SUMIFS('Registro por hora'!$H$5:$H$2004,'Registro por hora'!$F$5:$F$2004,J24,'Registro por hora'!$A$5:$A$2004,"&gt;="&amp;$B$4,'Registro por hora'!$A$5:$A$2004,"&lt;="&amp;$B$5))</f>
        <v/>
      </c>
      <c r="M24" s="29" t="str">
        <f aca="false">IF(OR(J24="",SUM($L$9:$L$58)=0),"",L24/SUM($L$9:$L$58))</f>
        <v/>
      </c>
    </row>
    <row r="25" customFormat="false" ht="15" hidden="false" customHeight="false" outlineLevel="0" collapsed="false">
      <c r="A25" s="26" t="str">
        <f aca="false">IF(Personal!B21="","",Personal!B21)</f>
        <v/>
      </c>
      <c r="B25" s="26" t="str">
        <f aca="false">IF($A25="","",COUNTIFS(Asistencia!$B$5:$B$504,$A25,Asistencia!$A$5:$A$504,"&gt;="&amp;$B$4,Asistencia!$A$5:$A$504,"&lt;="&amp;$B$5)-COUNTIFS(Asistencia!$B$5:$B$504,$A25,Asistencia!$D$5:$D$504,"Ausente",Asistencia!$A$5:$A$504,"&gt;="&amp;$B$4,Asistencia!$A$5:$A$504,"&lt;="&amp;$B$5))</f>
        <v/>
      </c>
      <c r="C25" s="26" t="str">
        <f aca="false">IF($A25="","",COUNTIFS(Asistencia!$B$5:$B$504,$A25,Asistencia!$D$5:$D$504,"Ausente",Asistencia!$A$5:$A$504,"&gt;="&amp;$B$4,Asistencia!$A$5:$A$504,"&lt;="&amp;$B$5))</f>
        <v/>
      </c>
      <c r="D25" s="27" t="str">
        <f aca="false">IF($A25="","",COUNTIFS(Asistencia!$B$5:$B$504,$A25,Asistencia!$D$5:$D$504,"Ausente",Asistencia!$I$5:$I$504,"",Asistencia!$A$5:$A$504,"&gt;="&amp;$B$4,Asistencia!$A$5:$A$504,"&lt;="&amp;$B$5))</f>
        <v/>
      </c>
      <c r="E25" s="28" t="str">
        <f aca="false">IF($A25="","",SUMIFS(Asistencia!$H$5:$H$504,Asistencia!$B$5:$B$504,$A25,Asistencia!$A$5:$A$504,"&gt;="&amp;$B$4,Asistencia!$A$5:$A$504,"&lt;="&amp;$B$5))</f>
        <v/>
      </c>
      <c r="F25" s="28" t="str">
        <f aca="false">IF($A25="","",SUMIFS('Registro por hora'!$H$5:$H$2004,'Registro por hora'!$B$5:$B$2004,$A25,'Registro por hora'!$A$5:$A$2004,"&gt;="&amp;$B$4,'Registro por hora'!$A$5:$A$2004,"&lt;="&amp;$B$5))</f>
        <v/>
      </c>
      <c r="G25" s="29" t="str">
        <f aca="false">IF(OR($A25="",N(E25)=0),"",F25/E25)</f>
        <v/>
      </c>
      <c r="H25" s="28" t="str">
        <f aca="false">IF(OR($A25="",N(B25)=0),"",E25/B25)</f>
        <v/>
      </c>
      <c r="I25" s="2"/>
      <c r="J25" s="26" t="str">
        <f aca="false">IF(Metas!A21="","",Metas!A21)</f>
        <v/>
      </c>
      <c r="K25" s="26" t="str">
        <f aca="false">IF(Metas!A21="","",Metas!B21)</f>
        <v/>
      </c>
      <c r="L25" s="28" t="str">
        <f aca="false">IF(J25="","",SUMIFS('Registro por hora'!$H$5:$H$2004,'Registro por hora'!$F$5:$F$2004,J25,'Registro por hora'!$A$5:$A$2004,"&gt;="&amp;$B$4,'Registro por hora'!$A$5:$A$2004,"&lt;="&amp;$B$5))</f>
        <v/>
      </c>
      <c r="M25" s="29" t="str">
        <f aca="false">IF(OR(J25="",SUM($L$9:$L$58)=0),"",L25/SUM($L$9:$L$58))</f>
        <v/>
      </c>
    </row>
    <row r="26" customFormat="false" ht="15" hidden="false" customHeight="false" outlineLevel="0" collapsed="false">
      <c r="A26" s="26" t="str">
        <f aca="false">IF(Personal!B22="","",Personal!B22)</f>
        <v/>
      </c>
      <c r="B26" s="26" t="str">
        <f aca="false">IF($A26="","",COUNTIFS(Asistencia!$B$5:$B$504,$A26,Asistencia!$A$5:$A$504,"&gt;="&amp;$B$4,Asistencia!$A$5:$A$504,"&lt;="&amp;$B$5)-COUNTIFS(Asistencia!$B$5:$B$504,$A26,Asistencia!$D$5:$D$504,"Ausente",Asistencia!$A$5:$A$504,"&gt;="&amp;$B$4,Asistencia!$A$5:$A$504,"&lt;="&amp;$B$5))</f>
        <v/>
      </c>
      <c r="C26" s="26" t="str">
        <f aca="false">IF($A26="","",COUNTIFS(Asistencia!$B$5:$B$504,$A26,Asistencia!$D$5:$D$504,"Ausente",Asistencia!$A$5:$A$504,"&gt;="&amp;$B$4,Asistencia!$A$5:$A$504,"&lt;="&amp;$B$5))</f>
        <v/>
      </c>
      <c r="D26" s="27" t="str">
        <f aca="false">IF($A26="","",COUNTIFS(Asistencia!$B$5:$B$504,$A26,Asistencia!$D$5:$D$504,"Ausente",Asistencia!$I$5:$I$504,"",Asistencia!$A$5:$A$504,"&gt;="&amp;$B$4,Asistencia!$A$5:$A$504,"&lt;="&amp;$B$5))</f>
        <v/>
      </c>
      <c r="E26" s="28" t="str">
        <f aca="false">IF($A26="","",SUMIFS(Asistencia!$H$5:$H$504,Asistencia!$B$5:$B$504,$A26,Asistencia!$A$5:$A$504,"&gt;="&amp;$B$4,Asistencia!$A$5:$A$504,"&lt;="&amp;$B$5))</f>
        <v/>
      </c>
      <c r="F26" s="28" t="str">
        <f aca="false">IF($A26="","",SUMIFS('Registro por hora'!$H$5:$H$2004,'Registro por hora'!$B$5:$B$2004,$A26,'Registro por hora'!$A$5:$A$2004,"&gt;="&amp;$B$4,'Registro por hora'!$A$5:$A$2004,"&lt;="&amp;$B$5))</f>
        <v/>
      </c>
      <c r="G26" s="29" t="str">
        <f aca="false">IF(OR($A26="",N(E26)=0),"",F26/E26)</f>
        <v/>
      </c>
      <c r="H26" s="28" t="str">
        <f aca="false">IF(OR($A26="",N(B26)=0),"",E26/B26)</f>
        <v/>
      </c>
      <c r="I26" s="2"/>
      <c r="J26" s="26" t="str">
        <f aca="false">IF(Metas!A22="","",Metas!A22)</f>
        <v/>
      </c>
      <c r="K26" s="26" t="str">
        <f aca="false">IF(Metas!A22="","",Metas!B22)</f>
        <v/>
      </c>
      <c r="L26" s="28" t="str">
        <f aca="false">IF(J26="","",SUMIFS('Registro por hora'!$H$5:$H$2004,'Registro por hora'!$F$5:$F$2004,J26,'Registro por hora'!$A$5:$A$2004,"&gt;="&amp;$B$4,'Registro por hora'!$A$5:$A$2004,"&lt;="&amp;$B$5))</f>
        <v/>
      </c>
      <c r="M26" s="29" t="str">
        <f aca="false">IF(OR(J26="",SUM($L$9:$L$58)=0),"",L26/SUM($L$9:$L$58))</f>
        <v/>
      </c>
    </row>
    <row r="27" customFormat="false" ht="15" hidden="false" customHeight="false" outlineLevel="0" collapsed="false">
      <c r="A27" s="26" t="str">
        <f aca="false">IF(Personal!B23="","",Personal!B23)</f>
        <v/>
      </c>
      <c r="B27" s="26" t="str">
        <f aca="false">IF($A27="","",COUNTIFS(Asistencia!$B$5:$B$504,$A27,Asistencia!$A$5:$A$504,"&gt;="&amp;$B$4,Asistencia!$A$5:$A$504,"&lt;="&amp;$B$5)-COUNTIFS(Asistencia!$B$5:$B$504,$A27,Asistencia!$D$5:$D$504,"Ausente",Asistencia!$A$5:$A$504,"&gt;="&amp;$B$4,Asistencia!$A$5:$A$504,"&lt;="&amp;$B$5))</f>
        <v/>
      </c>
      <c r="C27" s="26" t="str">
        <f aca="false">IF($A27="","",COUNTIFS(Asistencia!$B$5:$B$504,$A27,Asistencia!$D$5:$D$504,"Ausente",Asistencia!$A$5:$A$504,"&gt;="&amp;$B$4,Asistencia!$A$5:$A$504,"&lt;="&amp;$B$5))</f>
        <v/>
      </c>
      <c r="D27" s="27" t="str">
        <f aca="false">IF($A27="","",COUNTIFS(Asistencia!$B$5:$B$504,$A27,Asistencia!$D$5:$D$504,"Ausente",Asistencia!$I$5:$I$504,"",Asistencia!$A$5:$A$504,"&gt;="&amp;$B$4,Asistencia!$A$5:$A$504,"&lt;="&amp;$B$5))</f>
        <v/>
      </c>
      <c r="E27" s="28" t="str">
        <f aca="false">IF($A27="","",SUMIFS(Asistencia!$H$5:$H$504,Asistencia!$B$5:$B$504,$A27,Asistencia!$A$5:$A$504,"&gt;="&amp;$B$4,Asistencia!$A$5:$A$504,"&lt;="&amp;$B$5))</f>
        <v/>
      </c>
      <c r="F27" s="28" t="str">
        <f aca="false">IF($A27="","",SUMIFS('Registro por hora'!$H$5:$H$2004,'Registro por hora'!$B$5:$B$2004,$A27,'Registro por hora'!$A$5:$A$2004,"&gt;="&amp;$B$4,'Registro por hora'!$A$5:$A$2004,"&lt;="&amp;$B$5))</f>
        <v/>
      </c>
      <c r="G27" s="29" t="str">
        <f aca="false">IF(OR($A27="",N(E27)=0),"",F27/E27)</f>
        <v/>
      </c>
      <c r="H27" s="28" t="str">
        <f aca="false">IF(OR($A27="",N(B27)=0),"",E27/B27)</f>
        <v/>
      </c>
      <c r="I27" s="2"/>
      <c r="J27" s="26" t="str">
        <f aca="false">IF(Metas!A23="","",Metas!A23)</f>
        <v/>
      </c>
      <c r="K27" s="26" t="str">
        <f aca="false">IF(Metas!A23="","",Metas!B23)</f>
        <v/>
      </c>
      <c r="L27" s="28" t="str">
        <f aca="false">IF(J27="","",SUMIFS('Registro por hora'!$H$5:$H$2004,'Registro por hora'!$F$5:$F$2004,J27,'Registro por hora'!$A$5:$A$2004,"&gt;="&amp;$B$4,'Registro por hora'!$A$5:$A$2004,"&lt;="&amp;$B$5))</f>
        <v/>
      </c>
      <c r="M27" s="29" t="str">
        <f aca="false">IF(OR(J27="",SUM($L$9:$L$58)=0),"",L27/SUM($L$9:$L$58))</f>
        <v/>
      </c>
    </row>
    <row r="28" customFormat="false" ht="15" hidden="false" customHeight="false" outlineLevel="0" collapsed="false">
      <c r="A28" s="26" t="str">
        <f aca="false">IF(Personal!B24="","",Personal!B24)</f>
        <v/>
      </c>
      <c r="B28" s="26" t="str">
        <f aca="false">IF($A28="","",COUNTIFS(Asistencia!$B$5:$B$504,$A28,Asistencia!$A$5:$A$504,"&gt;="&amp;$B$4,Asistencia!$A$5:$A$504,"&lt;="&amp;$B$5)-COUNTIFS(Asistencia!$B$5:$B$504,$A28,Asistencia!$D$5:$D$504,"Ausente",Asistencia!$A$5:$A$504,"&gt;="&amp;$B$4,Asistencia!$A$5:$A$504,"&lt;="&amp;$B$5))</f>
        <v/>
      </c>
      <c r="C28" s="26" t="str">
        <f aca="false">IF($A28="","",COUNTIFS(Asistencia!$B$5:$B$504,$A28,Asistencia!$D$5:$D$504,"Ausente",Asistencia!$A$5:$A$504,"&gt;="&amp;$B$4,Asistencia!$A$5:$A$504,"&lt;="&amp;$B$5))</f>
        <v/>
      </c>
      <c r="D28" s="27" t="str">
        <f aca="false">IF($A28="","",COUNTIFS(Asistencia!$B$5:$B$504,$A28,Asistencia!$D$5:$D$504,"Ausente",Asistencia!$I$5:$I$504,"",Asistencia!$A$5:$A$504,"&gt;="&amp;$B$4,Asistencia!$A$5:$A$504,"&lt;="&amp;$B$5))</f>
        <v/>
      </c>
      <c r="E28" s="28" t="str">
        <f aca="false">IF($A28="","",SUMIFS(Asistencia!$H$5:$H$504,Asistencia!$B$5:$B$504,$A28,Asistencia!$A$5:$A$504,"&gt;="&amp;$B$4,Asistencia!$A$5:$A$504,"&lt;="&amp;$B$5))</f>
        <v/>
      </c>
      <c r="F28" s="28" t="str">
        <f aca="false">IF($A28="","",SUMIFS('Registro por hora'!$H$5:$H$2004,'Registro por hora'!$B$5:$B$2004,$A28,'Registro por hora'!$A$5:$A$2004,"&gt;="&amp;$B$4,'Registro por hora'!$A$5:$A$2004,"&lt;="&amp;$B$5))</f>
        <v/>
      </c>
      <c r="G28" s="29" t="str">
        <f aca="false">IF(OR($A28="",N(E28)=0),"",F28/E28)</f>
        <v/>
      </c>
      <c r="H28" s="28" t="str">
        <f aca="false">IF(OR($A28="",N(B28)=0),"",E28/B28)</f>
        <v/>
      </c>
      <c r="I28" s="2"/>
      <c r="J28" s="26" t="str">
        <f aca="false">IF(Metas!A24="","",Metas!A24)</f>
        <v/>
      </c>
      <c r="K28" s="26" t="str">
        <f aca="false">IF(Metas!A24="","",Metas!B24)</f>
        <v/>
      </c>
      <c r="L28" s="28" t="str">
        <f aca="false">IF(J28="","",SUMIFS('Registro por hora'!$H$5:$H$2004,'Registro por hora'!$F$5:$F$2004,J28,'Registro por hora'!$A$5:$A$2004,"&gt;="&amp;$B$4,'Registro por hora'!$A$5:$A$2004,"&lt;="&amp;$B$5))</f>
        <v/>
      </c>
      <c r="M28" s="29" t="str">
        <f aca="false">IF(OR(J28="",SUM($L$9:$L$58)=0),"",L28/SUM($L$9:$L$58))</f>
        <v/>
      </c>
    </row>
    <row r="29" customFormat="false" ht="15" hidden="false" customHeight="false" outlineLevel="0" collapsed="false">
      <c r="A29" s="26" t="str">
        <f aca="false">IF(Personal!B25="","",Personal!B25)</f>
        <v/>
      </c>
      <c r="B29" s="26" t="str">
        <f aca="false">IF($A29="","",COUNTIFS(Asistencia!$B$5:$B$504,$A29,Asistencia!$A$5:$A$504,"&gt;="&amp;$B$4,Asistencia!$A$5:$A$504,"&lt;="&amp;$B$5)-COUNTIFS(Asistencia!$B$5:$B$504,$A29,Asistencia!$D$5:$D$504,"Ausente",Asistencia!$A$5:$A$504,"&gt;="&amp;$B$4,Asistencia!$A$5:$A$504,"&lt;="&amp;$B$5))</f>
        <v/>
      </c>
      <c r="C29" s="26" t="str">
        <f aca="false">IF($A29="","",COUNTIFS(Asistencia!$B$5:$B$504,$A29,Asistencia!$D$5:$D$504,"Ausente",Asistencia!$A$5:$A$504,"&gt;="&amp;$B$4,Asistencia!$A$5:$A$504,"&lt;="&amp;$B$5))</f>
        <v/>
      </c>
      <c r="D29" s="27" t="str">
        <f aca="false">IF($A29="","",COUNTIFS(Asistencia!$B$5:$B$504,$A29,Asistencia!$D$5:$D$504,"Ausente",Asistencia!$I$5:$I$504,"",Asistencia!$A$5:$A$504,"&gt;="&amp;$B$4,Asistencia!$A$5:$A$504,"&lt;="&amp;$B$5))</f>
        <v/>
      </c>
      <c r="E29" s="28" t="str">
        <f aca="false">IF($A29="","",SUMIFS(Asistencia!$H$5:$H$504,Asistencia!$B$5:$B$504,$A29,Asistencia!$A$5:$A$504,"&gt;="&amp;$B$4,Asistencia!$A$5:$A$504,"&lt;="&amp;$B$5))</f>
        <v/>
      </c>
      <c r="F29" s="28" t="str">
        <f aca="false">IF($A29="","",SUMIFS('Registro por hora'!$H$5:$H$2004,'Registro por hora'!$B$5:$B$2004,$A29,'Registro por hora'!$A$5:$A$2004,"&gt;="&amp;$B$4,'Registro por hora'!$A$5:$A$2004,"&lt;="&amp;$B$5))</f>
        <v/>
      </c>
      <c r="G29" s="29" t="str">
        <f aca="false">IF(OR($A29="",N(E29)=0),"",F29/E29)</f>
        <v/>
      </c>
      <c r="H29" s="28" t="str">
        <f aca="false">IF(OR($A29="",N(B29)=0),"",E29/B29)</f>
        <v/>
      </c>
      <c r="I29" s="2"/>
      <c r="J29" s="26" t="str">
        <f aca="false">IF(Metas!A25="","",Metas!A25)</f>
        <v/>
      </c>
      <c r="K29" s="26" t="str">
        <f aca="false">IF(Metas!A25="","",Metas!B25)</f>
        <v/>
      </c>
      <c r="L29" s="28" t="str">
        <f aca="false">IF(J29="","",SUMIFS('Registro por hora'!$H$5:$H$2004,'Registro por hora'!$F$5:$F$2004,J29,'Registro por hora'!$A$5:$A$2004,"&gt;="&amp;$B$4,'Registro por hora'!$A$5:$A$2004,"&lt;="&amp;$B$5))</f>
        <v/>
      </c>
      <c r="M29" s="29" t="str">
        <f aca="false">IF(OR(J29="",SUM($L$9:$L$58)=0),"",L29/SUM($L$9:$L$58))</f>
        <v/>
      </c>
    </row>
    <row r="30" customFormat="false" ht="15" hidden="false" customHeight="false" outlineLevel="0" collapsed="false">
      <c r="A30" s="26" t="str">
        <f aca="false">IF(Personal!B26="","",Personal!B26)</f>
        <v/>
      </c>
      <c r="B30" s="26" t="str">
        <f aca="false">IF($A30="","",COUNTIFS(Asistencia!$B$5:$B$504,$A30,Asistencia!$A$5:$A$504,"&gt;="&amp;$B$4,Asistencia!$A$5:$A$504,"&lt;="&amp;$B$5)-COUNTIFS(Asistencia!$B$5:$B$504,$A30,Asistencia!$D$5:$D$504,"Ausente",Asistencia!$A$5:$A$504,"&gt;="&amp;$B$4,Asistencia!$A$5:$A$504,"&lt;="&amp;$B$5))</f>
        <v/>
      </c>
      <c r="C30" s="26" t="str">
        <f aca="false">IF($A30="","",COUNTIFS(Asistencia!$B$5:$B$504,$A30,Asistencia!$D$5:$D$504,"Ausente",Asistencia!$A$5:$A$504,"&gt;="&amp;$B$4,Asistencia!$A$5:$A$504,"&lt;="&amp;$B$5))</f>
        <v/>
      </c>
      <c r="D30" s="27" t="str">
        <f aca="false">IF($A30="","",COUNTIFS(Asistencia!$B$5:$B$504,$A30,Asistencia!$D$5:$D$504,"Ausente",Asistencia!$I$5:$I$504,"",Asistencia!$A$5:$A$504,"&gt;="&amp;$B$4,Asistencia!$A$5:$A$504,"&lt;="&amp;$B$5))</f>
        <v/>
      </c>
      <c r="E30" s="28" t="str">
        <f aca="false">IF($A30="","",SUMIFS(Asistencia!$H$5:$H$504,Asistencia!$B$5:$B$504,$A30,Asistencia!$A$5:$A$504,"&gt;="&amp;$B$4,Asistencia!$A$5:$A$504,"&lt;="&amp;$B$5))</f>
        <v/>
      </c>
      <c r="F30" s="28" t="str">
        <f aca="false">IF($A30="","",SUMIFS('Registro por hora'!$H$5:$H$2004,'Registro por hora'!$B$5:$B$2004,$A30,'Registro por hora'!$A$5:$A$2004,"&gt;="&amp;$B$4,'Registro por hora'!$A$5:$A$2004,"&lt;="&amp;$B$5))</f>
        <v/>
      </c>
      <c r="G30" s="29" t="str">
        <f aca="false">IF(OR($A30="",N(E30)=0),"",F30/E30)</f>
        <v/>
      </c>
      <c r="H30" s="28" t="str">
        <f aca="false">IF(OR($A30="",N(B30)=0),"",E30/B30)</f>
        <v/>
      </c>
      <c r="I30" s="2"/>
      <c r="J30" s="26" t="str">
        <f aca="false">IF(Metas!A26="","",Metas!A26)</f>
        <v/>
      </c>
      <c r="K30" s="26" t="str">
        <f aca="false">IF(Metas!A26="","",Metas!B26)</f>
        <v/>
      </c>
      <c r="L30" s="28" t="str">
        <f aca="false">IF(J30="","",SUMIFS('Registro por hora'!$H$5:$H$2004,'Registro por hora'!$F$5:$F$2004,J30,'Registro por hora'!$A$5:$A$2004,"&gt;="&amp;$B$4,'Registro por hora'!$A$5:$A$2004,"&lt;="&amp;$B$5))</f>
        <v/>
      </c>
      <c r="M30" s="29" t="str">
        <f aca="false">IF(OR(J30="",SUM($L$9:$L$58)=0),"",L30/SUM($L$9:$L$58))</f>
        <v/>
      </c>
    </row>
    <row r="31" customFormat="false" ht="15" hidden="false" customHeight="false" outlineLevel="0" collapsed="false">
      <c r="A31" s="26" t="str">
        <f aca="false">IF(Personal!B27="","",Personal!B27)</f>
        <v/>
      </c>
      <c r="B31" s="26" t="str">
        <f aca="false">IF($A31="","",COUNTIFS(Asistencia!$B$5:$B$504,$A31,Asistencia!$A$5:$A$504,"&gt;="&amp;$B$4,Asistencia!$A$5:$A$504,"&lt;="&amp;$B$5)-COUNTIFS(Asistencia!$B$5:$B$504,$A31,Asistencia!$D$5:$D$504,"Ausente",Asistencia!$A$5:$A$504,"&gt;="&amp;$B$4,Asistencia!$A$5:$A$504,"&lt;="&amp;$B$5))</f>
        <v/>
      </c>
      <c r="C31" s="26" t="str">
        <f aca="false">IF($A31="","",COUNTIFS(Asistencia!$B$5:$B$504,$A31,Asistencia!$D$5:$D$504,"Ausente",Asistencia!$A$5:$A$504,"&gt;="&amp;$B$4,Asistencia!$A$5:$A$504,"&lt;="&amp;$B$5))</f>
        <v/>
      </c>
      <c r="D31" s="27" t="str">
        <f aca="false">IF($A31="","",COUNTIFS(Asistencia!$B$5:$B$504,$A31,Asistencia!$D$5:$D$504,"Ausente",Asistencia!$I$5:$I$504,"",Asistencia!$A$5:$A$504,"&gt;="&amp;$B$4,Asistencia!$A$5:$A$504,"&lt;="&amp;$B$5))</f>
        <v/>
      </c>
      <c r="E31" s="28" t="str">
        <f aca="false">IF($A31="","",SUMIFS(Asistencia!$H$5:$H$504,Asistencia!$B$5:$B$504,$A31,Asistencia!$A$5:$A$504,"&gt;="&amp;$B$4,Asistencia!$A$5:$A$504,"&lt;="&amp;$B$5))</f>
        <v/>
      </c>
      <c r="F31" s="28" t="str">
        <f aca="false">IF($A31="","",SUMIFS('Registro por hora'!$H$5:$H$2004,'Registro por hora'!$B$5:$B$2004,$A31,'Registro por hora'!$A$5:$A$2004,"&gt;="&amp;$B$4,'Registro por hora'!$A$5:$A$2004,"&lt;="&amp;$B$5))</f>
        <v/>
      </c>
      <c r="G31" s="29" t="str">
        <f aca="false">IF(OR($A31="",N(E31)=0),"",F31/E31)</f>
        <v/>
      </c>
      <c r="H31" s="28" t="str">
        <f aca="false">IF(OR($A31="",N(B31)=0),"",E31/B31)</f>
        <v/>
      </c>
      <c r="I31" s="2"/>
      <c r="J31" s="26" t="str">
        <f aca="false">IF(Metas!A27="","",Metas!A27)</f>
        <v/>
      </c>
      <c r="K31" s="26" t="str">
        <f aca="false">IF(Metas!A27="","",Metas!B27)</f>
        <v/>
      </c>
      <c r="L31" s="28" t="str">
        <f aca="false">IF(J31="","",SUMIFS('Registro por hora'!$H$5:$H$2004,'Registro por hora'!$F$5:$F$2004,J31,'Registro por hora'!$A$5:$A$2004,"&gt;="&amp;$B$4,'Registro por hora'!$A$5:$A$2004,"&lt;="&amp;$B$5))</f>
        <v/>
      </c>
      <c r="M31" s="29" t="str">
        <f aca="false">IF(OR(J31="",SUM($L$9:$L$58)=0),"",L31/SUM($L$9:$L$58))</f>
        <v/>
      </c>
    </row>
    <row r="32" customFormat="false" ht="15" hidden="false" customHeight="false" outlineLevel="0" collapsed="false">
      <c r="A32" s="26" t="str">
        <f aca="false">IF(Personal!B28="","",Personal!B28)</f>
        <v/>
      </c>
      <c r="B32" s="26" t="str">
        <f aca="false">IF($A32="","",COUNTIFS(Asistencia!$B$5:$B$504,$A32,Asistencia!$A$5:$A$504,"&gt;="&amp;$B$4,Asistencia!$A$5:$A$504,"&lt;="&amp;$B$5)-COUNTIFS(Asistencia!$B$5:$B$504,$A32,Asistencia!$D$5:$D$504,"Ausente",Asistencia!$A$5:$A$504,"&gt;="&amp;$B$4,Asistencia!$A$5:$A$504,"&lt;="&amp;$B$5))</f>
        <v/>
      </c>
      <c r="C32" s="26" t="str">
        <f aca="false">IF($A32="","",COUNTIFS(Asistencia!$B$5:$B$504,$A32,Asistencia!$D$5:$D$504,"Ausente",Asistencia!$A$5:$A$504,"&gt;="&amp;$B$4,Asistencia!$A$5:$A$504,"&lt;="&amp;$B$5))</f>
        <v/>
      </c>
      <c r="D32" s="27" t="str">
        <f aca="false">IF($A32="","",COUNTIFS(Asistencia!$B$5:$B$504,$A32,Asistencia!$D$5:$D$504,"Ausente",Asistencia!$I$5:$I$504,"",Asistencia!$A$5:$A$504,"&gt;="&amp;$B$4,Asistencia!$A$5:$A$504,"&lt;="&amp;$B$5))</f>
        <v/>
      </c>
      <c r="E32" s="28" t="str">
        <f aca="false">IF($A32="","",SUMIFS(Asistencia!$H$5:$H$504,Asistencia!$B$5:$B$504,$A32,Asistencia!$A$5:$A$504,"&gt;="&amp;$B$4,Asistencia!$A$5:$A$504,"&lt;="&amp;$B$5))</f>
        <v/>
      </c>
      <c r="F32" s="28" t="str">
        <f aca="false">IF($A32="","",SUMIFS('Registro por hora'!$H$5:$H$2004,'Registro por hora'!$B$5:$B$2004,$A32,'Registro por hora'!$A$5:$A$2004,"&gt;="&amp;$B$4,'Registro por hora'!$A$5:$A$2004,"&lt;="&amp;$B$5))</f>
        <v/>
      </c>
      <c r="G32" s="29" t="str">
        <f aca="false">IF(OR($A32="",N(E32)=0),"",F32/E32)</f>
        <v/>
      </c>
      <c r="H32" s="28" t="str">
        <f aca="false">IF(OR($A32="",N(B32)=0),"",E32/B32)</f>
        <v/>
      </c>
      <c r="I32" s="2"/>
      <c r="J32" s="26" t="str">
        <f aca="false">IF(Metas!A28="","",Metas!A28)</f>
        <v/>
      </c>
      <c r="K32" s="26" t="str">
        <f aca="false">IF(Metas!A28="","",Metas!B28)</f>
        <v/>
      </c>
      <c r="L32" s="28" t="str">
        <f aca="false">IF(J32="","",SUMIFS('Registro por hora'!$H$5:$H$2004,'Registro por hora'!$F$5:$F$2004,J32,'Registro por hora'!$A$5:$A$2004,"&gt;="&amp;$B$4,'Registro por hora'!$A$5:$A$2004,"&lt;="&amp;$B$5))</f>
        <v/>
      </c>
      <c r="M32" s="29" t="str">
        <f aca="false">IF(OR(J32="",SUM($L$9:$L$58)=0),"",L32/SUM($L$9:$L$58))</f>
        <v/>
      </c>
    </row>
    <row r="33" customFormat="false" ht="15" hidden="false" customHeight="false" outlineLevel="0" collapsed="false">
      <c r="A33" s="26" t="str">
        <f aca="false">IF(Personal!B29="","",Personal!B29)</f>
        <v/>
      </c>
      <c r="B33" s="26" t="str">
        <f aca="false">IF($A33="","",COUNTIFS(Asistencia!$B$5:$B$504,$A33,Asistencia!$A$5:$A$504,"&gt;="&amp;$B$4,Asistencia!$A$5:$A$504,"&lt;="&amp;$B$5)-COUNTIFS(Asistencia!$B$5:$B$504,$A33,Asistencia!$D$5:$D$504,"Ausente",Asistencia!$A$5:$A$504,"&gt;="&amp;$B$4,Asistencia!$A$5:$A$504,"&lt;="&amp;$B$5))</f>
        <v/>
      </c>
      <c r="C33" s="26" t="str">
        <f aca="false">IF($A33="","",COUNTIFS(Asistencia!$B$5:$B$504,$A33,Asistencia!$D$5:$D$504,"Ausente",Asistencia!$A$5:$A$504,"&gt;="&amp;$B$4,Asistencia!$A$5:$A$504,"&lt;="&amp;$B$5))</f>
        <v/>
      </c>
      <c r="D33" s="27" t="str">
        <f aca="false">IF($A33="","",COUNTIFS(Asistencia!$B$5:$B$504,$A33,Asistencia!$D$5:$D$504,"Ausente",Asistencia!$I$5:$I$504,"",Asistencia!$A$5:$A$504,"&gt;="&amp;$B$4,Asistencia!$A$5:$A$504,"&lt;="&amp;$B$5))</f>
        <v/>
      </c>
      <c r="E33" s="28" t="str">
        <f aca="false">IF($A33="","",SUMIFS(Asistencia!$H$5:$H$504,Asistencia!$B$5:$B$504,$A33,Asistencia!$A$5:$A$504,"&gt;="&amp;$B$4,Asistencia!$A$5:$A$504,"&lt;="&amp;$B$5))</f>
        <v/>
      </c>
      <c r="F33" s="28" t="str">
        <f aca="false">IF($A33="","",SUMIFS('Registro por hora'!$H$5:$H$2004,'Registro por hora'!$B$5:$B$2004,$A33,'Registro por hora'!$A$5:$A$2004,"&gt;="&amp;$B$4,'Registro por hora'!$A$5:$A$2004,"&lt;="&amp;$B$5))</f>
        <v/>
      </c>
      <c r="G33" s="29" t="str">
        <f aca="false">IF(OR($A33="",N(E33)=0),"",F33/E33)</f>
        <v/>
      </c>
      <c r="H33" s="28" t="str">
        <f aca="false">IF(OR($A33="",N(B33)=0),"",E33/B33)</f>
        <v/>
      </c>
      <c r="I33" s="2"/>
      <c r="J33" s="26" t="str">
        <f aca="false">IF(Metas!A29="","",Metas!A29)</f>
        <v/>
      </c>
      <c r="K33" s="26" t="str">
        <f aca="false">IF(Metas!A29="","",Metas!B29)</f>
        <v/>
      </c>
      <c r="L33" s="28" t="str">
        <f aca="false">IF(J33="","",SUMIFS('Registro por hora'!$H$5:$H$2004,'Registro por hora'!$F$5:$F$2004,J33,'Registro por hora'!$A$5:$A$2004,"&gt;="&amp;$B$4,'Registro por hora'!$A$5:$A$2004,"&lt;="&amp;$B$5))</f>
        <v/>
      </c>
      <c r="M33" s="29" t="str">
        <f aca="false">IF(OR(J33="",SUM($L$9:$L$58)=0),"",L33/SUM($L$9:$L$58))</f>
        <v/>
      </c>
    </row>
    <row r="34" customFormat="false" ht="15" hidden="false" customHeight="false" outlineLevel="0" collapsed="false">
      <c r="A34" s="26" t="str">
        <f aca="false">IF(Personal!B30="","",Personal!B30)</f>
        <v/>
      </c>
      <c r="B34" s="26" t="str">
        <f aca="false">IF($A34="","",COUNTIFS(Asistencia!$B$5:$B$504,$A34,Asistencia!$A$5:$A$504,"&gt;="&amp;$B$4,Asistencia!$A$5:$A$504,"&lt;="&amp;$B$5)-COUNTIFS(Asistencia!$B$5:$B$504,$A34,Asistencia!$D$5:$D$504,"Ausente",Asistencia!$A$5:$A$504,"&gt;="&amp;$B$4,Asistencia!$A$5:$A$504,"&lt;="&amp;$B$5))</f>
        <v/>
      </c>
      <c r="C34" s="26" t="str">
        <f aca="false">IF($A34="","",COUNTIFS(Asistencia!$B$5:$B$504,$A34,Asistencia!$D$5:$D$504,"Ausente",Asistencia!$A$5:$A$504,"&gt;="&amp;$B$4,Asistencia!$A$5:$A$504,"&lt;="&amp;$B$5))</f>
        <v/>
      </c>
      <c r="D34" s="27" t="str">
        <f aca="false">IF($A34="","",COUNTIFS(Asistencia!$B$5:$B$504,$A34,Asistencia!$D$5:$D$504,"Ausente",Asistencia!$I$5:$I$504,"",Asistencia!$A$5:$A$504,"&gt;="&amp;$B$4,Asistencia!$A$5:$A$504,"&lt;="&amp;$B$5))</f>
        <v/>
      </c>
      <c r="E34" s="28" t="str">
        <f aca="false">IF($A34="","",SUMIFS(Asistencia!$H$5:$H$504,Asistencia!$B$5:$B$504,$A34,Asistencia!$A$5:$A$504,"&gt;="&amp;$B$4,Asistencia!$A$5:$A$504,"&lt;="&amp;$B$5))</f>
        <v/>
      </c>
      <c r="F34" s="28" t="str">
        <f aca="false">IF($A34="","",SUMIFS('Registro por hora'!$H$5:$H$2004,'Registro por hora'!$B$5:$B$2004,$A34,'Registro por hora'!$A$5:$A$2004,"&gt;="&amp;$B$4,'Registro por hora'!$A$5:$A$2004,"&lt;="&amp;$B$5))</f>
        <v/>
      </c>
      <c r="G34" s="29" t="str">
        <f aca="false">IF(OR($A34="",N(E34)=0),"",F34/E34)</f>
        <v/>
      </c>
      <c r="H34" s="28" t="str">
        <f aca="false">IF(OR($A34="",N(B34)=0),"",E34/B34)</f>
        <v/>
      </c>
      <c r="I34" s="2"/>
      <c r="J34" s="26" t="str">
        <f aca="false">IF(Metas!A30="","",Metas!A30)</f>
        <v/>
      </c>
      <c r="K34" s="26" t="str">
        <f aca="false">IF(Metas!A30="","",Metas!B30)</f>
        <v/>
      </c>
      <c r="L34" s="28" t="str">
        <f aca="false">IF(J34="","",SUMIFS('Registro por hora'!$H$5:$H$2004,'Registro por hora'!$F$5:$F$2004,J34,'Registro por hora'!$A$5:$A$2004,"&gt;="&amp;$B$4,'Registro por hora'!$A$5:$A$2004,"&lt;="&amp;$B$5))</f>
        <v/>
      </c>
      <c r="M34" s="29" t="str">
        <f aca="false">IF(OR(J34="",SUM($L$9:$L$58)=0),"",L34/SUM($L$9:$L$58))</f>
        <v/>
      </c>
    </row>
    <row r="35" customFormat="false" ht="15" hidden="false" customHeight="false" outlineLevel="0" collapsed="false">
      <c r="A35" s="26" t="str">
        <f aca="false">IF(Personal!B31="","",Personal!B31)</f>
        <v/>
      </c>
      <c r="B35" s="26" t="str">
        <f aca="false">IF($A35="","",COUNTIFS(Asistencia!$B$5:$B$504,$A35,Asistencia!$A$5:$A$504,"&gt;="&amp;$B$4,Asistencia!$A$5:$A$504,"&lt;="&amp;$B$5)-COUNTIFS(Asistencia!$B$5:$B$504,$A35,Asistencia!$D$5:$D$504,"Ausente",Asistencia!$A$5:$A$504,"&gt;="&amp;$B$4,Asistencia!$A$5:$A$504,"&lt;="&amp;$B$5))</f>
        <v/>
      </c>
      <c r="C35" s="26" t="str">
        <f aca="false">IF($A35="","",COUNTIFS(Asistencia!$B$5:$B$504,$A35,Asistencia!$D$5:$D$504,"Ausente",Asistencia!$A$5:$A$504,"&gt;="&amp;$B$4,Asistencia!$A$5:$A$504,"&lt;="&amp;$B$5))</f>
        <v/>
      </c>
      <c r="D35" s="27" t="str">
        <f aca="false">IF($A35="","",COUNTIFS(Asistencia!$B$5:$B$504,$A35,Asistencia!$D$5:$D$504,"Ausente",Asistencia!$I$5:$I$504,"",Asistencia!$A$5:$A$504,"&gt;="&amp;$B$4,Asistencia!$A$5:$A$504,"&lt;="&amp;$B$5))</f>
        <v/>
      </c>
      <c r="E35" s="28" t="str">
        <f aca="false">IF($A35="","",SUMIFS(Asistencia!$H$5:$H$504,Asistencia!$B$5:$B$504,$A35,Asistencia!$A$5:$A$504,"&gt;="&amp;$B$4,Asistencia!$A$5:$A$504,"&lt;="&amp;$B$5))</f>
        <v/>
      </c>
      <c r="F35" s="28" t="str">
        <f aca="false">IF($A35="","",SUMIFS('Registro por hora'!$H$5:$H$2004,'Registro por hora'!$B$5:$B$2004,$A35,'Registro por hora'!$A$5:$A$2004,"&gt;="&amp;$B$4,'Registro por hora'!$A$5:$A$2004,"&lt;="&amp;$B$5))</f>
        <v/>
      </c>
      <c r="G35" s="29" t="str">
        <f aca="false">IF(OR($A35="",N(E35)=0),"",F35/E35)</f>
        <v/>
      </c>
      <c r="H35" s="28" t="str">
        <f aca="false">IF(OR($A35="",N(B35)=0),"",E35/B35)</f>
        <v/>
      </c>
      <c r="I35" s="2"/>
      <c r="J35" s="26" t="str">
        <f aca="false">IF(Metas!A31="","",Metas!A31)</f>
        <v/>
      </c>
      <c r="K35" s="26" t="str">
        <f aca="false">IF(Metas!A31="","",Metas!B31)</f>
        <v/>
      </c>
      <c r="L35" s="28" t="str">
        <f aca="false">IF(J35="","",SUMIFS('Registro por hora'!$H$5:$H$2004,'Registro por hora'!$F$5:$F$2004,J35,'Registro por hora'!$A$5:$A$2004,"&gt;="&amp;$B$4,'Registro por hora'!$A$5:$A$2004,"&lt;="&amp;$B$5))</f>
        <v/>
      </c>
      <c r="M35" s="29" t="str">
        <f aca="false">IF(OR(J35="",SUM($L$9:$L$58)=0),"",L35/SUM($L$9:$L$58))</f>
        <v/>
      </c>
    </row>
    <row r="36" customFormat="false" ht="15" hidden="false" customHeight="false" outlineLevel="0" collapsed="false">
      <c r="A36" s="26" t="str">
        <f aca="false">IF(Personal!B32="","",Personal!B32)</f>
        <v/>
      </c>
      <c r="B36" s="26" t="str">
        <f aca="false">IF($A36="","",COUNTIFS(Asistencia!$B$5:$B$504,$A36,Asistencia!$A$5:$A$504,"&gt;="&amp;$B$4,Asistencia!$A$5:$A$504,"&lt;="&amp;$B$5)-COUNTIFS(Asistencia!$B$5:$B$504,$A36,Asistencia!$D$5:$D$504,"Ausente",Asistencia!$A$5:$A$504,"&gt;="&amp;$B$4,Asistencia!$A$5:$A$504,"&lt;="&amp;$B$5))</f>
        <v/>
      </c>
      <c r="C36" s="26" t="str">
        <f aca="false">IF($A36="","",COUNTIFS(Asistencia!$B$5:$B$504,$A36,Asistencia!$D$5:$D$504,"Ausente",Asistencia!$A$5:$A$504,"&gt;="&amp;$B$4,Asistencia!$A$5:$A$504,"&lt;="&amp;$B$5))</f>
        <v/>
      </c>
      <c r="D36" s="27" t="str">
        <f aca="false">IF($A36="","",COUNTIFS(Asistencia!$B$5:$B$504,$A36,Asistencia!$D$5:$D$504,"Ausente",Asistencia!$I$5:$I$504,"",Asistencia!$A$5:$A$504,"&gt;="&amp;$B$4,Asistencia!$A$5:$A$504,"&lt;="&amp;$B$5))</f>
        <v/>
      </c>
      <c r="E36" s="28" t="str">
        <f aca="false">IF($A36="","",SUMIFS(Asistencia!$H$5:$H$504,Asistencia!$B$5:$B$504,$A36,Asistencia!$A$5:$A$504,"&gt;="&amp;$B$4,Asistencia!$A$5:$A$504,"&lt;="&amp;$B$5))</f>
        <v/>
      </c>
      <c r="F36" s="28" t="str">
        <f aca="false">IF($A36="","",SUMIFS('Registro por hora'!$H$5:$H$2004,'Registro por hora'!$B$5:$B$2004,$A36,'Registro por hora'!$A$5:$A$2004,"&gt;="&amp;$B$4,'Registro por hora'!$A$5:$A$2004,"&lt;="&amp;$B$5))</f>
        <v/>
      </c>
      <c r="G36" s="29" t="str">
        <f aca="false">IF(OR($A36="",N(E36)=0),"",F36/E36)</f>
        <v/>
      </c>
      <c r="H36" s="28" t="str">
        <f aca="false">IF(OR($A36="",N(B36)=0),"",E36/B36)</f>
        <v/>
      </c>
      <c r="I36" s="2"/>
      <c r="J36" s="26" t="str">
        <f aca="false">IF(Metas!A32="","",Metas!A32)</f>
        <v/>
      </c>
      <c r="K36" s="26" t="str">
        <f aca="false">IF(Metas!A32="","",Metas!B32)</f>
        <v/>
      </c>
      <c r="L36" s="28" t="str">
        <f aca="false">IF(J36="","",SUMIFS('Registro por hora'!$H$5:$H$2004,'Registro por hora'!$F$5:$F$2004,J36,'Registro por hora'!$A$5:$A$2004,"&gt;="&amp;$B$4,'Registro por hora'!$A$5:$A$2004,"&lt;="&amp;$B$5))</f>
        <v/>
      </c>
      <c r="M36" s="29" t="str">
        <f aca="false">IF(OR(J36="",SUM($L$9:$L$58)=0),"",L36/SUM($L$9:$L$58))</f>
        <v/>
      </c>
    </row>
    <row r="37" customFormat="false" ht="15" hidden="false" customHeight="false" outlineLevel="0" collapsed="false">
      <c r="A37" s="26" t="str">
        <f aca="false">IF(Personal!B33="","",Personal!B33)</f>
        <v/>
      </c>
      <c r="B37" s="26" t="str">
        <f aca="false">IF($A37="","",COUNTIFS(Asistencia!$B$5:$B$504,$A37,Asistencia!$A$5:$A$504,"&gt;="&amp;$B$4,Asistencia!$A$5:$A$504,"&lt;="&amp;$B$5)-COUNTIFS(Asistencia!$B$5:$B$504,$A37,Asistencia!$D$5:$D$504,"Ausente",Asistencia!$A$5:$A$504,"&gt;="&amp;$B$4,Asistencia!$A$5:$A$504,"&lt;="&amp;$B$5))</f>
        <v/>
      </c>
      <c r="C37" s="26" t="str">
        <f aca="false">IF($A37="","",COUNTIFS(Asistencia!$B$5:$B$504,$A37,Asistencia!$D$5:$D$504,"Ausente",Asistencia!$A$5:$A$504,"&gt;="&amp;$B$4,Asistencia!$A$5:$A$504,"&lt;="&amp;$B$5))</f>
        <v/>
      </c>
      <c r="D37" s="27" t="str">
        <f aca="false">IF($A37="","",COUNTIFS(Asistencia!$B$5:$B$504,$A37,Asistencia!$D$5:$D$504,"Ausente",Asistencia!$I$5:$I$504,"",Asistencia!$A$5:$A$504,"&gt;="&amp;$B$4,Asistencia!$A$5:$A$504,"&lt;="&amp;$B$5))</f>
        <v/>
      </c>
      <c r="E37" s="28" t="str">
        <f aca="false">IF($A37="","",SUMIFS(Asistencia!$H$5:$H$504,Asistencia!$B$5:$B$504,$A37,Asistencia!$A$5:$A$504,"&gt;="&amp;$B$4,Asistencia!$A$5:$A$504,"&lt;="&amp;$B$5))</f>
        <v/>
      </c>
      <c r="F37" s="28" t="str">
        <f aca="false">IF($A37="","",SUMIFS('Registro por hora'!$H$5:$H$2004,'Registro por hora'!$B$5:$B$2004,$A37,'Registro por hora'!$A$5:$A$2004,"&gt;="&amp;$B$4,'Registro por hora'!$A$5:$A$2004,"&lt;="&amp;$B$5))</f>
        <v/>
      </c>
      <c r="G37" s="29" t="str">
        <f aca="false">IF(OR($A37="",N(E37)=0),"",F37/E37)</f>
        <v/>
      </c>
      <c r="H37" s="28" t="str">
        <f aca="false">IF(OR($A37="",N(B37)=0),"",E37/B37)</f>
        <v/>
      </c>
      <c r="I37" s="2"/>
      <c r="J37" s="26" t="str">
        <f aca="false">IF(Metas!A33="","",Metas!A33)</f>
        <v/>
      </c>
      <c r="K37" s="26" t="str">
        <f aca="false">IF(Metas!A33="","",Metas!B33)</f>
        <v/>
      </c>
      <c r="L37" s="28" t="str">
        <f aca="false">IF(J37="","",SUMIFS('Registro por hora'!$H$5:$H$2004,'Registro por hora'!$F$5:$F$2004,J37,'Registro por hora'!$A$5:$A$2004,"&gt;="&amp;$B$4,'Registro por hora'!$A$5:$A$2004,"&lt;="&amp;$B$5))</f>
        <v/>
      </c>
      <c r="M37" s="29" t="str">
        <f aca="false">IF(OR(J37="",SUM($L$9:$L$58)=0),"",L37/SUM($L$9:$L$58))</f>
        <v/>
      </c>
    </row>
    <row r="38" customFormat="false" ht="15" hidden="false" customHeight="false" outlineLevel="0" collapsed="false">
      <c r="A38" s="26" t="str">
        <f aca="false">IF(Personal!B34="","",Personal!B34)</f>
        <v/>
      </c>
      <c r="B38" s="26" t="str">
        <f aca="false">IF($A38="","",COUNTIFS(Asistencia!$B$5:$B$504,$A38,Asistencia!$A$5:$A$504,"&gt;="&amp;$B$4,Asistencia!$A$5:$A$504,"&lt;="&amp;$B$5)-COUNTIFS(Asistencia!$B$5:$B$504,$A38,Asistencia!$D$5:$D$504,"Ausente",Asistencia!$A$5:$A$504,"&gt;="&amp;$B$4,Asistencia!$A$5:$A$504,"&lt;="&amp;$B$5))</f>
        <v/>
      </c>
      <c r="C38" s="26" t="str">
        <f aca="false">IF($A38="","",COUNTIFS(Asistencia!$B$5:$B$504,$A38,Asistencia!$D$5:$D$504,"Ausente",Asistencia!$A$5:$A$504,"&gt;="&amp;$B$4,Asistencia!$A$5:$A$504,"&lt;="&amp;$B$5))</f>
        <v/>
      </c>
      <c r="D38" s="27" t="str">
        <f aca="false">IF($A38="","",COUNTIFS(Asistencia!$B$5:$B$504,$A38,Asistencia!$D$5:$D$504,"Ausente",Asistencia!$I$5:$I$504,"",Asistencia!$A$5:$A$504,"&gt;="&amp;$B$4,Asistencia!$A$5:$A$504,"&lt;="&amp;$B$5))</f>
        <v/>
      </c>
      <c r="E38" s="28" t="str">
        <f aca="false">IF($A38="","",SUMIFS(Asistencia!$H$5:$H$504,Asistencia!$B$5:$B$504,$A38,Asistencia!$A$5:$A$504,"&gt;="&amp;$B$4,Asistencia!$A$5:$A$504,"&lt;="&amp;$B$5))</f>
        <v/>
      </c>
      <c r="F38" s="28" t="str">
        <f aca="false">IF($A38="","",SUMIFS('Registro por hora'!$H$5:$H$2004,'Registro por hora'!$B$5:$B$2004,$A38,'Registro por hora'!$A$5:$A$2004,"&gt;="&amp;$B$4,'Registro por hora'!$A$5:$A$2004,"&lt;="&amp;$B$5))</f>
        <v/>
      </c>
      <c r="G38" s="29" t="str">
        <f aca="false">IF(OR($A38="",N(E38)=0),"",F38/E38)</f>
        <v/>
      </c>
      <c r="H38" s="28" t="str">
        <f aca="false">IF(OR($A38="",N(B38)=0),"",E38/B38)</f>
        <v/>
      </c>
      <c r="I38" s="2"/>
      <c r="J38" s="26" t="str">
        <f aca="false">IF(Metas!A34="","",Metas!A34)</f>
        <v/>
      </c>
      <c r="K38" s="26" t="str">
        <f aca="false">IF(Metas!A34="","",Metas!B34)</f>
        <v/>
      </c>
      <c r="L38" s="28" t="str">
        <f aca="false">IF(J38="","",SUMIFS('Registro por hora'!$H$5:$H$2004,'Registro por hora'!$F$5:$F$2004,J38,'Registro por hora'!$A$5:$A$2004,"&gt;="&amp;$B$4,'Registro por hora'!$A$5:$A$2004,"&lt;="&amp;$B$5))</f>
        <v/>
      </c>
      <c r="M38" s="29" t="str">
        <f aca="false">IF(OR(J38="",SUM($L$9:$L$58)=0),"",L38/SUM($L$9:$L$58))</f>
        <v/>
      </c>
    </row>
    <row r="39" customFormat="false" ht="15" hidden="false" customHeight="false" outlineLevel="0" collapsed="false">
      <c r="A39" s="26" t="str">
        <f aca="false">IF(Personal!B35="","",Personal!B35)</f>
        <v/>
      </c>
      <c r="B39" s="26" t="str">
        <f aca="false">IF($A39="","",COUNTIFS(Asistencia!$B$5:$B$504,$A39,Asistencia!$A$5:$A$504,"&gt;="&amp;$B$4,Asistencia!$A$5:$A$504,"&lt;="&amp;$B$5)-COUNTIFS(Asistencia!$B$5:$B$504,$A39,Asistencia!$D$5:$D$504,"Ausente",Asistencia!$A$5:$A$504,"&gt;="&amp;$B$4,Asistencia!$A$5:$A$504,"&lt;="&amp;$B$5))</f>
        <v/>
      </c>
      <c r="C39" s="26" t="str">
        <f aca="false">IF($A39="","",COUNTIFS(Asistencia!$B$5:$B$504,$A39,Asistencia!$D$5:$D$504,"Ausente",Asistencia!$A$5:$A$504,"&gt;="&amp;$B$4,Asistencia!$A$5:$A$504,"&lt;="&amp;$B$5))</f>
        <v/>
      </c>
      <c r="D39" s="27" t="str">
        <f aca="false">IF($A39="","",COUNTIFS(Asistencia!$B$5:$B$504,$A39,Asistencia!$D$5:$D$504,"Ausente",Asistencia!$I$5:$I$504,"",Asistencia!$A$5:$A$504,"&gt;="&amp;$B$4,Asistencia!$A$5:$A$504,"&lt;="&amp;$B$5))</f>
        <v/>
      </c>
      <c r="E39" s="28" t="str">
        <f aca="false">IF($A39="","",SUMIFS(Asistencia!$H$5:$H$504,Asistencia!$B$5:$B$504,$A39,Asistencia!$A$5:$A$504,"&gt;="&amp;$B$4,Asistencia!$A$5:$A$504,"&lt;="&amp;$B$5))</f>
        <v/>
      </c>
      <c r="F39" s="28" t="str">
        <f aca="false">IF($A39="","",SUMIFS('Registro por hora'!$H$5:$H$2004,'Registro por hora'!$B$5:$B$2004,$A39,'Registro por hora'!$A$5:$A$2004,"&gt;="&amp;$B$4,'Registro por hora'!$A$5:$A$2004,"&lt;="&amp;$B$5))</f>
        <v/>
      </c>
      <c r="G39" s="29" t="str">
        <f aca="false">IF(OR($A39="",N(E39)=0),"",F39/E39)</f>
        <v/>
      </c>
      <c r="H39" s="28" t="str">
        <f aca="false">IF(OR($A39="",N(B39)=0),"",E39/B39)</f>
        <v/>
      </c>
      <c r="I39" s="2"/>
      <c r="J39" s="26" t="str">
        <f aca="false">IF(Metas!A35="","",Metas!A35)</f>
        <v/>
      </c>
      <c r="K39" s="26" t="str">
        <f aca="false">IF(Metas!A35="","",Metas!B35)</f>
        <v/>
      </c>
      <c r="L39" s="28" t="str">
        <f aca="false">IF(J39="","",SUMIFS('Registro por hora'!$H$5:$H$2004,'Registro por hora'!$F$5:$F$2004,J39,'Registro por hora'!$A$5:$A$2004,"&gt;="&amp;$B$4,'Registro por hora'!$A$5:$A$2004,"&lt;="&amp;$B$5))</f>
        <v/>
      </c>
      <c r="M39" s="29" t="str">
        <f aca="false">IF(OR(J39="",SUM($L$9:$L$58)=0),"",L39/SUM($L$9:$L$58))</f>
        <v/>
      </c>
    </row>
    <row r="40" customFormat="false" ht="15" hidden="false" customHeight="false" outlineLevel="0" collapsed="false">
      <c r="A40" s="26" t="str">
        <f aca="false">IF(Personal!B36="","",Personal!B36)</f>
        <v/>
      </c>
      <c r="B40" s="26" t="str">
        <f aca="false">IF($A40="","",COUNTIFS(Asistencia!$B$5:$B$504,$A40,Asistencia!$A$5:$A$504,"&gt;="&amp;$B$4,Asistencia!$A$5:$A$504,"&lt;="&amp;$B$5)-COUNTIFS(Asistencia!$B$5:$B$504,$A40,Asistencia!$D$5:$D$504,"Ausente",Asistencia!$A$5:$A$504,"&gt;="&amp;$B$4,Asistencia!$A$5:$A$504,"&lt;="&amp;$B$5))</f>
        <v/>
      </c>
      <c r="C40" s="26" t="str">
        <f aca="false">IF($A40="","",COUNTIFS(Asistencia!$B$5:$B$504,$A40,Asistencia!$D$5:$D$504,"Ausente",Asistencia!$A$5:$A$504,"&gt;="&amp;$B$4,Asistencia!$A$5:$A$504,"&lt;="&amp;$B$5))</f>
        <v/>
      </c>
      <c r="D40" s="27" t="str">
        <f aca="false">IF($A40="","",COUNTIFS(Asistencia!$B$5:$B$504,$A40,Asistencia!$D$5:$D$504,"Ausente",Asistencia!$I$5:$I$504,"",Asistencia!$A$5:$A$504,"&gt;="&amp;$B$4,Asistencia!$A$5:$A$504,"&lt;="&amp;$B$5))</f>
        <v/>
      </c>
      <c r="E40" s="28" t="str">
        <f aca="false">IF($A40="","",SUMIFS(Asistencia!$H$5:$H$504,Asistencia!$B$5:$B$504,$A40,Asistencia!$A$5:$A$504,"&gt;="&amp;$B$4,Asistencia!$A$5:$A$504,"&lt;="&amp;$B$5))</f>
        <v/>
      </c>
      <c r="F40" s="28" t="str">
        <f aca="false">IF($A40="","",SUMIFS('Registro por hora'!$H$5:$H$2004,'Registro por hora'!$B$5:$B$2004,$A40,'Registro por hora'!$A$5:$A$2004,"&gt;="&amp;$B$4,'Registro por hora'!$A$5:$A$2004,"&lt;="&amp;$B$5))</f>
        <v/>
      </c>
      <c r="G40" s="29" t="str">
        <f aca="false">IF(OR($A40="",N(E40)=0),"",F40/E40)</f>
        <v/>
      </c>
      <c r="H40" s="28" t="str">
        <f aca="false">IF(OR($A40="",N(B40)=0),"",E40/B40)</f>
        <v/>
      </c>
      <c r="I40" s="2"/>
      <c r="J40" s="26" t="str">
        <f aca="false">IF(Metas!A36="","",Metas!A36)</f>
        <v/>
      </c>
      <c r="K40" s="26" t="str">
        <f aca="false">IF(Metas!A36="","",Metas!B36)</f>
        <v/>
      </c>
      <c r="L40" s="28" t="str">
        <f aca="false">IF(J40="","",SUMIFS('Registro por hora'!$H$5:$H$2004,'Registro por hora'!$F$5:$F$2004,J40,'Registro por hora'!$A$5:$A$2004,"&gt;="&amp;$B$4,'Registro por hora'!$A$5:$A$2004,"&lt;="&amp;$B$5))</f>
        <v/>
      </c>
      <c r="M40" s="29" t="str">
        <f aca="false">IF(OR(J40="",SUM($L$9:$L$58)=0),"",L40/SUM($L$9:$L$58))</f>
        <v/>
      </c>
    </row>
    <row r="41" customFormat="false" ht="15" hidden="false" customHeight="false" outlineLevel="0" collapsed="false">
      <c r="A41" s="26" t="str">
        <f aca="false">IF(Personal!B37="","",Personal!B37)</f>
        <v/>
      </c>
      <c r="B41" s="26" t="str">
        <f aca="false">IF($A41="","",COUNTIFS(Asistencia!$B$5:$B$504,$A41,Asistencia!$A$5:$A$504,"&gt;="&amp;$B$4,Asistencia!$A$5:$A$504,"&lt;="&amp;$B$5)-COUNTIFS(Asistencia!$B$5:$B$504,$A41,Asistencia!$D$5:$D$504,"Ausente",Asistencia!$A$5:$A$504,"&gt;="&amp;$B$4,Asistencia!$A$5:$A$504,"&lt;="&amp;$B$5))</f>
        <v/>
      </c>
      <c r="C41" s="26" t="str">
        <f aca="false">IF($A41="","",COUNTIFS(Asistencia!$B$5:$B$504,$A41,Asistencia!$D$5:$D$504,"Ausente",Asistencia!$A$5:$A$504,"&gt;="&amp;$B$4,Asistencia!$A$5:$A$504,"&lt;="&amp;$B$5))</f>
        <v/>
      </c>
      <c r="D41" s="27" t="str">
        <f aca="false">IF($A41="","",COUNTIFS(Asistencia!$B$5:$B$504,$A41,Asistencia!$D$5:$D$504,"Ausente",Asistencia!$I$5:$I$504,"",Asistencia!$A$5:$A$504,"&gt;="&amp;$B$4,Asistencia!$A$5:$A$504,"&lt;="&amp;$B$5))</f>
        <v/>
      </c>
      <c r="E41" s="28" t="str">
        <f aca="false">IF($A41="","",SUMIFS(Asistencia!$H$5:$H$504,Asistencia!$B$5:$B$504,$A41,Asistencia!$A$5:$A$504,"&gt;="&amp;$B$4,Asistencia!$A$5:$A$504,"&lt;="&amp;$B$5))</f>
        <v/>
      </c>
      <c r="F41" s="28" t="str">
        <f aca="false">IF($A41="","",SUMIFS('Registro por hora'!$H$5:$H$2004,'Registro por hora'!$B$5:$B$2004,$A41,'Registro por hora'!$A$5:$A$2004,"&gt;="&amp;$B$4,'Registro por hora'!$A$5:$A$2004,"&lt;="&amp;$B$5))</f>
        <v/>
      </c>
      <c r="G41" s="29" t="str">
        <f aca="false">IF(OR($A41="",N(E41)=0),"",F41/E41)</f>
        <v/>
      </c>
      <c r="H41" s="28" t="str">
        <f aca="false">IF(OR($A41="",N(B41)=0),"",E41/B41)</f>
        <v/>
      </c>
      <c r="I41" s="2"/>
      <c r="J41" s="26" t="str">
        <f aca="false">IF(Metas!A37="","",Metas!A37)</f>
        <v/>
      </c>
      <c r="K41" s="26" t="str">
        <f aca="false">IF(Metas!A37="","",Metas!B37)</f>
        <v/>
      </c>
      <c r="L41" s="28" t="str">
        <f aca="false">IF(J41="","",SUMIFS('Registro por hora'!$H$5:$H$2004,'Registro por hora'!$F$5:$F$2004,J41,'Registro por hora'!$A$5:$A$2004,"&gt;="&amp;$B$4,'Registro por hora'!$A$5:$A$2004,"&lt;="&amp;$B$5))</f>
        <v/>
      </c>
      <c r="M41" s="29" t="str">
        <f aca="false">IF(OR(J41="",SUM($L$9:$L$58)=0),"",L41/SUM($L$9:$L$58))</f>
        <v/>
      </c>
    </row>
    <row r="42" customFormat="false" ht="15" hidden="false" customHeight="false" outlineLevel="0" collapsed="false">
      <c r="A42" s="26" t="str">
        <f aca="false">IF(Personal!B38="","",Personal!B38)</f>
        <v/>
      </c>
      <c r="B42" s="26" t="str">
        <f aca="false">IF($A42="","",COUNTIFS(Asistencia!$B$5:$B$504,$A42,Asistencia!$A$5:$A$504,"&gt;="&amp;$B$4,Asistencia!$A$5:$A$504,"&lt;="&amp;$B$5)-COUNTIFS(Asistencia!$B$5:$B$504,$A42,Asistencia!$D$5:$D$504,"Ausente",Asistencia!$A$5:$A$504,"&gt;="&amp;$B$4,Asistencia!$A$5:$A$504,"&lt;="&amp;$B$5))</f>
        <v/>
      </c>
      <c r="C42" s="26" t="str">
        <f aca="false">IF($A42="","",COUNTIFS(Asistencia!$B$5:$B$504,$A42,Asistencia!$D$5:$D$504,"Ausente",Asistencia!$A$5:$A$504,"&gt;="&amp;$B$4,Asistencia!$A$5:$A$504,"&lt;="&amp;$B$5))</f>
        <v/>
      </c>
      <c r="D42" s="27" t="str">
        <f aca="false">IF($A42="","",COUNTIFS(Asistencia!$B$5:$B$504,$A42,Asistencia!$D$5:$D$504,"Ausente",Asistencia!$I$5:$I$504,"",Asistencia!$A$5:$A$504,"&gt;="&amp;$B$4,Asistencia!$A$5:$A$504,"&lt;="&amp;$B$5))</f>
        <v/>
      </c>
      <c r="E42" s="28" t="str">
        <f aca="false">IF($A42="","",SUMIFS(Asistencia!$H$5:$H$504,Asistencia!$B$5:$B$504,$A42,Asistencia!$A$5:$A$504,"&gt;="&amp;$B$4,Asistencia!$A$5:$A$504,"&lt;="&amp;$B$5))</f>
        <v/>
      </c>
      <c r="F42" s="28" t="str">
        <f aca="false">IF($A42="","",SUMIFS('Registro por hora'!$H$5:$H$2004,'Registro por hora'!$B$5:$B$2004,$A42,'Registro por hora'!$A$5:$A$2004,"&gt;="&amp;$B$4,'Registro por hora'!$A$5:$A$2004,"&lt;="&amp;$B$5))</f>
        <v/>
      </c>
      <c r="G42" s="29" t="str">
        <f aca="false">IF(OR($A42="",N(E42)=0),"",F42/E42)</f>
        <v/>
      </c>
      <c r="H42" s="28" t="str">
        <f aca="false">IF(OR($A42="",N(B42)=0),"",E42/B42)</f>
        <v/>
      </c>
      <c r="I42" s="2"/>
      <c r="J42" s="26" t="str">
        <f aca="false">IF(Metas!A38="","",Metas!A38)</f>
        <v/>
      </c>
      <c r="K42" s="26" t="str">
        <f aca="false">IF(Metas!A38="","",Metas!B38)</f>
        <v/>
      </c>
      <c r="L42" s="28" t="str">
        <f aca="false">IF(J42="","",SUMIFS('Registro por hora'!$H$5:$H$2004,'Registro por hora'!$F$5:$F$2004,J42,'Registro por hora'!$A$5:$A$2004,"&gt;="&amp;$B$4,'Registro por hora'!$A$5:$A$2004,"&lt;="&amp;$B$5))</f>
        <v/>
      </c>
      <c r="M42" s="29" t="str">
        <f aca="false">IF(OR(J42="",SUM($L$9:$L$58)=0),"",L42/SUM($L$9:$L$58))</f>
        <v/>
      </c>
    </row>
    <row r="43" customFormat="false" ht="15" hidden="false" customHeight="false" outlineLevel="0" collapsed="false">
      <c r="A43" s="26" t="str">
        <f aca="false">IF(Personal!B39="","",Personal!B39)</f>
        <v/>
      </c>
      <c r="B43" s="26" t="str">
        <f aca="false">IF($A43="","",COUNTIFS(Asistencia!$B$5:$B$504,$A43,Asistencia!$A$5:$A$504,"&gt;="&amp;$B$4,Asistencia!$A$5:$A$504,"&lt;="&amp;$B$5)-COUNTIFS(Asistencia!$B$5:$B$504,$A43,Asistencia!$D$5:$D$504,"Ausente",Asistencia!$A$5:$A$504,"&gt;="&amp;$B$4,Asistencia!$A$5:$A$504,"&lt;="&amp;$B$5))</f>
        <v/>
      </c>
      <c r="C43" s="26" t="str">
        <f aca="false">IF($A43="","",COUNTIFS(Asistencia!$B$5:$B$504,$A43,Asistencia!$D$5:$D$504,"Ausente",Asistencia!$A$5:$A$504,"&gt;="&amp;$B$4,Asistencia!$A$5:$A$504,"&lt;="&amp;$B$5))</f>
        <v/>
      </c>
      <c r="D43" s="27" t="str">
        <f aca="false">IF($A43="","",COUNTIFS(Asistencia!$B$5:$B$504,$A43,Asistencia!$D$5:$D$504,"Ausente",Asistencia!$I$5:$I$504,"",Asistencia!$A$5:$A$504,"&gt;="&amp;$B$4,Asistencia!$A$5:$A$504,"&lt;="&amp;$B$5))</f>
        <v/>
      </c>
      <c r="E43" s="28" t="str">
        <f aca="false">IF($A43="","",SUMIFS(Asistencia!$H$5:$H$504,Asistencia!$B$5:$B$504,$A43,Asistencia!$A$5:$A$504,"&gt;="&amp;$B$4,Asistencia!$A$5:$A$504,"&lt;="&amp;$B$5))</f>
        <v/>
      </c>
      <c r="F43" s="28" t="str">
        <f aca="false">IF($A43="","",SUMIFS('Registro por hora'!$H$5:$H$2004,'Registro por hora'!$B$5:$B$2004,$A43,'Registro por hora'!$A$5:$A$2004,"&gt;="&amp;$B$4,'Registro por hora'!$A$5:$A$2004,"&lt;="&amp;$B$5))</f>
        <v/>
      </c>
      <c r="G43" s="29" t="str">
        <f aca="false">IF(OR($A43="",N(E43)=0),"",F43/E43)</f>
        <v/>
      </c>
      <c r="H43" s="28" t="str">
        <f aca="false">IF(OR($A43="",N(B43)=0),"",E43/B43)</f>
        <v/>
      </c>
      <c r="I43" s="2"/>
      <c r="J43" s="26" t="str">
        <f aca="false">IF(Metas!A39="","",Metas!A39)</f>
        <v/>
      </c>
      <c r="K43" s="26" t="str">
        <f aca="false">IF(Metas!A39="","",Metas!B39)</f>
        <v/>
      </c>
      <c r="L43" s="28" t="str">
        <f aca="false">IF(J43="","",SUMIFS('Registro por hora'!$H$5:$H$2004,'Registro por hora'!$F$5:$F$2004,J43,'Registro por hora'!$A$5:$A$2004,"&gt;="&amp;$B$4,'Registro por hora'!$A$5:$A$2004,"&lt;="&amp;$B$5))</f>
        <v/>
      </c>
      <c r="M43" s="29" t="str">
        <f aca="false">IF(OR(J43="",SUM($L$9:$L$58)=0),"",L43/SUM($L$9:$L$58))</f>
        <v/>
      </c>
    </row>
    <row r="44" customFormat="false" ht="15" hidden="false" customHeight="false" outlineLevel="0" collapsed="false">
      <c r="A44" s="26" t="str">
        <f aca="false">IF(Personal!B40="","",Personal!B40)</f>
        <v/>
      </c>
      <c r="B44" s="26" t="str">
        <f aca="false">IF($A44="","",COUNTIFS(Asistencia!$B$5:$B$504,$A44,Asistencia!$A$5:$A$504,"&gt;="&amp;$B$4,Asistencia!$A$5:$A$504,"&lt;="&amp;$B$5)-COUNTIFS(Asistencia!$B$5:$B$504,$A44,Asistencia!$D$5:$D$504,"Ausente",Asistencia!$A$5:$A$504,"&gt;="&amp;$B$4,Asistencia!$A$5:$A$504,"&lt;="&amp;$B$5))</f>
        <v/>
      </c>
      <c r="C44" s="26" t="str">
        <f aca="false">IF($A44="","",COUNTIFS(Asistencia!$B$5:$B$504,$A44,Asistencia!$D$5:$D$504,"Ausente",Asistencia!$A$5:$A$504,"&gt;="&amp;$B$4,Asistencia!$A$5:$A$504,"&lt;="&amp;$B$5))</f>
        <v/>
      </c>
      <c r="D44" s="27" t="str">
        <f aca="false">IF($A44="","",COUNTIFS(Asistencia!$B$5:$B$504,$A44,Asistencia!$D$5:$D$504,"Ausente",Asistencia!$I$5:$I$504,"",Asistencia!$A$5:$A$504,"&gt;="&amp;$B$4,Asistencia!$A$5:$A$504,"&lt;="&amp;$B$5))</f>
        <v/>
      </c>
      <c r="E44" s="28" t="str">
        <f aca="false">IF($A44="","",SUMIFS(Asistencia!$H$5:$H$504,Asistencia!$B$5:$B$504,$A44,Asistencia!$A$5:$A$504,"&gt;="&amp;$B$4,Asistencia!$A$5:$A$504,"&lt;="&amp;$B$5))</f>
        <v/>
      </c>
      <c r="F44" s="28" t="str">
        <f aca="false">IF($A44="","",SUMIFS('Registro por hora'!$H$5:$H$2004,'Registro por hora'!$B$5:$B$2004,$A44,'Registro por hora'!$A$5:$A$2004,"&gt;="&amp;$B$4,'Registro por hora'!$A$5:$A$2004,"&lt;="&amp;$B$5))</f>
        <v/>
      </c>
      <c r="G44" s="29" t="str">
        <f aca="false">IF(OR($A44="",N(E44)=0),"",F44/E44)</f>
        <v/>
      </c>
      <c r="H44" s="28" t="str">
        <f aca="false">IF(OR($A44="",N(B44)=0),"",E44/B44)</f>
        <v/>
      </c>
      <c r="I44" s="2"/>
      <c r="J44" s="26" t="str">
        <f aca="false">IF(Metas!A40="","",Metas!A40)</f>
        <v/>
      </c>
      <c r="K44" s="26" t="str">
        <f aca="false">IF(Metas!A40="","",Metas!B40)</f>
        <v/>
      </c>
      <c r="L44" s="28" t="str">
        <f aca="false">IF(J44="","",SUMIFS('Registro por hora'!$H$5:$H$2004,'Registro por hora'!$F$5:$F$2004,J44,'Registro por hora'!$A$5:$A$2004,"&gt;="&amp;$B$4,'Registro por hora'!$A$5:$A$2004,"&lt;="&amp;$B$5))</f>
        <v/>
      </c>
      <c r="M44" s="29" t="str">
        <f aca="false">IF(OR(J44="",SUM($L$9:$L$58)=0),"",L44/SUM($L$9:$L$58))</f>
        <v/>
      </c>
    </row>
    <row r="45" customFormat="false" ht="15" hidden="false" customHeight="false" outlineLevel="0" collapsed="false">
      <c r="A45" s="26" t="str">
        <f aca="false">IF(Personal!B41="","",Personal!B41)</f>
        <v/>
      </c>
      <c r="B45" s="26" t="str">
        <f aca="false">IF($A45="","",COUNTIFS(Asistencia!$B$5:$B$504,$A45,Asistencia!$A$5:$A$504,"&gt;="&amp;$B$4,Asistencia!$A$5:$A$504,"&lt;="&amp;$B$5)-COUNTIFS(Asistencia!$B$5:$B$504,$A45,Asistencia!$D$5:$D$504,"Ausente",Asistencia!$A$5:$A$504,"&gt;="&amp;$B$4,Asistencia!$A$5:$A$504,"&lt;="&amp;$B$5))</f>
        <v/>
      </c>
      <c r="C45" s="26" t="str">
        <f aca="false">IF($A45="","",COUNTIFS(Asistencia!$B$5:$B$504,$A45,Asistencia!$D$5:$D$504,"Ausente",Asistencia!$A$5:$A$504,"&gt;="&amp;$B$4,Asistencia!$A$5:$A$504,"&lt;="&amp;$B$5))</f>
        <v/>
      </c>
      <c r="D45" s="27" t="str">
        <f aca="false">IF($A45="","",COUNTIFS(Asistencia!$B$5:$B$504,$A45,Asistencia!$D$5:$D$504,"Ausente",Asistencia!$I$5:$I$504,"",Asistencia!$A$5:$A$504,"&gt;="&amp;$B$4,Asistencia!$A$5:$A$504,"&lt;="&amp;$B$5))</f>
        <v/>
      </c>
      <c r="E45" s="28" t="str">
        <f aca="false">IF($A45="","",SUMIFS(Asistencia!$H$5:$H$504,Asistencia!$B$5:$B$504,$A45,Asistencia!$A$5:$A$504,"&gt;="&amp;$B$4,Asistencia!$A$5:$A$504,"&lt;="&amp;$B$5))</f>
        <v/>
      </c>
      <c r="F45" s="28" t="str">
        <f aca="false">IF($A45="","",SUMIFS('Registro por hora'!$H$5:$H$2004,'Registro por hora'!$B$5:$B$2004,$A45,'Registro por hora'!$A$5:$A$2004,"&gt;="&amp;$B$4,'Registro por hora'!$A$5:$A$2004,"&lt;="&amp;$B$5))</f>
        <v/>
      </c>
      <c r="G45" s="29" t="str">
        <f aca="false">IF(OR($A45="",N(E45)=0),"",F45/E45)</f>
        <v/>
      </c>
      <c r="H45" s="28" t="str">
        <f aca="false">IF(OR($A45="",N(B45)=0),"",E45/B45)</f>
        <v/>
      </c>
      <c r="I45" s="2"/>
      <c r="J45" s="26" t="str">
        <f aca="false">IF(Metas!A41="","",Metas!A41)</f>
        <v/>
      </c>
      <c r="K45" s="26" t="str">
        <f aca="false">IF(Metas!A41="","",Metas!B41)</f>
        <v/>
      </c>
      <c r="L45" s="28" t="str">
        <f aca="false">IF(J45="","",SUMIFS('Registro por hora'!$H$5:$H$2004,'Registro por hora'!$F$5:$F$2004,J45,'Registro por hora'!$A$5:$A$2004,"&gt;="&amp;$B$4,'Registro por hora'!$A$5:$A$2004,"&lt;="&amp;$B$5))</f>
        <v/>
      </c>
      <c r="M45" s="29" t="str">
        <f aca="false">IF(OR(J45="",SUM($L$9:$L$58)=0),"",L45/SUM($L$9:$L$58))</f>
        <v/>
      </c>
    </row>
    <row r="46" customFormat="false" ht="15" hidden="false" customHeight="false" outlineLevel="0" collapsed="false">
      <c r="A46" s="26" t="str">
        <f aca="false">IF(Personal!B42="","",Personal!B42)</f>
        <v/>
      </c>
      <c r="B46" s="26" t="str">
        <f aca="false">IF($A46="","",COUNTIFS(Asistencia!$B$5:$B$504,$A46,Asistencia!$A$5:$A$504,"&gt;="&amp;$B$4,Asistencia!$A$5:$A$504,"&lt;="&amp;$B$5)-COUNTIFS(Asistencia!$B$5:$B$504,$A46,Asistencia!$D$5:$D$504,"Ausente",Asistencia!$A$5:$A$504,"&gt;="&amp;$B$4,Asistencia!$A$5:$A$504,"&lt;="&amp;$B$5))</f>
        <v/>
      </c>
      <c r="C46" s="26" t="str">
        <f aca="false">IF($A46="","",COUNTIFS(Asistencia!$B$5:$B$504,$A46,Asistencia!$D$5:$D$504,"Ausente",Asistencia!$A$5:$A$504,"&gt;="&amp;$B$4,Asistencia!$A$5:$A$504,"&lt;="&amp;$B$5))</f>
        <v/>
      </c>
      <c r="D46" s="27" t="str">
        <f aca="false">IF($A46="","",COUNTIFS(Asistencia!$B$5:$B$504,$A46,Asistencia!$D$5:$D$504,"Ausente",Asistencia!$I$5:$I$504,"",Asistencia!$A$5:$A$504,"&gt;="&amp;$B$4,Asistencia!$A$5:$A$504,"&lt;="&amp;$B$5))</f>
        <v/>
      </c>
      <c r="E46" s="28" t="str">
        <f aca="false">IF($A46="","",SUMIFS(Asistencia!$H$5:$H$504,Asistencia!$B$5:$B$504,$A46,Asistencia!$A$5:$A$504,"&gt;="&amp;$B$4,Asistencia!$A$5:$A$504,"&lt;="&amp;$B$5))</f>
        <v/>
      </c>
      <c r="F46" s="28" t="str">
        <f aca="false">IF($A46="","",SUMIFS('Registro por hora'!$H$5:$H$2004,'Registro por hora'!$B$5:$B$2004,$A46,'Registro por hora'!$A$5:$A$2004,"&gt;="&amp;$B$4,'Registro por hora'!$A$5:$A$2004,"&lt;="&amp;$B$5))</f>
        <v/>
      </c>
      <c r="G46" s="29" t="str">
        <f aca="false">IF(OR($A46="",N(E46)=0),"",F46/E46)</f>
        <v/>
      </c>
      <c r="H46" s="28" t="str">
        <f aca="false">IF(OR($A46="",N(B46)=0),"",E46/B46)</f>
        <v/>
      </c>
      <c r="I46" s="2"/>
      <c r="J46" s="26" t="str">
        <f aca="false">IF(Metas!A42="","",Metas!A42)</f>
        <v/>
      </c>
      <c r="K46" s="26" t="str">
        <f aca="false">IF(Metas!A42="","",Metas!B42)</f>
        <v/>
      </c>
      <c r="L46" s="28" t="str">
        <f aca="false">IF(J46="","",SUMIFS('Registro por hora'!$H$5:$H$2004,'Registro por hora'!$F$5:$F$2004,J46,'Registro por hora'!$A$5:$A$2004,"&gt;="&amp;$B$4,'Registro por hora'!$A$5:$A$2004,"&lt;="&amp;$B$5))</f>
        <v/>
      </c>
      <c r="M46" s="29" t="str">
        <f aca="false">IF(OR(J46="",SUM($L$9:$L$58)=0),"",L46/SUM($L$9:$L$58))</f>
        <v/>
      </c>
    </row>
    <row r="47" customFormat="false" ht="15" hidden="false" customHeight="false" outlineLevel="0" collapsed="false">
      <c r="A47" s="26" t="str">
        <f aca="false">IF(Personal!B43="","",Personal!B43)</f>
        <v/>
      </c>
      <c r="B47" s="26" t="str">
        <f aca="false">IF($A47="","",COUNTIFS(Asistencia!$B$5:$B$504,$A47,Asistencia!$A$5:$A$504,"&gt;="&amp;$B$4,Asistencia!$A$5:$A$504,"&lt;="&amp;$B$5)-COUNTIFS(Asistencia!$B$5:$B$504,$A47,Asistencia!$D$5:$D$504,"Ausente",Asistencia!$A$5:$A$504,"&gt;="&amp;$B$4,Asistencia!$A$5:$A$504,"&lt;="&amp;$B$5))</f>
        <v/>
      </c>
      <c r="C47" s="26" t="str">
        <f aca="false">IF($A47="","",COUNTIFS(Asistencia!$B$5:$B$504,$A47,Asistencia!$D$5:$D$504,"Ausente",Asistencia!$A$5:$A$504,"&gt;="&amp;$B$4,Asistencia!$A$5:$A$504,"&lt;="&amp;$B$5))</f>
        <v/>
      </c>
      <c r="D47" s="27" t="str">
        <f aca="false">IF($A47="","",COUNTIFS(Asistencia!$B$5:$B$504,$A47,Asistencia!$D$5:$D$504,"Ausente",Asistencia!$I$5:$I$504,"",Asistencia!$A$5:$A$504,"&gt;="&amp;$B$4,Asistencia!$A$5:$A$504,"&lt;="&amp;$B$5))</f>
        <v/>
      </c>
      <c r="E47" s="28" t="str">
        <f aca="false">IF($A47="","",SUMIFS(Asistencia!$H$5:$H$504,Asistencia!$B$5:$B$504,$A47,Asistencia!$A$5:$A$504,"&gt;="&amp;$B$4,Asistencia!$A$5:$A$504,"&lt;="&amp;$B$5))</f>
        <v/>
      </c>
      <c r="F47" s="28" t="str">
        <f aca="false">IF($A47="","",SUMIFS('Registro por hora'!$H$5:$H$2004,'Registro por hora'!$B$5:$B$2004,$A47,'Registro por hora'!$A$5:$A$2004,"&gt;="&amp;$B$4,'Registro por hora'!$A$5:$A$2004,"&lt;="&amp;$B$5))</f>
        <v/>
      </c>
      <c r="G47" s="29" t="str">
        <f aca="false">IF(OR($A47="",N(E47)=0),"",F47/E47)</f>
        <v/>
      </c>
      <c r="H47" s="28" t="str">
        <f aca="false">IF(OR($A47="",N(B47)=0),"",E47/B47)</f>
        <v/>
      </c>
      <c r="I47" s="2"/>
      <c r="J47" s="26" t="str">
        <f aca="false">IF(Metas!A43="","",Metas!A43)</f>
        <v/>
      </c>
      <c r="K47" s="26" t="str">
        <f aca="false">IF(Metas!A43="","",Metas!B43)</f>
        <v/>
      </c>
      <c r="L47" s="28" t="str">
        <f aca="false">IF(J47="","",SUMIFS('Registro por hora'!$H$5:$H$2004,'Registro por hora'!$F$5:$F$2004,J47,'Registro por hora'!$A$5:$A$2004,"&gt;="&amp;$B$4,'Registro por hora'!$A$5:$A$2004,"&lt;="&amp;$B$5))</f>
        <v/>
      </c>
      <c r="M47" s="29" t="str">
        <f aca="false">IF(OR(J47="",SUM($L$9:$L$58)=0),"",L47/SUM($L$9:$L$58))</f>
        <v/>
      </c>
    </row>
    <row r="48" customFormat="false" ht="15" hidden="false" customHeight="false" outlineLevel="0" collapsed="false">
      <c r="A48" s="26" t="str">
        <f aca="false">IF(Personal!B44="","",Personal!B44)</f>
        <v/>
      </c>
      <c r="B48" s="26" t="str">
        <f aca="false">IF($A48="","",COUNTIFS(Asistencia!$B$5:$B$504,$A48,Asistencia!$A$5:$A$504,"&gt;="&amp;$B$4,Asistencia!$A$5:$A$504,"&lt;="&amp;$B$5)-COUNTIFS(Asistencia!$B$5:$B$504,$A48,Asistencia!$D$5:$D$504,"Ausente",Asistencia!$A$5:$A$504,"&gt;="&amp;$B$4,Asistencia!$A$5:$A$504,"&lt;="&amp;$B$5))</f>
        <v/>
      </c>
      <c r="C48" s="26" t="str">
        <f aca="false">IF($A48="","",COUNTIFS(Asistencia!$B$5:$B$504,$A48,Asistencia!$D$5:$D$504,"Ausente",Asistencia!$A$5:$A$504,"&gt;="&amp;$B$4,Asistencia!$A$5:$A$504,"&lt;="&amp;$B$5))</f>
        <v/>
      </c>
      <c r="D48" s="27" t="str">
        <f aca="false">IF($A48="","",COUNTIFS(Asistencia!$B$5:$B$504,$A48,Asistencia!$D$5:$D$504,"Ausente",Asistencia!$I$5:$I$504,"",Asistencia!$A$5:$A$504,"&gt;="&amp;$B$4,Asistencia!$A$5:$A$504,"&lt;="&amp;$B$5))</f>
        <v/>
      </c>
      <c r="E48" s="28" t="str">
        <f aca="false">IF($A48="","",SUMIFS(Asistencia!$H$5:$H$504,Asistencia!$B$5:$B$504,$A48,Asistencia!$A$5:$A$504,"&gt;="&amp;$B$4,Asistencia!$A$5:$A$504,"&lt;="&amp;$B$5))</f>
        <v/>
      </c>
      <c r="F48" s="28" t="str">
        <f aca="false">IF($A48="","",SUMIFS('Registro por hora'!$H$5:$H$2004,'Registro por hora'!$B$5:$B$2004,$A48,'Registro por hora'!$A$5:$A$2004,"&gt;="&amp;$B$4,'Registro por hora'!$A$5:$A$2004,"&lt;="&amp;$B$5))</f>
        <v/>
      </c>
      <c r="G48" s="29" t="str">
        <f aca="false">IF(OR($A48="",N(E48)=0),"",F48/E48)</f>
        <v/>
      </c>
      <c r="H48" s="28" t="str">
        <f aca="false">IF(OR($A48="",N(B48)=0),"",E48/B48)</f>
        <v/>
      </c>
      <c r="I48" s="2"/>
      <c r="J48" s="26" t="str">
        <f aca="false">IF(Metas!A44="","",Metas!A44)</f>
        <v/>
      </c>
      <c r="K48" s="26" t="str">
        <f aca="false">IF(Metas!A44="","",Metas!B44)</f>
        <v/>
      </c>
      <c r="L48" s="28" t="str">
        <f aca="false">IF(J48="","",SUMIFS('Registro por hora'!$H$5:$H$2004,'Registro por hora'!$F$5:$F$2004,J48,'Registro por hora'!$A$5:$A$2004,"&gt;="&amp;$B$4,'Registro por hora'!$A$5:$A$2004,"&lt;="&amp;$B$5))</f>
        <v/>
      </c>
      <c r="M48" s="29" t="str">
        <f aca="false">IF(OR(J48="",SUM($L$9:$L$58)=0),"",L48/SUM($L$9:$L$58))</f>
        <v/>
      </c>
    </row>
    <row r="49" customFormat="false" ht="15" hidden="false" customHeight="false" outlineLevel="0" collapsed="false">
      <c r="A49" s="26" t="str">
        <f aca="false">IF(Personal!B45="","",Personal!B45)</f>
        <v/>
      </c>
      <c r="B49" s="26" t="str">
        <f aca="false">IF($A49="","",COUNTIFS(Asistencia!$B$5:$B$504,$A49,Asistencia!$A$5:$A$504,"&gt;="&amp;$B$4,Asistencia!$A$5:$A$504,"&lt;="&amp;$B$5)-COUNTIFS(Asistencia!$B$5:$B$504,$A49,Asistencia!$D$5:$D$504,"Ausente",Asistencia!$A$5:$A$504,"&gt;="&amp;$B$4,Asistencia!$A$5:$A$504,"&lt;="&amp;$B$5))</f>
        <v/>
      </c>
      <c r="C49" s="26" t="str">
        <f aca="false">IF($A49="","",COUNTIFS(Asistencia!$B$5:$B$504,$A49,Asistencia!$D$5:$D$504,"Ausente",Asistencia!$A$5:$A$504,"&gt;="&amp;$B$4,Asistencia!$A$5:$A$504,"&lt;="&amp;$B$5))</f>
        <v/>
      </c>
      <c r="D49" s="27" t="str">
        <f aca="false">IF($A49="","",COUNTIFS(Asistencia!$B$5:$B$504,$A49,Asistencia!$D$5:$D$504,"Ausente",Asistencia!$I$5:$I$504,"",Asistencia!$A$5:$A$504,"&gt;="&amp;$B$4,Asistencia!$A$5:$A$504,"&lt;="&amp;$B$5))</f>
        <v/>
      </c>
      <c r="E49" s="28" t="str">
        <f aca="false">IF($A49="","",SUMIFS(Asistencia!$H$5:$H$504,Asistencia!$B$5:$B$504,$A49,Asistencia!$A$5:$A$504,"&gt;="&amp;$B$4,Asistencia!$A$5:$A$504,"&lt;="&amp;$B$5))</f>
        <v/>
      </c>
      <c r="F49" s="28" t="str">
        <f aca="false">IF($A49="","",SUMIFS('Registro por hora'!$H$5:$H$2004,'Registro por hora'!$B$5:$B$2004,$A49,'Registro por hora'!$A$5:$A$2004,"&gt;="&amp;$B$4,'Registro por hora'!$A$5:$A$2004,"&lt;="&amp;$B$5))</f>
        <v/>
      </c>
      <c r="G49" s="29" t="str">
        <f aca="false">IF(OR($A49="",N(E49)=0),"",F49/E49)</f>
        <v/>
      </c>
      <c r="H49" s="28" t="str">
        <f aca="false">IF(OR($A49="",N(B49)=0),"",E49/B49)</f>
        <v/>
      </c>
      <c r="I49" s="2"/>
      <c r="J49" s="26" t="str">
        <f aca="false">IF(Metas!A45="","",Metas!A45)</f>
        <v/>
      </c>
      <c r="K49" s="26" t="str">
        <f aca="false">IF(Metas!A45="","",Metas!B45)</f>
        <v/>
      </c>
      <c r="L49" s="28" t="str">
        <f aca="false">IF(J49="","",SUMIFS('Registro por hora'!$H$5:$H$2004,'Registro por hora'!$F$5:$F$2004,J49,'Registro por hora'!$A$5:$A$2004,"&gt;="&amp;$B$4,'Registro por hora'!$A$5:$A$2004,"&lt;="&amp;$B$5))</f>
        <v/>
      </c>
      <c r="M49" s="29" t="str">
        <f aca="false">IF(OR(J49="",SUM($L$9:$L$58)=0),"",L49/SUM($L$9:$L$58))</f>
        <v/>
      </c>
    </row>
    <row r="50" customFormat="false" ht="15" hidden="false" customHeight="false" outlineLevel="0" collapsed="false">
      <c r="A50" s="26" t="str">
        <f aca="false">IF(Personal!B46="","",Personal!B46)</f>
        <v/>
      </c>
      <c r="B50" s="26" t="str">
        <f aca="false">IF($A50="","",COUNTIFS(Asistencia!$B$5:$B$504,$A50,Asistencia!$A$5:$A$504,"&gt;="&amp;$B$4,Asistencia!$A$5:$A$504,"&lt;="&amp;$B$5)-COUNTIFS(Asistencia!$B$5:$B$504,$A50,Asistencia!$D$5:$D$504,"Ausente",Asistencia!$A$5:$A$504,"&gt;="&amp;$B$4,Asistencia!$A$5:$A$504,"&lt;="&amp;$B$5))</f>
        <v/>
      </c>
      <c r="C50" s="26" t="str">
        <f aca="false">IF($A50="","",COUNTIFS(Asistencia!$B$5:$B$504,$A50,Asistencia!$D$5:$D$504,"Ausente",Asistencia!$A$5:$A$504,"&gt;="&amp;$B$4,Asistencia!$A$5:$A$504,"&lt;="&amp;$B$5))</f>
        <v/>
      </c>
      <c r="D50" s="27" t="str">
        <f aca="false">IF($A50="","",COUNTIFS(Asistencia!$B$5:$B$504,$A50,Asistencia!$D$5:$D$504,"Ausente",Asistencia!$I$5:$I$504,"",Asistencia!$A$5:$A$504,"&gt;="&amp;$B$4,Asistencia!$A$5:$A$504,"&lt;="&amp;$B$5))</f>
        <v/>
      </c>
      <c r="E50" s="28" t="str">
        <f aca="false">IF($A50="","",SUMIFS(Asistencia!$H$5:$H$504,Asistencia!$B$5:$B$504,$A50,Asistencia!$A$5:$A$504,"&gt;="&amp;$B$4,Asistencia!$A$5:$A$504,"&lt;="&amp;$B$5))</f>
        <v/>
      </c>
      <c r="F50" s="28" t="str">
        <f aca="false">IF($A50="","",SUMIFS('Registro por hora'!$H$5:$H$2004,'Registro por hora'!$B$5:$B$2004,$A50,'Registro por hora'!$A$5:$A$2004,"&gt;="&amp;$B$4,'Registro por hora'!$A$5:$A$2004,"&lt;="&amp;$B$5))</f>
        <v/>
      </c>
      <c r="G50" s="29" t="str">
        <f aca="false">IF(OR($A50="",N(E50)=0),"",F50/E50)</f>
        <v/>
      </c>
      <c r="H50" s="28" t="str">
        <f aca="false">IF(OR($A50="",N(B50)=0),"",E50/B50)</f>
        <v/>
      </c>
      <c r="I50" s="2"/>
      <c r="J50" s="26" t="str">
        <f aca="false">IF(Metas!A46="","",Metas!A46)</f>
        <v/>
      </c>
      <c r="K50" s="26" t="str">
        <f aca="false">IF(Metas!A46="","",Metas!B46)</f>
        <v/>
      </c>
      <c r="L50" s="28" t="str">
        <f aca="false">IF(J50="","",SUMIFS('Registro por hora'!$H$5:$H$2004,'Registro por hora'!$F$5:$F$2004,J50,'Registro por hora'!$A$5:$A$2004,"&gt;="&amp;$B$4,'Registro por hora'!$A$5:$A$2004,"&lt;="&amp;$B$5))</f>
        <v/>
      </c>
      <c r="M50" s="29" t="str">
        <f aca="false">IF(OR(J50="",SUM($L$9:$L$58)=0),"",L50/SUM($L$9:$L$58))</f>
        <v/>
      </c>
    </row>
    <row r="51" customFormat="false" ht="15" hidden="false" customHeight="false" outlineLevel="0" collapsed="false">
      <c r="A51" s="26" t="str">
        <f aca="false">IF(Personal!B47="","",Personal!B47)</f>
        <v/>
      </c>
      <c r="B51" s="26" t="str">
        <f aca="false">IF($A51="","",COUNTIFS(Asistencia!$B$5:$B$504,$A51,Asistencia!$A$5:$A$504,"&gt;="&amp;$B$4,Asistencia!$A$5:$A$504,"&lt;="&amp;$B$5)-COUNTIFS(Asistencia!$B$5:$B$504,$A51,Asistencia!$D$5:$D$504,"Ausente",Asistencia!$A$5:$A$504,"&gt;="&amp;$B$4,Asistencia!$A$5:$A$504,"&lt;="&amp;$B$5))</f>
        <v/>
      </c>
      <c r="C51" s="26" t="str">
        <f aca="false">IF($A51="","",COUNTIFS(Asistencia!$B$5:$B$504,$A51,Asistencia!$D$5:$D$504,"Ausente",Asistencia!$A$5:$A$504,"&gt;="&amp;$B$4,Asistencia!$A$5:$A$504,"&lt;="&amp;$B$5))</f>
        <v/>
      </c>
      <c r="D51" s="27" t="str">
        <f aca="false">IF($A51="","",COUNTIFS(Asistencia!$B$5:$B$504,$A51,Asistencia!$D$5:$D$504,"Ausente",Asistencia!$I$5:$I$504,"",Asistencia!$A$5:$A$504,"&gt;="&amp;$B$4,Asistencia!$A$5:$A$504,"&lt;="&amp;$B$5))</f>
        <v/>
      </c>
      <c r="E51" s="28" t="str">
        <f aca="false">IF($A51="","",SUMIFS(Asistencia!$H$5:$H$504,Asistencia!$B$5:$B$504,$A51,Asistencia!$A$5:$A$504,"&gt;="&amp;$B$4,Asistencia!$A$5:$A$504,"&lt;="&amp;$B$5))</f>
        <v/>
      </c>
      <c r="F51" s="28" t="str">
        <f aca="false">IF($A51="","",SUMIFS('Registro por hora'!$H$5:$H$2004,'Registro por hora'!$B$5:$B$2004,$A51,'Registro por hora'!$A$5:$A$2004,"&gt;="&amp;$B$4,'Registro por hora'!$A$5:$A$2004,"&lt;="&amp;$B$5))</f>
        <v/>
      </c>
      <c r="G51" s="29" t="str">
        <f aca="false">IF(OR($A51="",N(E51)=0),"",F51/E51)</f>
        <v/>
      </c>
      <c r="H51" s="28" t="str">
        <f aca="false">IF(OR($A51="",N(B51)=0),"",E51/B51)</f>
        <v/>
      </c>
      <c r="I51" s="2"/>
      <c r="J51" s="26" t="str">
        <f aca="false">IF(Metas!A47="","",Metas!A47)</f>
        <v/>
      </c>
      <c r="K51" s="26" t="str">
        <f aca="false">IF(Metas!A47="","",Metas!B47)</f>
        <v/>
      </c>
      <c r="L51" s="28" t="str">
        <f aca="false">IF(J51="","",SUMIFS('Registro por hora'!$H$5:$H$2004,'Registro por hora'!$F$5:$F$2004,J51,'Registro por hora'!$A$5:$A$2004,"&gt;="&amp;$B$4,'Registro por hora'!$A$5:$A$2004,"&lt;="&amp;$B$5))</f>
        <v/>
      </c>
      <c r="M51" s="29" t="str">
        <f aca="false">IF(OR(J51="",SUM($L$9:$L$58)=0),"",L51/SUM($L$9:$L$58))</f>
        <v/>
      </c>
    </row>
    <row r="52" customFormat="false" ht="15" hidden="false" customHeight="false" outlineLevel="0" collapsed="false">
      <c r="A52" s="26" t="str">
        <f aca="false">IF(Personal!B48="","",Personal!B48)</f>
        <v/>
      </c>
      <c r="B52" s="26" t="str">
        <f aca="false">IF($A52="","",COUNTIFS(Asistencia!$B$5:$B$504,$A52,Asistencia!$A$5:$A$504,"&gt;="&amp;$B$4,Asistencia!$A$5:$A$504,"&lt;="&amp;$B$5)-COUNTIFS(Asistencia!$B$5:$B$504,$A52,Asistencia!$D$5:$D$504,"Ausente",Asistencia!$A$5:$A$504,"&gt;="&amp;$B$4,Asistencia!$A$5:$A$504,"&lt;="&amp;$B$5))</f>
        <v/>
      </c>
      <c r="C52" s="26" t="str">
        <f aca="false">IF($A52="","",COUNTIFS(Asistencia!$B$5:$B$504,$A52,Asistencia!$D$5:$D$504,"Ausente",Asistencia!$A$5:$A$504,"&gt;="&amp;$B$4,Asistencia!$A$5:$A$504,"&lt;="&amp;$B$5))</f>
        <v/>
      </c>
      <c r="D52" s="27" t="str">
        <f aca="false">IF($A52="","",COUNTIFS(Asistencia!$B$5:$B$504,$A52,Asistencia!$D$5:$D$504,"Ausente",Asistencia!$I$5:$I$504,"",Asistencia!$A$5:$A$504,"&gt;="&amp;$B$4,Asistencia!$A$5:$A$504,"&lt;="&amp;$B$5))</f>
        <v/>
      </c>
      <c r="E52" s="28" t="str">
        <f aca="false">IF($A52="","",SUMIFS(Asistencia!$H$5:$H$504,Asistencia!$B$5:$B$504,$A52,Asistencia!$A$5:$A$504,"&gt;="&amp;$B$4,Asistencia!$A$5:$A$504,"&lt;="&amp;$B$5))</f>
        <v/>
      </c>
      <c r="F52" s="28" t="str">
        <f aca="false">IF($A52="","",SUMIFS('Registro por hora'!$H$5:$H$2004,'Registro por hora'!$B$5:$B$2004,$A52,'Registro por hora'!$A$5:$A$2004,"&gt;="&amp;$B$4,'Registro por hora'!$A$5:$A$2004,"&lt;="&amp;$B$5))</f>
        <v/>
      </c>
      <c r="G52" s="29" t="str">
        <f aca="false">IF(OR($A52="",N(E52)=0),"",F52/E52)</f>
        <v/>
      </c>
      <c r="H52" s="28" t="str">
        <f aca="false">IF(OR($A52="",N(B52)=0),"",E52/B52)</f>
        <v/>
      </c>
      <c r="I52" s="2"/>
      <c r="J52" s="26" t="str">
        <f aca="false">IF(Metas!A48="","",Metas!A48)</f>
        <v/>
      </c>
      <c r="K52" s="26" t="str">
        <f aca="false">IF(Metas!A48="","",Metas!B48)</f>
        <v/>
      </c>
      <c r="L52" s="28" t="str">
        <f aca="false">IF(J52="","",SUMIFS('Registro por hora'!$H$5:$H$2004,'Registro por hora'!$F$5:$F$2004,J52,'Registro por hora'!$A$5:$A$2004,"&gt;="&amp;$B$4,'Registro por hora'!$A$5:$A$2004,"&lt;="&amp;$B$5))</f>
        <v/>
      </c>
      <c r="M52" s="29" t="str">
        <f aca="false">IF(OR(J52="",SUM($L$9:$L$58)=0),"",L52/SUM($L$9:$L$58))</f>
        <v/>
      </c>
    </row>
    <row r="53" customFormat="false" ht="15" hidden="false" customHeight="false" outlineLevel="0" collapsed="false">
      <c r="A53" s="26" t="str">
        <f aca="false">IF(Personal!B49="","",Personal!B49)</f>
        <v/>
      </c>
      <c r="B53" s="26" t="str">
        <f aca="false">IF($A53="","",COUNTIFS(Asistencia!$B$5:$B$504,$A53,Asistencia!$A$5:$A$504,"&gt;="&amp;$B$4,Asistencia!$A$5:$A$504,"&lt;="&amp;$B$5)-COUNTIFS(Asistencia!$B$5:$B$504,$A53,Asistencia!$D$5:$D$504,"Ausente",Asistencia!$A$5:$A$504,"&gt;="&amp;$B$4,Asistencia!$A$5:$A$504,"&lt;="&amp;$B$5))</f>
        <v/>
      </c>
      <c r="C53" s="26" t="str">
        <f aca="false">IF($A53="","",COUNTIFS(Asistencia!$B$5:$B$504,$A53,Asistencia!$D$5:$D$504,"Ausente",Asistencia!$A$5:$A$504,"&gt;="&amp;$B$4,Asistencia!$A$5:$A$504,"&lt;="&amp;$B$5))</f>
        <v/>
      </c>
      <c r="D53" s="27" t="str">
        <f aca="false">IF($A53="","",COUNTIFS(Asistencia!$B$5:$B$504,$A53,Asistencia!$D$5:$D$504,"Ausente",Asistencia!$I$5:$I$504,"",Asistencia!$A$5:$A$504,"&gt;="&amp;$B$4,Asistencia!$A$5:$A$504,"&lt;="&amp;$B$5))</f>
        <v/>
      </c>
      <c r="E53" s="28" t="str">
        <f aca="false">IF($A53="","",SUMIFS(Asistencia!$H$5:$H$504,Asistencia!$B$5:$B$504,$A53,Asistencia!$A$5:$A$504,"&gt;="&amp;$B$4,Asistencia!$A$5:$A$504,"&lt;="&amp;$B$5))</f>
        <v/>
      </c>
      <c r="F53" s="28" t="str">
        <f aca="false">IF($A53="","",SUMIFS('Registro por hora'!$H$5:$H$2004,'Registro por hora'!$B$5:$B$2004,$A53,'Registro por hora'!$A$5:$A$2004,"&gt;="&amp;$B$4,'Registro por hora'!$A$5:$A$2004,"&lt;="&amp;$B$5))</f>
        <v/>
      </c>
      <c r="G53" s="29" t="str">
        <f aca="false">IF(OR($A53="",N(E53)=0),"",F53/E53)</f>
        <v/>
      </c>
      <c r="H53" s="28" t="str">
        <f aca="false">IF(OR($A53="",N(B53)=0),"",E53/B53)</f>
        <v/>
      </c>
      <c r="I53" s="2"/>
      <c r="J53" s="26" t="str">
        <f aca="false">IF(Metas!A49="","",Metas!A49)</f>
        <v/>
      </c>
      <c r="K53" s="26" t="str">
        <f aca="false">IF(Metas!A49="","",Metas!B49)</f>
        <v/>
      </c>
      <c r="L53" s="28" t="str">
        <f aca="false">IF(J53="","",SUMIFS('Registro por hora'!$H$5:$H$2004,'Registro por hora'!$F$5:$F$2004,J53,'Registro por hora'!$A$5:$A$2004,"&gt;="&amp;$B$4,'Registro por hora'!$A$5:$A$2004,"&lt;="&amp;$B$5))</f>
        <v/>
      </c>
      <c r="M53" s="29" t="str">
        <f aca="false">IF(OR(J53="",SUM($L$9:$L$58)=0),"",L53/SUM($L$9:$L$58))</f>
        <v/>
      </c>
    </row>
    <row r="54" customFormat="false" ht="15" hidden="false" customHeight="false" outlineLevel="0" collapsed="false">
      <c r="A54" s="26" t="str">
        <f aca="false">IF(Personal!B50="","",Personal!B50)</f>
        <v/>
      </c>
      <c r="B54" s="26" t="str">
        <f aca="false">IF($A54="","",COUNTIFS(Asistencia!$B$5:$B$504,$A54,Asistencia!$A$5:$A$504,"&gt;="&amp;$B$4,Asistencia!$A$5:$A$504,"&lt;="&amp;$B$5)-COUNTIFS(Asistencia!$B$5:$B$504,$A54,Asistencia!$D$5:$D$504,"Ausente",Asistencia!$A$5:$A$504,"&gt;="&amp;$B$4,Asistencia!$A$5:$A$504,"&lt;="&amp;$B$5))</f>
        <v/>
      </c>
      <c r="C54" s="26" t="str">
        <f aca="false">IF($A54="","",COUNTIFS(Asistencia!$B$5:$B$504,$A54,Asistencia!$D$5:$D$504,"Ausente",Asistencia!$A$5:$A$504,"&gt;="&amp;$B$4,Asistencia!$A$5:$A$504,"&lt;="&amp;$B$5))</f>
        <v/>
      </c>
      <c r="D54" s="27" t="str">
        <f aca="false">IF($A54="","",COUNTIFS(Asistencia!$B$5:$B$504,$A54,Asistencia!$D$5:$D$504,"Ausente",Asistencia!$I$5:$I$504,"",Asistencia!$A$5:$A$504,"&gt;="&amp;$B$4,Asistencia!$A$5:$A$504,"&lt;="&amp;$B$5))</f>
        <v/>
      </c>
      <c r="E54" s="28" t="str">
        <f aca="false">IF($A54="","",SUMIFS(Asistencia!$H$5:$H$504,Asistencia!$B$5:$B$504,$A54,Asistencia!$A$5:$A$504,"&gt;="&amp;$B$4,Asistencia!$A$5:$A$504,"&lt;="&amp;$B$5))</f>
        <v/>
      </c>
      <c r="F54" s="28" t="str">
        <f aca="false">IF($A54="","",SUMIFS('Registro por hora'!$H$5:$H$2004,'Registro por hora'!$B$5:$B$2004,$A54,'Registro por hora'!$A$5:$A$2004,"&gt;="&amp;$B$4,'Registro por hora'!$A$5:$A$2004,"&lt;="&amp;$B$5))</f>
        <v/>
      </c>
      <c r="G54" s="29" t="str">
        <f aca="false">IF(OR($A54="",N(E54)=0),"",F54/E54)</f>
        <v/>
      </c>
      <c r="H54" s="28" t="str">
        <f aca="false">IF(OR($A54="",N(B54)=0),"",E54/B54)</f>
        <v/>
      </c>
      <c r="I54" s="2"/>
      <c r="J54" s="26" t="str">
        <f aca="false">IF(Metas!A50="","",Metas!A50)</f>
        <v/>
      </c>
      <c r="K54" s="26" t="str">
        <f aca="false">IF(Metas!A50="","",Metas!B50)</f>
        <v/>
      </c>
      <c r="L54" s="28" t="str">
        <f aca="false">IF(J54="","",SUMIFS('Registro por hora'!$H$5:$H$2004,'Registro por hora'!$F$5:$F$2004,J54,'Registro por hora'!$A$5:$A$2004,"&gt;="&amp;$B$4,'Registro por hora'!$A$5:$A$2004,"&lt;="&amp;$B$5))</f>
        <v/>
      </c>
      <c r="M54" s="29" t="str">
        <f aca="false">IF(OR(J54="",SUM($L$9:$L$58)=0),"",L54/SUM($L$9:$L$58))</f>
        <v/>
      </c>
    </row>
    <row r="55" customFormat="false" ht="15" hidden="false" customHeight="false" outlineLevel="0" collapsed="false">
      <c r="A55" s="26" t="str">
        <f aca="false">IF(Personal!B51="","",Personal!B51)</f>
        <v/>
      </c>
      <c r="B55" s="26" t="str">
        <f aca="false">IF($A55="","",COUNTIFS(Asistencia!$B$5:$B$504,$A55,Asistencia!$A$5:$A$504,"&gt;="&amp;$B$4,Asistencia!$A$5:$A$504,"&lt;="&amp;$B$5)-COUNTIFS(Asistencia!$B$5:$B$504,$A55,Asistencia!$D$5:$D$504,"Ausente",Asistencia!$A$5:$A$504,"&gt;="&amp;$B$4,Asistencia!$A$5:$A$504,"&lt;="&amp;$B$5))</f>
        <v/>
      </c>
      <c r="C55" s="26" t="str">
        <f aca="false">IF($A55="","",COUNTIFS(Asistencia!$B$5:$B$504,$A55,Asistencia!$D$5:$D$504,"Ausente",Asistencia!$A$5:$A$504,"&gt;="&amp;$B$4,Asistencia!$A$5:$A$504,"&lt;="&amp;$B$5))</f>
        <v/>
      </c>
      <c r="D55" s="27" t="str">
        <f aca="false">IF($A55="","",COUNTIFS(Asistencia!$B$5:$B$504,$A55,Asistencia!$D$5:$D$504,"Ausente",Asistencia!$I$5:$I$504,"",Asistencia!$A$5:$A$504,"&gt;="&amp;$B$4,Asistencia!$A$5:$A$504,"&lt;="&amp;$B$5))</f>
        <v/>
      </c>
      <c r="E55" s="28" t="str">
        <f aca="false">IF($A55="","",SUMIFS(Asistencia!$H$5:$H$504,Asistencia!$B$5:$B$504,$A55,Asistencia!$A$5:$A$504,"&gt;="&amp;$B$4,Asistencia!$A$5:$A$504,"&lt;="&amp;$B$5))</f>
        <v/>
      </c>
      <c r="F55" s="28" t="str">
        <f aca="false">IF($A55="","",SUMIFS('Registro por hora'!$H$5:$H$2004,'Registro por hora'!$B$5:$B$2004,$A55,'Registro por hora'!$A$5:$A$2004,"&gt;="&amp;$B$4,'Registro por hora'!$A$5:$A$2004,"&lt;="&amp;$B$5))</f>
        <v/>
      </c>
      <c r="G55" s="29" t="str">
        <f aca="false">IF(OR($A55="",N(E55)=0),"",F55/E55)</f>
        <v/>
      </c>
      <c r="H55" s="28" t="str">
        <f aca="false">IF(OR($A55="",N(B55)=0),"",E55/B55)</f>
        <v/>
      </c>
      <c r="I55" s="2"/>
      <c r="J55" s="26" t="str">
        <f aca="false">IF(Metas!A51="","",Metas!A51)</f>
        <v/>
      </c>
      <c r="K55" s="26" t="str">
        <f aca="false">IF(Metas!A51="","",Metas!B51)</f>
        <v/>
      </c>
      <c r="L55" s="28" t="str">
        <f aca="false">IF(J55="","",SUMIFS('Registro por hora'!$H$5:$H$2004,'Registro por hora'!$F$5:$F$2004,J55,'Registro por hora'!$A$5:$A$2004,"&gt;="&amp;$B$4,'Registro por hora'!$A$5:$A$2004,"&lt;="&amp;$B$5))</f>
        <v/>
      </c>
      <c r="M55" s="29" t="str">
        <f aca="false">IF(OR(J55="",SUM($L$9:$L$58)=0),"",L55/SUM($L$9:$L$58))</f>
        <v/>
      </c>
    </row>
    <row r="56" customFormat="false" ht="15" hidden="false" customHeight="false" outlineLevel="0" collapsed="false">
      <c r="A56" s="26" t="str">
        <f aca="false">IF(Personal!B52="","",Personal!B52)</f>
        <v/>
      </c>
      <c r="B56" s="26" t="str">
        <f aca="false">IF($A56="","",COUNTIFS(Asistencia!$B$5:$B$504,$A56,Asistencia!$A$5:$A$504,"&gt;="&amp;$B$4,Asistencia!$A$5:$A$504,"&lt;="&amp;$B$5)-COUNTIFS(Asistencia!$B$5:$B$504,$A56,Asistencia!$D$5:$D$504,"Ausente",Asistencia!$A$5:$A$504,"&gt;="&amp;$B$4,Asistencia!$A$5:$A$504,"&lt;="&amp;$B$5))</f>
        <v/>
      </c>
      <c r="C56" s="26" t="str">
        <f aca="false">IF($A56="","",COUNTIFS(Asistencia!$B$5:$B$504,$A56,Asistencia!$D$5:$D$504,"Ausente",Asistencia!$A$5:$A$504,"&gt;="&amp;$B$4,Asistencia!$A$5:$A$504,"&lt;="&amp;$B$5))</f>
        <v/>
      </c>
      <c r="D56" s="27" t="str">
        <f aca="false">IF($A56="","",COUNTIFS(Asistencia!$B$5:$B$504,$A56,Asistencia!$D$5:$D$504,"Ausente",Asistencia!$I$5:$I$504,"",Asistencia!$A$5:$A$504,"&gt;="&amp;$B$4,Asistencia!$A$5:$A$504,"&lt;="&amp;$B$5))</f>
        <v/>
      </c>
      <c r="E56" s="28" t="str">
        <f aca="false">IF($A56="","",SUMIFS(Asistencia!$H$5:$H$504,Asistencia!$B$5:$B$504,$A56,Asistencia!$A$5:$A$504,"&gt;="&amp;$B$4,Asistencia!$A$5:$A$504,"&lt;="&amp;$B$5))</f>
        <v/>
      </c>
      <c r="F56" s="28" t="str">
        <f aca="false">IF($A56="","",SUMIFS('Registro por hora'!$H$5:$H$2004,'Registro por hora'!$B$5:$B$2004,$A56,'Registro por hora'!$A$5:$A$2004,"&gt;="&amp;$B$4,'Registro por hora'!$A$5:$A$2004,"&lt;="&amp;$B$5))</f>
        <v/>
      </c>
      <c r="G56" s="29" t="str">
        <f aca="false">IF(OR($A56="",N(E56)=0),"",F56/E56)</f>
        <v/>
      </c>
      <c r="H56" s="28" t="str">
        <f aca="false">IF(OR($A56="",N(B56)=0),"",E56/B56)</f>
        <v/>
      </c>
      <c r="I56" s="2"/>
      <c r="J56" s="26" t="str">
        <f aca="false">IF(Metas!A52="","",Metas!A52)</f>
        <v/>
      </c>
      <c r="K56" s="26" t="str">
        <f aca="false">IF(Metas!A52="","",Metas!B52)</f>
        <v/>
      </c>
      <c r="L56" s="28" t="str">
        <f aca="false">IF(J56="","",SUMIFS('Registro por hora'!$H$5:$H$2004,'Registro por hora'!$F$5:$F$2004,J56,'Registro por hora'!$A$5:$A$2004,"&gt;="&amp;$B$4,'Registro por hora'!$A$5:$A$2004,"&lt;="&amp;$B$5))</f>
        <v/>
      </c>
      <c r="M56" s="29" t="str">
        <f aca="false">IF(OR(J56="",SUM($L$9:$L$58)=0),"",L56/SUM($L$9:$L$58))</f>
        <v/>
      </c>
    </row>
    <row r="57" customFormat="false" ht="15" hidden="false" customHeight="false" outlineLevel="0" collapsed="false">
      <c r="A57" s="26" t="str">
        <f aca="false">IF(Personal!B53="","",Personal!B53)</f>
        <v/>
      </c>
      <c r="B57" s="26" t="str">
        <f aca="false">IF($A57="","",COUNTIFS(Asistencia!$B$5:$B$504,$A57,Asistencia!$A$5:$A$504,"&gt;="&amp;$B$4,Asistencia!$A$5:$A$504,"&lt;="&amp;$B$5)-COUNTIFS(Asistencia!$B$5:$B$504,$A57,Asistencia!$D$5:$D$504,"Ausente",Asistencia!$A$5:$A$504,"&gt;="&amp;$B$4,Asistencia!$A$5:$A$504,"&lt;="&amp;$B$5))</f>
        <v/>
      </c>
      <c r="C57" s="26" t="str">
        <f aca="false">IF($A57="","",COUNTIFS(Asistencia!$B$5:$B$504,$A57,Asistencia!$D$5:$D$504,"Ausente",Asistencia!$A$5:$A$504,"&gt;="&amp;$B$4,Asistencia!$A$5:$A$504,"&lt;="&amp;$B$5))</f>
        <v/>
      </c>
      <c r="D57" s="27" t="str">
        <f aca="false">IF($A57="","",COUNTIFS(Asistencia!$B$5:$B$504,$A57,Asistencia!$D$5:$D$504,"Ausente",Asistencia!$I$5:$I$504,"",Asistencia!$A$5:$A$504,"&gt;="&amp;$B$4,Asistencia!$A$5:$A$504,"&lt;="&amp;$B$5))</f>
        <v/>
      </c>
      <c r="E57" s="28" t="str">
        <f aca="false">IF($A57="","",SUMIFS(Asistencia!$H$5:$H$504,Asistencia!$B$5:$B$504,$A57,Asistencia!$A$5:$A$504,"&gt;="&amp;$B$4,Asistencia!$A$5:$A$504,"&lt;="&amp;$B$5))</f>
        <v/>
      </c>
      <c r="F57" s="28" t="str">
        <f aca="false">IF($A57="","",SUMIFS('Registro por hora'!$H$5:$H$2004,'Registro por hora'!$B$5:$B$2004,$A57,'Registro por hora'!$A$5:$A$2004,"&gt;="&amp;$B$4,'Registro por hora'!$A$5:$A$2004,"&lt;="&amp;$B$5))</f>
        <v/>
      </c>
      <c r="G57" s="29" t="str">
        <f aca="false">IF(OR($A57="",N(E57)=0),"",F57/E57)</f>
        <v/>
      </c>
      <c r="H57" s="28" t="str">
        <f aca="false">IF(OR($A57="",N(B57)=0),"",E57/B57)</f>
        <v/>
      </c>
      <c r="I57" s="2"/>
      <c r="J57" s="26" t="str">
        <f aca="false">IF(Metas!A53="","",Metas!A53)</f>
        <v/>
      </c>
      <c r="K57" s="26" t="str">
        <f aca="false">IF(Metas!A53="","",Metas!B53)</f>
        <v/>
      </c>
      <c r="L57" s="28" t="str">
        <f aca="false">IF(J57="","",SUMIFS('Registro por hora'!$H$5:$H$2004,'Registro por hora'!$F$5:$F$2004,J57,'Registro por hora'!$A$5:$A$2004,"&gt;="&amp;$B$4,'Registro por hora'!$A$5:$A$2004,"&lt;="&amp;$B$5))</f>
        <v/>
      </c>
      <c r="M57" s="29" t="str">
        <f aca="false">IF(OR(J57="",SUM($L$9:$L$58)=0),"",L57/SUM($L$9:$L$58))</f>
        <v/>
      </c>
    </row>
    <row r="58" customFormat="false" ht="15" hidden="false" customHeight="false" outlineLevel="0" collapsed="false">
      <c r="A58" s="26" t="str">
        <f aca="false">IF(Personal!B54="","",Personal!B54)</f>
        <v/>
      </c>
      <c r="B58" s="26" t="str">
        <f aca="false">IF($A58="","",COUNTIFS(Asistencia!$B$5:$B$504,$A58,Asistencia!$A$5:$A$504,"&gt;="&amp;$B$4,Asistencia!$A$5:$A$504,"&lt;="&amp;$B$5)-COUNTIFS(Asistencia!$B$5:$B$504,$A58,Asistencia!$D$5:$D$504,"Ausente",Asistencia!$A$5:$A$504,"&gt;="&amp;$B$4,Asistencia!$A$5:$A$504,"&lt;="&amp;$B$5))</f>
        <v/>
      </c>
      <c r="C58" s="26" t="str">
        <f aca="false">IF($A58="","",COUNTIFS(Asistencia!$B$5:$B$504,$A58,Asistencia!$D$5:$D$504,"Ausente",Asistencia!$A$5:$A$504,"&gt;="&amp;$B$4,Asistencia!$A$5:$A$504,"&lt;="&amp;$B$5))</f>
        <v/>
      </c>
      <c r="D58" s="27" t="str">
        <f aca="false">IF($A58="","",COUNTIFS(Asistencia!$B$5:$B$504,$A58,Asistencia!$D$5:$D$504,"Ausente",Asistencia!$I$5:$I$504,"",Asistencia!$A$5:$A$504,"&gt;="&amp;$B$4,Asistencia!$A$5:$A$504,"&lt;="&amp;$B$5))</f>
        <v/>
      </c>
      <c r="E58" s="28" t="str">
        <f aca="false">IF($A58="","",SUMIFS(Asistencia!$H$5:$H$504,Asistencia!$B$5:$B$504,$A58,Asistencia!$A$5:$A$504,"&gt;="&amp;$B$4,Asistencia!$A$5:$A$504,"&lt;="&amp;$B$5))</f>
        <v/>
      </c>
      <c r="F58" s="28" t="str">
        <f aca="false">IF($A58="","",SUMIFS('Registro por hora'!$H$5:$H$2004,'Registro por hora'!$B$5:$B$2004,$A58,'Registro por hora'!$A$5:$A$2004,"&gt;="&amp;$B$4,'Registro por hora'!$A$5:$A$2004,"&lt;="&amp;$B$5))</f>
        <v/>
      </c>
      <c r="G58" s="29" t="str">
        <f aca="false">IF(OR($A58="",N(E58)=0),"",F58/E58)</f>
        <v/>
      </c>
      <c r="H58" s="28" t="str">
        <f aca="false">IF(OR($A58="",N(B58)=0),"",E58/B58)</f>
        <v/>
      </c>
      <c r="I58" s="2"/>
      <c r="J58" s="26" t="str">
        <f aca="false">IF(Metas!A54="","",Metas!A54)</f>
        <v/>
      </c>
      <c r="K58" s="26" t="str">
        <f aca="false">IF(Metas!A54="","",Metas!B54)</f>
        <v/>
      </c>
      <c r="L58" s="28" t="str">
        <f aca="false">IF(J58="","",SUMIFS('Registro por hora'!$H$5:$H$2004,'Registro por hora'!$F$5:$F$2004,J58,'Registro por hora'!$A$5:$A$2004,"&gt;="&amp;$B$4,'Registro por hora'!$A$5:$A$2004,"&lt;="&amp;$B$5))</f>
        <v/>
      </c>
      <c r="M58" s="29" t="str">
        <f aca="false">IF(OR(J58="",SUM($L$9:$L$58)=0),"",L58/SUM($L$9:$L$58))</f>
        <v/>
      </c>
    </row>
    <row r="59" customFormat="false" ht="15" hidden="false" customHeight="false" outlineLevel="0" collapsed="false">
      <c r="A59" s="26" t="str">
        <f aca="false">IF(Personal!B55="","",Personal!B55)</f>
        <v/>
      </c>
      <c r="B59" s="26" t="str">
        <f aca="false">IF($A59="","",COUNTIFS(Asistencia!$B$5:$B$504,$A59,Asistencia!$A$5:$A$504,"&gt;="&amp;$B$4,Asistencia!$A$5:$A$504,"&lt;="&amp;$B$5)-COUNTIFS(Asistencia!$B$5:$B$504,$A59,Asistencia!$D$5:$D$504,"Ausente",Asistencia!$A$5:$A$504,"&gt;="&amp;$B$4,Asistencia!$A$5:$A$504,"&lt;="&amp;$B$5))</f>
        <v/>
      </c>
      <c r="C59" s="26" t="str">
        <f aca="false">IF($A59="","",COUNTIFS(Asistencia!$B$5:$B$504,$A59,Asistencia!$D$5:$D$504,"Ausente",Asistencia!$A$5:$A$504,"&gt;="&amp;$B$4,Asistencia!$A$5:$A$504,"&lt;="&amp;$B$5))</f>
        <v/>
      </c>
      <c r="D59" s="27" t="str">
        <f aca="false">IF($A59="","",COUNTIFS(Asistencia!$B$5:$B$504,$A59,Asistencia!$D$5:$D$504,"Ausente",Asistencia!$I$5:$I$504,"",Asistencia!$A$5:$A$504,"&gt;="&amp;$B$4,Asistencia!$A$5:$A$504,"&lt;="&amp;$B$5))</f>
        <v/>
      </c>
      <c r="E59" s="28" t="str">
        <f aca="false">IF($A59="","",SUMIFS(Asistencia!$H$5:$H$504,Asistencia!$B$5:$B$504,$A59,Asistencia!$A$5:$A$504,"&gt;="&amp;$B$4,Asistencia!$A$5:$A$504,"&lt;="&amp;$B$5))</f>
        <v/>
      </c>
      <c r="F59" s="28" t="str">
        <f aca="false">IF($A59="","",SUMIFS('Registro por hora'!$H$5:$H$2004,'Registro por hora'!$B$5:$B$2004,$A59,'Registro por hora'!$A$5:$A$2004,"&gt;="&amp;$B$4,'Registro por hora'!$A$5:$A$2004,"&lt;="&amp;$B$5))</f>
        <v/>
      </c>
      <c r="G59" s="29" t="str">
        <f aca="false">IF(OR($A59="",N(E59)=0),"",F59/E59)</f>
        <v/>
      </c>
      <c r="H59" s="28" t="str">
        <f aca="false">IF(OR($A59="",N(B59)=0),"",E59/B59)</f>
        <v/>
      </c>
      <c r="I59" s="2"/>
      <c r="J59" s="2"/>
      <c r="K59" s="2"/>
      <c r="L59" s="2"/>
      <c r="M59" s="2"/>
    </row>
    <row r="60" customFormat="false" ht="15" hidden="false" customHeight="false" outlineLevel="0" collapsed="false">
      <c r="A60" s="26" t="str">
        <f aca="false">IF(Personal!B56="","",Personal!B56)</f>
        <v/>
      </c>
      <c r="B60" s="26" t="str">
        <f aca="false">IF($A60="","",COUNTIFS(Asistencia!$B$5:$B$504,$A60,Asistencia!$A$5:$A$504,"&gt;="&amp;$B$4,Asistencia!$A$5:$A$504,"&lt;="&amp;$B$5)-COUNTIFS(Asistencia!$B$5:$B$504,$A60,Asistencia!$D$5:$D$504,"Ausente",Asistencia!$A$5:$A$504,"&gt;="&amp;$B$4,Asistencia!$A$5:$A$504,"&lt;="&amp;$B$5))</f>
        <v/>
      </c>
      <c r="C60" s="26" t="str">
        <f aca="false">IF($A60="","",COUNTIFS(Asistencia!$B$5:$B$504,$A60,Asistencia!$D$5:$D$504,"Ausente",Asistencia!$A$5:$A$504,"&gt;="&amp;$B$4,Asistencia!$A$5:$A$504,"&lt;="&amp;$B$5))</f>
        <v/>
      </c>
      <c r="D60" s="27" t="str">
        <f aca="false">IF($A60="","",COUNTIFS(Asistencia!$B$5:$B$504,$A60,Asistencia!$D$5:$D$504,"Ausente",Asistencia!$I$5:$I$504,"",Asistencia!$A$5:$A$504,"&gt;="&amp;$B$4,Asistencia!$A$5:$A$504,"&lt;="&amp;$B$5))</f>
        <v/>
      </c>
      <c r="E60" s="28" t="str">
        <f aca="false">IF($A60="","",SUMIFS(Asistencia!$H$5:$H$504,Asistencia!$B$5:$B$504,$A60,Asistencia!$A$5:$A$504,"&gt;="&amp;$B$4,Asistencia!$A$5:$A$504,"&lt;="&amp;$B$5))</f>
        <v/>
      </c>
      <c r="F60" s="28" t="str">
        <f aca="false">IF($A60="","",SUMIFS('Registro por hora'!$H$5:$H$2004,'Registro por hora'!$B$5:$B$2004,$A60,'Registro por hora'!$A$5:$A$2004,"&gt;="&amp;$B$4,'Registro por hora'!$A$5:$A$2004,"&lt;="&amp;$B$5))</f>
        <v/>
      </c>
      <c r="G60" s="29" t="str">
        <f aca="false">IF(OR($A60="",N(E60)=0),"",F60/E60)</f>
        <v/>
      </c>
      <c r="H60" s="28" t="str">
        <f aca="false">IF(OR($A60="",N(B60)=0),"",E60/B60)</f>
        <v/>
      </c>
      <c r="I60" s="2"/>
      <c r="J60" s="30" t="s">
        <v>145</v>
      </c>
      <c r="K60" s="2"/>
      <c r="L60" s="31" t="n">
        <f aca="false">SUMIFS('Registro por hora'!$H$5:$H$2004,'Registro por hora'!$F$5:$F$2004,"",'Registro por hora'!$A$5:$A$2004,"&gt;="&amp;$B$4,'Registro por hora'!$A$5:$A$2004,"&lt;="&amp;$B$5)</f>
        <v>0</v>
      </c>
      <c r="M60" s="2"/>
    </row>
    <row r="61" customFormat="false" ht="15" hidden="false" customHeight="false" outlineLevel="0" collapsed="false">
      <c r="A61" s="26" t="str">
        <f aca="false">IF(Personal!B57="","",Personal!B57)</f>
        <v/>
      </c>
      <c r="B61" s="26" t="str">
        <f aca="false">IF($A61="","",COUNTIFS(Asistencia!$B$5:$B$504,$A61,Asistencia!$A$5:$A$504,"&gt;="&amp;$B$4,Asistencia!$A$5:$A$504,"&lt;="&amp;$B$5)-COUNTIFS(Asistencia!$B$5:$B$504,$A61,Asistencia!$D$5:$D$504,"Ausente",Asistencia!$A$5:$A$504,"&gt;="&amp;$B$4,Asistencia!$A$5:$A$504,"&lt;="&amp;$B$5))</f>
        <v/>
      </c>
      <c r="C61" s="26" t="str">
        <f aca="false">IF($A61="","",COUNTIFS(Asistencia!$B$5:$B$504,$A61,Asistencia!$D$5:$D$504,"Ausente",Asistencia!$A$5:$A$504,"&gt;="&amp;$B$4,Asistencia!$A$5:$A$504,"&lt;="&amp;$B$5))</f>
        <v/>
      </c>
      <c r="D61" s="27" t="str">
        <f aca="false">IF($A61="","",COUNTIFS(Asistencia!$B$5:$B$504,$A61,Asistencia!$D$5:$D$504,"Ausente",Asistencia!$I$5:$I$504,"",Asistencia!$A$5:$A$504,"&gt;="&amp;$B$4,Asistencia!$A$5:$A$504,"&lt;="&amp;$B$5))</f>
        <v/>
      </c>
      <c r="E61" s="28" t="str">
        <f aca="false">IF($A61="","",SUMIFS(Asistencia!$H$5:$H$504,Asistencia!$B$5:$B$504,$A61,Asistencia!$A$5:$A$504,"&gt;="&amp;$B$4,Asistencia!$A$5:$A$504,"&lt;="&amp;$B$5))</f>
        <v/>
      </c>
      <c r="F61" s="28" t="str">
        <f aca="false">IF($A61="","",SUMIFS('Registro por hora'!$H$5:$H$2004,'Registro por hora'!$B$5:$B$2004,$A61,'Registro por hora'!$A$5:$A$2004,"&gt;="&amp;$B$4,'Registro por hora'!$A$5:$A$2004,"&lt;="&amp;$B$5))</f>
        <v/>
      </c>
      <c r="G61" s="29" t="str">
        <f aca="false">IF(OR($A61="",N(E61)=0),"",F61/E61)</f>
        <v/>
      </c>
      <c r="H61" s="28" t="str">
        <f aca="false">IF(OR($A61="",N(B61)=0),"",E61/B61)</f>
        <v/>
      </c>
      <c r="I61" s="2"/>
      <c r="J61" s="2"/>
      <c r="K61" s="2"/>
      <c r="L61" s="2"/>
      <c r="M61" s="2"/>
    </row>
    <row r="62" customFormat="false" ht="15" hidden="false" customHeight="false" outlineLevel="0" collapsed="false">
      <c r="A62" s="26" t="str">
        <f aca="false">IF(Personal!B58="","",Personal!B58)</f>
        <v/>
      </c>
      <c r="B62" s="26" t="str">
        <f aca="false">IF($A62="","",COUNTIFS(Asistencia!$B$5:$B$504,$A62,Asistencia!$A$5:$A$504,"&gt;="&amp;$B$4,Asistencia!$A$5:$A$504,"&lt;="&amp;$B$5)-COUNTIFS(Asistencia!$B$5:$B$504,$A62,Asistencia!$D$5:$D$504,"Ausente",Asistencia!$A$5:$A$504,"&gt;="&amp;$B$4,Asistencia!$A$5:$A$504,"&lt;="&amp;$B$5))</f>
        <v/>
      </c>
      <c r="C62" s="26" t="str">
        <f aca="false">IF($A62="","",COUNTIFS(Asistencia!$B$5:$B$504,$A62,Asistencia!$D$5:$D$504,"Ausente",Asistencia!$A$5:$A$504,"&gt;="&amp;$B$4,Asistencia!$A$5:$A$504,"&lt;="&amp;$B$5))</f>
        <v/>
      </c>
      <c r="D62" s="27" t="str">
        <f aca="false">IF($A62="","",COUNTIFS(Asistencia!$B$5:$B$504,$A62,Asistencia!$D$5:$D$504,"Ausente",Asistencia!$I$5:$I$504,"",Asistencia!$A$5:$A$504,"&gt;="&amp;$B$4,Asistencia!$A$5:$A$504,"&lt;="&amp;$B$5))</f>
        <v/>
      </c>
      <c r="E62" s="28" t="str">
        <f aca="false">IF($A62="","",SUMIFS(Asistencia!$H$5:$H$504,Asistencia!$B$5:$B$504,$A62,Asistencia!$A$5:$A$504,"&gt;="&amp;$B$4,Asistencia!$A$5:$A$504,"&lt;="&amp;$B$5))</f>
        <v/>
      </c>
      <c r="F62" s="28" t="str">
        <f aca="false">IF($A62="","",SUMIFS('Registro por hora'!$H$5:$H$2004,'Registro por hora'!$B$5:$B$2004,$A62,'Registro por hora'!$A$5:$A$2004,"&gt;="&amp;$B$4,'Registro por hora'!$A$5:$A$2004,"&lt;="&amp;$B$5))</f>
        <v/>
      </c>
      <c r="G62" s="29" t="str">
        <f aca="false">IF(OR($A62="",N(E62)=0),"",F62/E62)</f>
        <v/>
      </c>
      <c r="H62" s="28" t="str">
        <f aca="false">IF(OR($A62="",N(B62)=0),"",E62/B62)</f>
        <v/>
      </c>
      <c r="I62" s="2"/>
      <c r="J62" s="2"/>
      <c r="K62" s="2"/>
      <c r="L62" s="2"/>
      <c r="M62" s="2"/>
    </row>
    <row r="63" customFormat="false" ht="15" hidden="false" customHeight="false" outlineLevel="0" collapsed="false">
      <c r="A63" s="26" t="str">
        <f aca="false">IF(Personal!B59="","",Personal!B59)</f>
        <v/>
      </c>
      <c r="B63" s="26" t="str">
        <f aca="false">IF($A63="","",COUNTIFS(Asistencia!$B$5:$B$504,$A63,Asistencia!$A$5:$A$504,"&gt;="&amp;$B$4,Asistencia!$A$5:$A$504,"&lt;="&amp;$B$5)-COUNTIFS(Asistencia!$B$5:$B$504,$A63,Asistencia!$D$5:$D$504,"Ausente",Asistencia!$A$5:$A$504,"&gt;="&amp;$B$4,Asistencia!$A$5:$A$504,"&lt;="&amp;$B$5))</f>
        <v/>
      </c>
      <c r="C63" s="26" t="str">
        <f aca="false">IF($A63="","",COUNTIFS(Asistencia!$B$5:$B$504,$A63,Asistencia!$D$5:$D$504,"Ausente",Asistencia!$A$5:$A$504,"&gt;="&amp;$B$4,Asistencia!$A$5:$A$504,"&lt;="&amp;$B$5))</f>
        <v/>
      </c>
      <c r="D63" s="27" t="str">
        <f aca="false">IF($A63="","",COUNTIFS(Asistencia!$B$5:$B$504,$A63,Asistencia!$D$5:$D$504,"Ausente",Asistencia!$I$5:$I$504,"",Asistencia!$A$5:$A$504,"&gt;="&amp;$B$4,Asistencia!$A$5:$A$504,"&lt;="&amp;$B$5))</f>
        <v/>
      </c>
      <c r="E63" s="28" t="str">
        <f aca="false">IF($A63="","",SUMIFS(Asistencia!$H$5:$H$504,Asistencia!$B$5:$B$504,$A63,Asistencia!$A$5:$A$504,"&gt;="&amp;$B$4,Asistencia!$A$5:$A$504,"&lt;="&amp;$B$5))</f>
        <v/>
      </c>
      <c r="F63" s="28" t="str">
        <f aca="false">IF($A63="","",SUMIFS('Registro por hora'!$H$5:$H$2004,'Registro por hora'!$B$5:$B$2004,$A63,'Registro por hora'!$A$5:$A$2004,"&gt;="&amp;$B$4,'Registro por hora'!$A$5:$A$2004,"&lt;="&amp;$B$5))</f>
        <v/>
      </c>
      <c r="G63" s="29" t="str">
        <f aca="false">IF(OR($A63="",N(E63)=0),"",F63/E63)</f>
        <v/>
      </c>
      <c r="H63" s="28" t="str">
        <f aca="false">IF(OR($A63="",N(B63)=0),"",E63/B63)</f>
        <v/>
      </c>
      <c r="I63" s="2"/>
      <c r="J63" s="2"/>
      <c r="K63" s="2"/>
      <c r="L63" s="2"/>
      <c r="M63" s="2"/>
    </row>
    <row r="64" customFormat="false" ht="15" hidden="false" customHeight="false" outlineLevel="0" collapsed="false">
      <c r="A64" s="26" t="str">
        <f aca="false">IF(Personal!B60="","",Personal!B60)</f>
        <v/>
      </c>
      <c r="B64" s="26" t="str">
        <f aca="false">IF($A64="","",COUNTIFS(Asistencia!$B$5:$B$504,$A64,Asistencia!$A$5:$A$504,"&gt;="&amp;$B$4,Asistencia!$A$5:$A$504,"&lt;="&amp;$B$5)-COUNTIFS(Asistencia!$B$5:$B$504,$A64,Asistencia!$D$5:$D$504,"Ausente",Asistencia!$A$5:$A$504,"&gt;="&amp;$B$4,Asistencia!$A$5:$A$504,"&lt;="&amp;$B$5))</f>
        <v/>
      </c>
      <c r="C64" s="26" t="str">
        <f aca="false">IF($A64="","",COUNTIFS(Asistencia!$B$5:$B$504,$A64,Asistencia!$D$5:$D$504,"Ausente",Asistencia!$A$5:$A$504,"&gt;="&amp;$B$4,Asistencia!$A$5:$A$504,"&lt;="&amp;$B$5))</f>
        <v/>
      </c>
      <c r="D64" s="27" t="str">
        <f aca="false">IF($A64="","",COUNTIFS(Asistencia!$B$5:$B$504,$A64,Asistencia!$D$5:$D$504,"Ausente",Asistencia!$I$5:$I$504,"",Asistencia!$A$5:$A$504,"&gt;="&amp;$B$4,Asistencia!$A$5:$A$504,"&lt;="&amp;$B$5))</f>
        <v/>
      </c>
      <c r="E64" s="28" t="str">
        <f aca="false">IF($A64="","",SUMIFS(Asistencia!$H$5:$H$504,Asistencia!$B$5:$B$504,$A64,Asistencia!$A$5:$A$504,"&gt;="&amp;$B$4,Asistencia!$A$5:$A$504,"&lt;="&amp;$B$5))</f>
        <v/>
      </c>
      <c r="F64" s="28" t="str">
        <f aca="false">IF($A64="","",SUMIFS('Registro por hora'!$H$5:$H$2004,'Registro por hora'!$B$5:$B$2004,$A64,'Registro por hora'!$A$5:$A$2004,"&gt;="&amp;$B$4,'Registro por hora'!$A$5:$A$2004,"&lt;="&amp;$B$5))</f>
        <v/>
      </c>
      <c r="G64" s="29" t="str">
        <f aca="false">IF(OR($A64="",N(E64)=0),"",F64/E64)</f>
        <v/>
      </c>
      <c r="H64" s="28" t="str">
        <f aca="false">IF(OR($A64="",N(B64)=0),"",E64/B64)</f>
        <v/>
      </c>
      <c r="I64" s="2"/>
      <c r="J64" s="2"/>
      <c r="K64" s="2"/>
      <c r="L64" s="2"/>
      <c r="M64" s="2"/>
    </row>
    <row r="65" customFormat="false" ht="15" hidden="false" customHeight="false" outlineLevel="0" collapsed="false">
      <c r="A65" s="26" t="str">
        <f aca="false">IF(Personal!B61="","",Personal!B61)</f>
        <v/>
      </c>
      <c r="B65" s="26" t="str">
        <f aca="false">IF($A65="","",COUNTIFS(Asistencia!$B$5:$B$504,$A65,Asistencia!$A$5:$A$504,"&gt;="&amp;$B$4,Asistencia!$A$5:$A$504,"&lt;="&amp;$B$5)-COUNTIFS(Asistencia!$B$5:$B$504,$A65,Asistencia!$D$5:$D$504,"Ausente",Asistencia!$A$5:$A$504,"&gt;="&amp;$B$4,Asistencia!$A$5:$A$504,"&lt;="&amp;$B$5))</f>
        <v/>
      </c>
      <c r="C65" s="26" t="str">
        <f aca="false">IF($A65="","",COUNTIFS(Asistencia!$B$5:$B$504,$A65,Asistencia!$D$5:$D$504,"Ausente",Asistencia!$A$5:$A$504,"&gt;="&amp;$B$4,Asistencia!$A$5:$A$504,"&lt;="&amp;$B$5))</f>
        <v/>
      </c>
      <c r="D65" s="27" t="str">
        <f aca="false">IF($A65="","",COUNTIFS(Asistencia!$B$5:$B$504,$A65,Asistencia!$D$5:$D$504,"Ausente",Asistencia!$I$5:$I$504,"",Asistencia!$A$5:$A$504,"&gt;="&amp;$B$4,Asistencia!$A$5:$A$504,"&lt;="&amp;$B$5))</f>
        <v/>
      </c>
      <c r="E65" s="28" t="str">
        <f aca="false">IF($A65="","",SUMIFS(Asistencia!$H$5:$H$504,Asistencia!$B$5:$B$504,$A65,Asistencia!$A$5:$A$504,"&gt;="&amp;$B$4,Asistencia!$A$5:$A$504,"&lt;="&amp;$B$5))</f>
        <v/>
      </c>
      <c r="F65" s="28" t="str">
        <f aca="false">IF($A65="","",SUMIFS('Registro por hora'!$H$5:$H$2004,'Registro por hora'!$B$5:$B$2004,$A65,'Registro por hora'!$A$5:$A$2004,"&gt;="&amp;$B$4,'Registro por hora'!$A$5:$A$2004,"&lt;="&amp;$B$5))</f>
        <v/>
      </c>
      <c r="G65" s="29" t="str">
        <f aca="false">IF(OR($A65="",N(E65)=0),"",F65/E65)</f>
        <v/>
      </c>
      <c r="H65" s="28" t="str">
        <f aca="false">IF(OR($A65="",N(B65)=0),"",E65/B65)</f>
        <v/>
      </c>
      <c r="I65" s="2"/>
      <c r="J65" s="2"/>
      <c r="K65" s="2"/>
      <c r="L65" s="2"/>
      <c r="M65" s="2"/>
    </row>
    <row r="66" customFormat="false" ht="15" hidden="false" customHeight="false" outlineLevel="0" collapsed="false">
      <c r="A66" s="26" t="str">
        <f aca="false">IF(Personal!B62="","",Personal!B62)</f>
        <v/>
      </c>
      <c r="B66" s="26" t="str">
        <f aca="false">IF($A66="","",COUNTIFS(Asistencia!$B$5:$B$504,$A66,Asistencia!$A$5:$A$504,"&gt;="&amp;$B$4,Asistencia!$A$5:$A$504,"&lt;="&amp;$B$5)-COUNTIFS(Asistencia!$B$5:$B$504,$A66,Asistencia!$D$5:$D$504,"Ausente",Asistencia!$A$5:$A$504,"&gt;="&amp;$B$4,Asistencia!$A$5:$A$504,"&lt;="&amp;$B$5))</f>
        <v/>
      </c>
      <c r="C66" s="26" t="str">
        <f aca="false">IF($A66="","",COUNTIFS(Asistencia!$B$5:$B$504,$A66,Asistencia!$D$5:$D$504,"Ausente",Asistencia!$A$5:$A$504,"&gt;="&amp;$B$4,Asistencia!$A$5:$A$504,"&lt;="&amp;$B$5))</f>
        <v/>
      </c>
      <c r="D66" s="27" t="str">
        <f aca="false">IF($A66="","",COUNTIFS(Asistencia!$B$5:$B$504,$A66,Asistencia!$D$5:$D$504,"Ausente",Asistencia!$I$5:$I$504,"",Asistencia!$A$5:$A$504,"&gt;="&amp;$B$4,Asistencia!$A$5:$A$504,"&lt;="&amp;$B$5))</f>
        <v/>
      </c>
      <c r="E66" s="28" t="str">
        <f aca="false">IF($A66="","",SUMIFS(Asistencia!$H$5:$H$504,Asistencia!$B$5:$B$504,$A66,Asistencia!$A$5:$A$504,"&gt;="&amp;$B$4,Asistencia!$A$5:$A$504,"&lt;="&amp;$B$5))</f>
        <v/>
      </c>
      <c r="F66" s="28" t="str">
        <f aca="false">IF($A66="","",SUMIFS('Registro por hora'!$H$5:$H$2004,'Registro por hora'!$B$5:$B$2004,$A66,'Registro por hora'!$A$5:$A$2004,"&gt;="&amp;$B$4,'Registro por hora'!$A$5:$A$2004,"&lt;="&amp;$B$5))</f>
        <v/>
      </c>
      <c r="G66" s="29" t="str">
        <f aca="false">IF(OR($A66="",N(E66)=0),"",F66/E66)</f>
        <v/>
      </c>
      <c r="H66" s="28" t="str">
        <f aca="false">IF(OR($A66="",N(B66)=0),"",E66/B66)</f>
        <v/>
      </c>
      <c r="I66" s="2"/>
      <c r="J66" s="2"/>
      <c r="K66" s="2"/>
      <c r="L66" s="2"/>
      <c r="M66" s="2"/>
    </row>
    <row r="67" customFormat="false" ht="15" hidden="false" customHeight="false" outlineLevel="0" collapsed="false">
      <c r="A67" s="26" t="str">
        <f aca="false">IF(Personal!B63="","",Personal!B63)</f>
        <v/>
      </c>
      <c r="B67" s="26" t="str">
        <f aca="false">IF($A67="","",COUNTIFS(Asistencia!$B$5:$B$504,$A67,Asistencia!$A$5:$A$504,"&gt;="&amp;$B$4,Asistencia!$A$5:$A$504,"&lt;="&amp;$B$5)-COUNTIFS(Asistencia!$B$5:$B$504,$A67,Asistencia!$D$5:$D$504,"Ausente",Asistencia!$A$5:$A$504,"&gt;="&amp;$B$4,Asistencia!$A$5:$A$504,"&lt;="&amp;$B$5))</f>
        <v/>
      </c>
      <c r="C67" s="26" t="str">
        <f aca="false">IF($A67="","",COUNTIFS(Asistencia!$B$5:$B$504,$A67,Asistencia!$D$5:$D$504,"Ausente",Asistencia!$A$5:$A$504,"&gt;="&amp;$B$4,Asistencia!$A$5:$A$504,"&lt;="&amp;$B$5))</f>
        <v/>
      </c>
      <c r="D67" s="27" t="str">
        <f aca="false">IF($A67="","",COUNTIFS(Asistencia!$B$5:$B$504,$A67,Asistencia!$D$5:$D$504,"Ausente",Asistencia!$I$5:$I$504,"",Asistencia!$A$5:$A$504,"&gt;="&amp;$B$4,Asistencia!$A$5:$A$504,"&lt;="&amp;$B$5))</f>
        <v/>
      </c>
      <c r="E67" s="28" t="str">
        <f aca="false">IF($A67="","",SUMIFS(Asistencia!$H$5:$H$504,Asistencia!$B$5:$B$504,$A67,Asistencia!$A$5:$A$504,"&gt;="&amp;$B$4,Asistencia!$A$5:$A$504,"&lt;="&amp;$B$5))</f>
        <v/>
      </c>
      <c r="F67" s="28" t="str">
        <f aca="false">IF($A67="","",SUMIFS('Registro por hora'!$H$5:$H$2004,'Registro por hora'!$B$5:$B$2004,$A67,'Registro por hora'!$A$5:$A$2004,"&gt;="&amp;$B$4,'Registro por hora'!$A$5:$A$2004,"&lt;="&amp;$B$5))</f>
        <v/>
      </c>
      <c r="G67" s="29" t="str">
        <f aca="false">IF(OR($A67="",N(E67)=0),"",F67/E67)</f>
        <v/>
      </c>
      <c r="H67" s="28" t="str">
        <f aca="false">IF(OR($A67="",N(B67)=0),"",E67/B67)</f>
        <v/>
      </c>
      <c r="I67" s="2"/>
      <c r="J67" s="2"/>
      <c r="K67" s="2"/>
      <c r="L67" s="2"/>
      <c r="M67" s="2"/>
    </row>
    <row r="68" customFormat="false" ht="15" hidden="false" customHeight="false" outlineLevel="0" collapsed="false">
      <c r="A68" s="26" t="str">
        <f aca="false">IF(Personal!B64="","",Personal!B64)</f>
        <v/>
      </c>
      <c r="B68" s="26" t="str">
        <f aca="false">IF($A68="","",COUNTIFS(Asistencia!$B$5:$B$504,$A68,Asistencia!$A$5:$A$504,"&gt;="&amp;$B$4,Asistencia!$A$5:$A$504,"&lt;="&amp;$B$5)-COUNTIFS(Asistencia!$B$5:$B$504,$A68,Asistencia!$D$5:$D$504,"Ausente",Asistencia!$A$5:$A$504,"&gt;="&amp;$B$4,Asistencia!$A$5:$A$504,"&lt;="&amp;$B$5))</f>
        <v/>
      </c>
      <c r="C68" s="26" t="str">
        <f aca="false">IF($A68="","",COUNTIFS(Asistencia!$B$5:$B$504,$A68,Asistencia!$D$5:$D$504,"Ausente",Asistencia!$A$5:$A$504,"&gt;="&amp;$B$4,Asistencia!$A$5:$A$504,"&lt;="&amp;$B$5))</f>
        <v/>
      </c>
      <c r="D68" s="27" t="str">
        <f aca="false">IF($A68="","",COUNTIFS(Asistencia!$B$5:$B$504,$A68,Asistencia!$D$5:$D$504,"Ausente",Asistencia!$I$5:$I$504,"",Asistencia!$A$5:$A$504,"&gt;="&amp;$B$4,Asistencia!$A$5:$A$504,"&lt;="&amp;$B$5))</f>
        <v/>
      </c>
      <c r="E68" s="28" t="str">
        <f aca="false">IF($A68="","",SUMIFS(Asistencia!$H$5:$H$504,Asistencia!$B$5:$B$504,$A68,Asistencia!$A$5:$A$504,"&gt;="&amp;$B$4,Asistencia!$A$5:$A$504,"&lt;="&amp;$B$5))</f>
        <v/>
      </c>
      <c r="F68" s="28" t="str">
        <f aca="false">IF($A68="","",SUMIFS('Registro por hora'!$H$5:$H$2004,'Registro por hora'!$B$5:$B$2004,$A68,'Registro por hora'!$A$5:$A$2004,"&gt;="&amp;$B$4,'Registro por hora'!$A$5:$A$2004,"&lt;="&amp;$B$5))</f>
        <v/>
      </c>
      <c r="G68" s="29" t="str">
        <f aca="false">IF(OR($A68="",N(E68)=0),"",F68/E68)</f>
        <v/>
      </c>
      <c r="H68" s="28" t="str">
        <f aca="false">IF(OR($A68="",N(B68)=0),"",E68/B68)</f>
        <v/>
      </c>
      <c r="I68" s="2"/>
      <c r="J68" s="2"/>
      <c r="K68" s="2"/>
      <c r="L68" s="2"/>
      <c r="M68" s="2"/>
    </row>
    <row r="69" customFormat="false" ht="15" hidden="false" customHeight="false" outlineLevel="0" collapsed="false">
      <c r="A69" s="26" t="str">
        <f aca="false">IF(Personal!B65="","",Personal!B65)</f>
        <v/>
      </c>
      <c r="B69" s="26" t="str">
        <f aca="false">IF($A69="","",COUNTIFS(Asistencia!$B$5:$B$504,$A69,Asistencia!$A$5:$A$504,"&gt;="&amp;$B$4,Asistencia!$A$5:$A$504,"&lt;="&amp;$B$5)-COUNTIFS(Asistencia!$B$5:$B$504,$A69,Asistencia!$D$5:$D$504,"Ausente",Asistencia!$A$5:$A$504,"&gt;="&amp;$B$4,Asistencia!$A$5:$A$504,"&lt;="&amp;$B$5))</f>
        <v/>
      </c>
      <c r="C69" s="26" t="str">
        <f aca="false">IF($A69="","",COUNTIFS(Asistencia!$B$5:$B$504,$A69,Asistencia!$D$5:$D$504,"Ausente",Asistencia!$A$5:$A$504,"&gt;="&amp;$B$4,Asistencia!$A$5:$A$504,"&lt;="&amp;$B$5))</f>
        <v/>
      </c>
      <c r="D69" s="27" t="str">
        <f aca="false">IF($A69="","",COUNTIFS(Asistencia!$B$5:$B$504,$A69,Asistencia!$D$5:$D$504,"Ausente",Asistencia!$I$5:$I$504,"",Asistencia!$A$5:$A$504,"&gt;="&amp;$B$4,Asistencia!$A$5:$A$504,"&lt;="&amp;$B$5))</f>
        <v/>
      </c>
      <c r="E69" s="28" t="str">
        <f aca="false">IF($A69="","",SUMIFS(Asistencia!$H$5:$H$504,Asistencia!$B$5:$B$504,$A69,Asistencia!$A$5:$A$504,"&gt;="&amp;$B$4,Asistencia!$A$5:$A$504,"&lt;="&amp;$B$5))</f>
        <v/>
      </c>
      <c r="F69" s="28" t="str">
        <f aca="false">IF($A69="","",SUMIFS('Registro por hora'!$H$5:$H$2004,'Registro por hora'!$B$5:$B$2004,$A69,'Registro por hora'!$A$5:$A$2004,"&gt;="&amp;$B$4,'Registro por hora'!$A$5:$A$2004,"&lt;="&amp;$B$5))</f>
        <v/>
      </c>
      <c r="G69" s="29" t="str">
        <f aca="false">IF(OR($A69="",N(E69)=0),"",F69/E69)</f>
        <v/>
      </c>
      <c r="H69" s="28" t="str">
        <f aca="false">IF(OR($A69="",N(B69)=0),"",E69/B69)</f>
        <v/>
      </c>
      <c r="I69" s="2"/>
      <c r="J69" s="2"/>
      <c r="K69" s="2"/>
      <c r="L69" s="2"/>
      <c r="M69" s="2"/>
    </row>
    <row r="70" customFormat="false" ht="15" hidden="false" customHeight="false" outlineLevel="0" collapsed="false">
      <c r="A70" s="26" t="str">
        <f aca="false">IF(Personal!B66="","",Personal!B66)</f>
        <v/>
      </c>
      <c r="B70" s="26" t="str">
        <f aca="false">IF($A70="","",COUNTIFS(Asistencia!$B$5:$B$504,$A70,Asistencia!$A$5:$A$504,"&gt;="&amp;$B$4,Asistencia!$A$5:$A$504,"&lt;="&amp;$B$5)-COUNTIFS(Asistencia!$B$5:$B$504,$A70,Asistencia!$D$5:$D$504,"Ausente",Asistencia!$A$5:$A$504,"&gt;="&amp;$B$4,Asistencia!$A$5:$A$504,"&lt;="&amp;$B$5))</f>
        <v/>
      </c>
      <c r="C70" s="26" t="str">
        <f aca="false">IF($A70="","",COUNTIFS(Asistencia!$B$5:$B$504,$A70,Asistencia!$D$5:$D$504,"Ausente",Asistencia!$A$5:$A$504,"&gt;="&amp;$B$4,Asistencia!$A$5:$A$504,"&lt;="&amp;$B$5))</f>
        <v/>
      </c>
      <c r="D70" s="27" t="str">
        <f aca="false">IF($A70="","",COUNTIFS(Asistencia!$B$5:$B$504,$A70,Asistencia!$D$5:$D$504,"Ausente",Asistencia!$I$5:$I$504,"",Asistencia!$A$5:$A$504,"&gt;="&amp;$B$4,Asistencia!$A$5:$A$504,"&lt;="&amp;$B$5))</f>
        <v/>
      </c>
      <c r="E70" s="28" t="str">
        <f aca="false">IF($A70="","",SUMIFS(Asistencia!$H$5:$H$504,Asistencia!$B$5:$B$504,$A70,Asistencia!$A$5:$A$504,"&gt;="&amp;$B$4,Asistencia!$A$5:$A$504,"&lt;="&amp;$B$5))</f>
        <v/>
      </c>
      <c r="F70" s="28" t="str">
        <f aca="false">IF($A70="","",SUMIFS('Registro por hora'!$H$5:$H$2004,'Registro por hora'!$B$5:$B$2004,$A70,'Registro por hora'!$A$5:$A$2004,"&gt;="&amp;$B$4,'Registro por hora'!$A$5:$A$2004,"&lt;="&amp;$B$5))</f>
        <v/>
      </c>
      <c r="G70" s="29" t="str">
        <f aca="false">IF(OR($A70="",N(E70)=0),"",F70/E70)</f>
        <v/>
      </c>
      <c r="H70" s="28" t="str">
        <f aca="false">IF(OR($A70="",N(B70)=0),"",E70/B70)</f>
        <v/>
      </c>
      <c r="I70" s="2"/>
      <c r="J70" s="2"/>
      <c r="K70" s="2"/>
      <c r="L70" s="2"/>
      <c r="M70" s="2"/>
    </row>
    <row r="71" customFormat="false" ht="15" hidden="false" customHeight="false" outlineLevel="0" collapsed="false">
      <c r="A71" s="26" t="str">
        <f aca="false">IF(Personal!B67="","",Personal!B67)</f>
        <v/>
      </c>
      <c r="B71" s="26" t="str">
        <f aca="false">IF($A71="","",COUNTIFS(Asistencia!$B$5:$B$504,$A71,Asistencia!$A$5:$A$504,"&gt;="&amp;$B$4,Asistencia!$A$5:$A$504,"&lt;="&amp;$B$5)-COUNTIFS(Asistencia!$B$5:$B$504,$A71,Asistencia!$D$5:$D$504,"Ausente",Asistencia!$A$5:$A$504,"&gt;="&amp;$B$4,Asistencia!$A$5:$A$504,"&lt;="&amp;$B$5))</f>
        <v/>
      </c>
      <c r="C71" s="26" t="str">
        <f aca="false">IF($A71="","",COUNTIFS(Asistencia!$B$5:$B$504,$A71,Asistencia!$D$5:$D$504,"Ausente",Asistencia!$A$5:$A$504,"&gt;="&amp;$B$4,Asistencia!$A$5:$A$504,"&lt;="&amp;$B$5))</f>
        <v/>
      </c>
      <c r="D71" s="27" t="str">
        <f aca="false">IF($A71="","",COUNTIFS(Asistencia!$B$5:$B$504,$A71,Asistencia!$D$5:$D$504,"Ausente",Asistencia!$I$5:$I$504,"",Asistencia!$A$5:$A$504,"&gt;="&amp;$B$4,Asistencia!$A$5:$A$504,"&lt;="&amp;$B$5))</f>
        <v/>
      </c>
      <c r="E71" s="28" t="str">
        <f aca="false">IF($A71="","",SUMIFS(Asistencia!$H$5:$H$504,Asistencia!$B$5:$B$504,$A71,Asistencia!$A$5:$A$504,"&gt;="&amp;$B$4,Asistencia!$A$5:$A$504,"&lt;="&amp;$B$5))</f>
        <v/>
      </c>
      <c r="F71" s="28" t="str">
        <f aca="false">IF($A71="","",SUMIFS('Registro por hora'!$H$5:$H$2004,'Registro por hora'!$B$5:$B$2004,$A71,'Registro por hora'!$A$5:$A$2004,"&gt;="&amp;$B$4,'Registro por hora'!$A$5:$A$2004,"&lt;="&amp;$B$5))</f>
        <v/>
      </c>
      <c r="G71" s="29" t="str">
        <f aca="false">IF(OR($A71="",N(E71)=0),"",F71/E71)</f>
        <v/>
      </c>
      <c r="H71" s="28" t="str">
        <f aca="false">IF(OR($A71="",N(B71)=0),"",E71/B71)</f>
        <v/>
      </c>
      <c r="I71" s="2"/>
      <c r="J71" s="2"/>
      <c r="K71" s="2"/>
      <c r="L71" s="2"/>
      <c r="M71" s="2"/>
    </row>
    <row r="72" customFormat="false" ht="15" hidden="false" customHeight="false" outlineLevel="0" collapsed="false">
      <c r="A72" s="26" t="str">
        <f aca="false">IF(Personal!B68="","",Personal!B68)</f>
        <v/>
      </c>
      <c r="B72" s="26" t="str">
        <f aca="false">IF($A72="","",COUNTIFS(Asistencia!$B$5:$B$504,$A72,Asistencia!$A$5:$A$504,"&gt;="&amp;$B$4,Asistencia!$A$5:$A$504,"&lt;="&amp;$B$5)-COUNTIFS(Asistencia!$B$5:$B$504,$A72,Asistencia!$D$5:$D$504,"Ausente",Asistencia!$A$5:$A$504,"&gt;="&amp;$B$4,Asistencia!$A$5:$A$504,"&lt;="&amp;$B$5))</f>
        <v/>
      </c>
      <c r="C72" s="26" t="str">
        <f aca="false">IF($A72="","",COUNTIFS(Asistencia!$B$5:$B$504,$A72,Asistencia!$D$5:$D$504,"Ausente",Asistencia!$A$5:$A$504,"&gt;="&amp;$B$4,Asistencia!$A$5:$A$504,"&lt;="&amp;$B$5))</f>
        <v/>
      </c>
      <c r="D72" s="27" t="str">
        <f aca="false">IF($A72="","",COUNTIFS(Asistencia!$B$5:$B$504,$A72,Asistencia!$D$5:$D$504,"Ausente",Asistencia!$I$5:$I$504,"",Asistencia!$A$5:$A$504,"&gt;="&amp;$B$4,Asistencia!$A$5:$A$504,"&lt;="&amp;$B$5))</f>
        <v/>
      </c>
      <c r="E72" s="28" t="str">
        <f aca="false">IF($A72="","",SUMIFS(Asistencia!$H$5:$H$504,Asistencia!$B$5:$B$504,$A72,Asistencia!$A$5:$A$504,"&gt;="&amp;$B$4,Asistencia!$A$5:$A$504,"&lt;="&amp;$B$5))</f>
        <v/>
      </c>
      <c r="F72" s="28" t="str">
        <f aca="false">IF($A72="","",SUMIFS('Registro por hora'!$H$5:$H$2004,'Registro por hora'!$B$5:$B$2004,$A72,'Registro por hora'!$A$5:$A$2004,"&gt;="&amp;$B$4,'Registro por hora'!$A$5:$A$2004,"&lt;="&amp;$B$5))</f>
        <v/>
      </c>
      <c r="G72" s="29" t="str">
        <f aca="false">IF(OR($A72="",N(E72)=0),"",F72/E72)</f>
        <v/>
      </c>
      <c r="H72" s="28" t="str">
        <f aca="false">IF(OR($A72="",N(B72)=0),"",E72/B72)</f>
        <v/>
      </c>
      <c r="I72" s="2"/>
      <c r="J72" s="2"/>
      <c r="K72" s="2"/>
      <c r="L72" s="2"/>
      <c r="M72" s="2"/>
    </row>
    <row r="73" customFormat="false" ht="15" hidden="false" customHeight="false" outlineLevel="0" collapsed="false">
      <c r="A73" s="26" t="str">
        <f aca="false">IF(Personal!B69="","",Personal!B69)</f>
        <v/>
      </c>
      <c r="B73" s="26" t="str">
        <f aca="false">IF($A73="","",COUNTIFS(Asistencia!$B$5:$B$504,$A73,Asistencia!$A$5:$A$504,"&gt;="&amp;$B$4,Asistencia!$A$5:$A$504,"&lt;="&amp;$B$5)-COUNTIFS(Asistencia!$B$5:$B$504,$A73,Asistencia!$D$5:$D$504,"Ausente",Asistencia!$A$5:$A$504,"&gt;="&amp;$B$4,Asistencia!$A$5:$A$504,"&lt;="&amp;$B$5))</f>
        <v/>
      </c>
      <c r="C73" s="26" t="str">
        <f aca="false">IF($A73="","",COUNTIFS(Asistencia!$B$5:$B$504,$A73,Asistencia!$D$5:$D$504,"Ausente",Asistencia!$A$5:$A$504,"&gt;="&amp;$B$4,Asistencia!$A$5:$A$504,"&lt;="&amp;$B$5))</f>
        <v/>
      </c>
      <c r="D73" s="27" t="str">
        <f aca="false">IF($A73="","",COUNTIFS(Asistencia!$B$5:$B$504,$A73,Asistencia!$D$5:$D$504,"Ausente",Asistencia!$I$5:$I$504,"",Asistencia!$A$5:$A$504,"&gt;="&amp;$B$4,Asistencia!$A$5:$A$504,"&lt;="&amp;$B$5))</f>
        <v/>
      </c>
      <c r="E73" s="28" t="str">
        <f aca="false">IF($A73="","",SUMIFS(Asistencia!$H$5:$H$504,Asistencia!$B$5:$B$504,$A73,Asistencia!$A$5:$A$504,"&gt;="&amp;$B$4,Asistencia!$A$5:$A$504,"&lt;="&amp;$B$5))</f>
        <v/>
      </c>
      <c r="F73" s="28" t="str">
        <f aca="false">IF($A73="","",SUMIFS('Registro por hora'!$H$5:$H$2004,'Registro por hora'!$B$5:$B$2004,$A73,'Registro por hora'!$A$5:$A$2004,"&gt;="&amp;$B$4,'Registro por hora'!$A$5:$A$2004,"&lt;="&amp;$B$5))</f>
        <v/>
      </c>
      <c r="G73" s="29" t="str">
        <f aca="false">IF(OR($A73="",N(E73)=0),"",F73/E73)</f>
        <v/>
      </c>
      <c r="H73" s="28" t="str">
        <f aca="false">IF(OR($A73="",N(B73)=0),"",E73/B73)</f>
        <v/>
      </c>
      <c r="I73" s="2"/>
      <c r="J73" s="2"/>
      <c r="K73" s="2"/>
      <c r="L73" s="2"/>
      <c r="M73" s="2"/>
    </row>
    <row r="74" customFormat="false" ht="15" hidden="false" customHeight="false" outlineLevel="0" collapsed="false">
      <c r="A74" s="26" t="str">
        <f aca="false">IF(Personal!B70="","",Personal!B70)</f>
        <v/>
      </c>
      <c r="B74" s="26" t="str">
        <f aca="false">IF($A74="","",COUNTIFS(Asistencia!$B$5:$B$504,$A74,Asistencia!$A$5:$A$504,"&gt;="&amp;$B$4,Asistencia!$A$5:$A$504,"&lt;="&amp;$B$5)-COUNTIFS(Asistencia!$B$5:$B$504,$A74,Asistencia!$D$5:$D$504,"Ausente",Asistencia!$A$5:$A$504,"&gt;="&amp;$B$4,Asistencia!$A$5:$A$504,"&lt;="&amp;$B$5))</f>
        <v/>
      </c>
      <c r="C74" s="26" t="str">
        <f aca="false">IF($A74="","",COUNTIFS(Asistencia!$B$5:$B$504,$A74,Asistencia!$D$5:$D$504,"Ausente",Asistencia!$A$5:$A$504,"&gt;="&amp;$B$4,Asistencia!$A$5:$A$504,"&lt;="&amp;$B$5))</f>
        <v/>
      </c>
      <c r="D74" s="27" t="str">
        <f aca="false">IF($A74="","",COUNTIFS(Asistencia!$B$5:$B$504,$A74,Asistencia!$D$5:$D$504,"Ausente",Asistencia!$I$5:$I$504,"",Asistencia!$A$5:$A$504,"&gt;="&amp;$B$4,Asistencia!$A$5:$A$504,"&lt;="&amp;$B$5))</f>
        <v/>
      </c>
      <c r="E74" s="28" t="str">
        <f aca="false">IF($A74="","",SUMIFS(Asistencia!$H$5:$H$504,Asistencia!$B$5:$B$504,$A74,Asistencia!$A$5:$A$504,"&gt;="&amp;$B$4,Asistencia!$A$5:$A$504,"&lt;="&amp;$B$5))</f>
        <v/>
      </c>
      <c r="F74" s="28" t="str">
        <f aca="false">IF($A74="","",SUMIFS('Registro por hora'!$H$5:$H$2004,'Registro por hora'!$B$5:$B$2004,$A74,'Registro por hora'!$A$5:$A$2004,"&gt;="&amp;$B$4,'Registro por hora'!$A$5:$A$2004,"&lt;="&amp;$B$5))</f>
        <v/>
      </c>
      <c r="G74" s="29" t="str">
        <f aca="false">IF(OR($A74="",N(E74)=0),"",F74/E74)</f>
        <v/>
      </c>
      <c r="H74" s="28" t="str">
        <f aca="false">IF(OR($A74="",N(B74)=0),"",E74/B74)</f>
        <v/>
      </c>
      <c r="I74" s="2"/>
      <c r="J74" s="2"/>
      <c r="K74" s="2"/>
      <c r="L74" s="2"/>
      <c r="M74" s="2"/>
    </row>
    <row r="75" customFormat="false" ht="15" hidden="false" customHeight="false" outlineLevel="0" collapsed="false">
      <c r="A75" s="26" t="str">
        <f aca="false">IF(Personal!B71="","",Personal!B71)</f>
        <v/>
      </c>
      <c r="B75" s="26" t="str">
        <f aca="false">IF($A75="","",COUNTIFS(Asistencia!$B$5:$B$504,$A75,Asistencia!$A$5:$A$504,"&gt;="&amp;$B$4,Asistencia!$A$5:$A$504,"&lt;="&amp;$B$5)-COUNTIFS(Asistencia!$B$5:$B$504,$A75,Asistencia!$D$5:$D$504,"Ausente",Asistencia!$A$5:$A$504,"&gt;="&amp;$B$4,Asistencia!$A$5:$A$504,"&lt;="&amp;$B$5))</f>
        <v/>
      </c>
      <c r="C75" s="26" t="str">
        <f aca="false">IF($A75="","",COUNTIFS(Asistencia!$B$5:$B$504,$A75,Asistencia!$D$5:$D$504,"Ausente",Asistencia!$A$5:$A$504,"&gt;="&amp;$B$4,Asistencia!$A$5:$A$504,"&lt;="&amp;$B$5))</f>
        <v/>
      </c>
      <c r="D75" s="27" t="str">
        <f aca="false">IF($A75="","",COUNTIFS(Asistencia!$B$5:$B$504,$A75,Asistencia!$D$5:$D$504,"Ausente",Asistencia!$I$5:$I$504,"",Asistencia!$A$5:$A$504,"&gt;="&amp;$B$4,Asistencia!$A$5:$A$504,"&lt;="&amp;$B$5))</f>
        <v/>
      </c>
      <c r="E75" s="28" t="str">
        <f aca="false">IF($A75="","",SUMIFS(Asistencia!$H$5:$H$504,Asistencia!$B$5:$B$504,$A75,Asistencia!$A$5:$A$504,"&gt;="&amp;$B$4,Asistencia!$A$5:$A$504,"&lt;="&amp;$B$5))</f>
        <v/>
      </c>
      <c r="F75" s="28" t="str">
        <f aca="false">IF($A75="","",SUMIFS('Registro por hora'!$H$5:$H$2004,'Registro por hora'!$B$5:$B$2004,$A75,'Registro por hora'!$A$5:$A$2004,"&gt;="&amp;$B$4,'Registro por hora'!$A$5:$A$2004,"&lt;="&amp;$B$5))</f>
        <v/>
      </c>
      <c r="G75" s="29" t="str">
        <f aca="false">IF(OR($A75="",N(E75)=0),"",F75/E75)</f>
        <v/>
      </c>
      <c r="H75" s="28" t="str">
        <f aca="false">IF(OR($A75="",N(B75)=0),"",E75/B75)</f>
        <v/>
      </c>
      <c r="I75" s="2"/>
      <c r="J75" s="2"/>
      <c r="K75" s="2"/>
      <c r="L75" s="2"/>
      <c r="M75" s="2"/>
    </row>
    <row r="76" customFormat="false" ht="15" hidden="false" customHeight="false" outlineLevel="0" collapsed="false">
      <c r="A76" s="26" t="str">
        <f aca="false">IF(Personal!B72="","",Personal!B72)</f>
        <v/>
      </c>
      <c r="B76" s="26" t="str">
        <f aca="false">IF($A76="","",COUNTIFS(Asistencia!$B$5:$B$504,$A76,Asistencia!$A$5:$A$504,"&gt;="&amp;$B$4,Asistencia!$A$5:$A$504,"&lt;="&amp;$B$5)-COUNTIFS(Asistencia!$B$5:$B$504,$A76,Asistencia!$D$5:$D$504,"Ausente",Asistencia!$A$5:$A$504,"&gt;="&amp;$B$4,Asistencia!$A$5:$A$504,"&lt;="&amp;$B$5))</f>
        <v/>
      </c>
      <c r="C76" s="26" t="str">
        <f aca="false">IF($A76="","",COUNTIFS(Asistencia!$B$5:$B$504,$A76,Asistencia!$D$5:$D$504,"Ausente",Asistencia!$A$5:$A$504,"&gt;="&amp;$B$4,Asistencia!$A$5:$A$504,"&lt;="&amp;$B$5))</f>
        <v/>
      </c>
      <c r="D76" s="27" t="str">
        <f aca="false">IF($A76="","",COUNTIFS(Asistencia!$B$5:$B$504,$A76,Asistencia!$D$5:$D$504,"Ausente",Asistencia!$I$5:$I$504,"",Asistencia!$A$5:$A$504,"&gt;="&amp;$B$4,Asistencia!$A$5:$A$504,"&lt;="&amp;$B$5))</f>
        <v/>
      </c>
      <c r="E76" s="28" t="str">
        <f aca="false">IF($A76="","",SUMIFS(Asistencia!$H$5:$H$504,Asistencia!$B$5:$B$504,$A76,Asistencia!$A$5:$A$504,"&gt;="&amp;$B$4,Asistencia!$A$5:$A$504,"&lt;="&amp;$B$5))</f>
        <v/>
      </c>
      <c r="F76" s="28" t="str">
        <f aca="false">IF($A76="","",SUMIFS('Registro por hora'!$H$5:$H$2004,'Registro por hora'!$B$5:$B$2004,$A76,'Registro por hora'!$A$5:$A$2004,"&gt;="&amp;$B$4,'Registro por hora'!$A$5:$A$2004,"&lt;="&amp;$B$5))</f>
        <v/>
      </c>
      <c r="G76" s="29" t="str">
        <f aca="false">IF(OR($A76="",N(E76)=0),"",F76/E76)</f>
        <v/>
      </c>
      <c r="H76" s="28" t="str">
        <f aca="false">IF(OR($A76="",N(B76)=0),"",E76/B76)</f>
        <v/>
      </c>
      <c r="I76" s="2"/>
      <c r="J76" s="2"/>
      <c r="K76" s="2"/>
      <c r="L76" s="2"/>
      <c r="M76" s="2"/>
    </row>
    <row r="77" customFormat="false" ht="15" hidden="false" customHeight="false" outlineLevel="0" collapsed="false">
      <c r="A77" s="26" t="str">
        <f aca="false">IF(Personal!B73="","",Personal!B73)</f>
        <v/>
      </c>
      <c r="B77" s="26" t="str">
        <f aca="false">IF($A77="","",COUNTIFS(Asistencia!$B$5:$B$504,$A77,Asistencia!$A$5:$A$504,"&gt;="&amp;$B$4,Asistencia!$A$5:$A$504,"&lt;="&amp;$B$5)-COUNTIFS(Asistencia!$B$5:$B$504,$A77,Asistencia!$D$5:$D$504,"Ausente",Asistencia!$A$5:$A$504,"&gt;="&amp;$B$4,Asistencia!$A$5:$A$504,"&lt;="&amp;$B$5))</f>
        <v/>
      </c>
      <c r="C77" s="26" t="str">
        <f aca="false">IF($A77="","",COUNTIFS(Asistencia!$B$5:$B$504,$A77,Asistencia!$D$5:$D$504,"Ausente",Asistencia!$A$5:$A$504,"&gt;="&amp;$B$4,Asistencia!$A$5:$A$504,"&lt;="&amp;$B$5))</f>
        <v/>
      </c>
      <c r="D77" s="27" t="str">
        <f aca="false">IF($A77="","",COUNTIFS(Asistencia!$B$5:$B$504,$A77,Asistencia!$D$5:$D$504,"Ausente",Asistencia!$I$5:$I$504,"",Asistencia!$A$5:$A$504,"&gt;="&amp;$B$4,Asistencia!$A$5:$A$504,"&lt;="&amp;$B$5))</f>
        <v/>
      </c>
      <c r="E77" s="28" t="str">
        <f aca="false">IF($A77="","",SUMIFS(Asistencia!$H$5:$H$504,Asistencia!$B$5:$B$504,$A77,Asistencia!$A$5:$A$504,"&gt;="&amp;$B$4,Asistencia!$A$5:$A$504,"&lt;="&amp;$B$5))</f>
        <v/>
      </c>
      <c r="F77" s="28" t="str">
        <f aca="false">IF($A77="","",SUMIFS('Registro por hora'!$H$5:$H$2004,'Registro por hora'!$B$5:$B$2004,$A77,'Registro por hora'!$A$5:$A$2004,"&gt;="&amp;$B$4,'Registro por hora'!$A$5:$A$2004,"&lt;="&amp;$B$5))</f>
        <v/>
      </c>
      <c r="G77" s="29" t="str">
        <f aca="false">IF(OR($A77="",N(E77)=0),"",F77/E77)</f>
        <v/>
      </c>
      <c r="H77" s="28" t="str">
        <f aca="false">IF(OR($A77="",N(B77)=0),"",E77/B77)</f>
        <v/>
      </c>
      <c r="I77" s="2"/>
      <c r="J77" s="2"/>
      <c r="K77" s="2"/>
      <c r="L77" s="2"/>
      <c r="M77" s="2"/>
    </row>
    <row r="78" customFormat="false" ht="15" hidden="false" customHeight="false" outlineLevel="0" collapsed="false">
      <c r="A78" s="26" t="str">
        <f aca="false">IF(Personal!B74="","",Personal!B74)</f>
        <v/>
      </c>
      <c r="B78" s="26" t="str">
        <f aca="false">IF($A78="","",COUNTIFS(Asistencia!$B$5:$B$504,$A78,Asistencia!$A$5:$A$504,"&gt;="&amp;$B$4,Asistencia!$A$5:$A$504,"&lt;="&amp;$B$5)-COUNTIFS(Asistencia!$B$5:$B$504,$A78,Asistencia!$D$5:$D$504,"Ausente",Asistencia!$A$5:$A$504,"&gt;="&amp;$B$4,Asistencia!$A$5:$A$504,"&lt;="&amp;$B$5))</f>
        <v/>
      </c>
      <c r="C78" s="26" t="str">
        <f aca="false">IF($A78="","",COUNTIFS(Asistencia!$B$5:$B$504,$A78,Asistencia!$D$5:$D$504,"Ausente",Asistencia!$A$5:$A$504,"&gt;="&amp;$B$4,Asistencia!$A$5:$A$504,"&lt;="&amp;$B$5))</f>
        <v/>
      </c>
      <c r="D78" s="27" t="str">
        <f aca="false">IF($A78="","",COUNTIFS(Asistencia!$B$5:$B$504,$A78,Asistencia!$D$5:$D$504,"Ausente",Asistencia!$I$5:$I$504,"",Asistencia!$A$5:$A$504,"&gt;="&amp;$B$4,Asistencia!$A$5:$A$504,"&lt;="&amp;$B$5))</f>
        <v/>
      </c>
      <c r="E78" s="28" t="str">
        <f aca="false">IF($A78="","",SUMIFS(Asistencia!$H$5:$H$504,Asistencia!$B$5:$B$504,$A78,Asistencia!$A$5:$A$504,"&gt;="&amp;$B$4,Asistencia!$A$5:$A$504,"&lt;="&amp;$B$5))</f>
        <v/>
      </c>
      <c r="F78" s="28" t="str">
        <f aca="false">IF($A78="","",SUMIFS('Registro por hora'!$H$5:$H$2004,'Registro por hora'!$B$5:$B$2004,$A78,'Registro por hora'!$A$5:$A$2004,"&gt;="&amp;$B$4,'Registro por hora'!$A$5:$A$2004,"&lt;="&amp;$B$5))</f>
        <v/>
      </c>
      <c r="G78" s="29" t="str">
        <f aca="false">IF(OR($A78="",N(E78)=0),"",F78/E78)</f>
        <v/>
      </c>
      <c r="H78" s="28" t="str">
        <f aca="false">IF(OR($A78="",N(B78)=0),"",E78/B78)</f>
        <v/>
      </c>
      <c r="I78" s="2"/>
      <c r="J78" s="2"/>
      <c r="K78" s="2"/>
      <c r="L78" s="2"/>
      <c r="M78" s="2"/>
    </row>
    <row r="79" customFormat="false" ht="15" hidden="false" customHeight="false" outlineLevel="0" collapsed="false">
      <c r="A79" s="26" t="str">
        <f aca="false">IF(Personal!B75="","",Personal!B75)</f>
        <v/>
      </c>
      <c r="B79" s="26" t="str">
        <f aca="false">IF($A79="","",COUNTIFS(Asistencia!$B$5:$B$504,$A79,Asistencia!$A$5:$A$504,"&gt;="&amp;$B$4,Asistencia!$A$5:$A$504,"&lt;="&amp;$B$5)-COUNTIFS(Asistencia!$B$5:$B$504,$A79,Asistencia!$D$5:$D$504,"Ausente",Asistencia!$A$5:$A$504,"&gt;="&amp;$B$4,Asistencia!$A$5:$A$504,"&lt;="&amp;$B$5))</f>
        <v/>
      </c>
      <c r="C79" s="26" t="str">
        <f aca="false">IF($A79="","",COUNTIFS(Asistencia!$B$5:$B$504,$A79,Asistencia!$D$5:$D$504,"Ausente",Asistencia!$A$5:$A$504,"&gt;="&amp;$B$4,Asistencia!$A$5:$A$504,"&lt;="&amp;$B$5))</f>
        <v/>
      </c>
      <c r="D79" s="27" t="str">
        <f aca="false">IF($A79="","",COUNTIFS(Asistencia!$B$5:$B$504,$A79,Asistencia!$D$5:$D$504,"Ausente",Asistencia!$I$5:$I$504,"",Asistencia!$A$5:$A$504,"&gt;="&amp;$B$4,Asistencia!$A$5:$A$504,"&lt;="&amp;$B$5))</f>
        <v/>
      </c>
      <c r="E79" s="28" t="str">
        <f aca="false">IF($A79="","",SUMIFS(Asistencia!$H$5:$H$504,Asistencia!$B$5:$B$504,$A79,Asistencia!$A$5:$A$504,"&gt;="&amp;$B$4,Asistencia!$A$5:$A$504,"&lt;="&amp;$B$5))</f>
        <v/>
      </c>
      <c r="F79" s="28" t="str">
        <f aca="false">IF($A79="","",SUMIFS('Registro por hora'!$H$5:$H$2004,'Registro por hora'!$B$5:$B$2004,$A79,'Registro por hora'!$A$5:$A$2004,"&gt;="&amp;$B$4,'Registro por hora'!$A$5:$A$2004,"&lt;="&amp;$B$5))</f>
        <v/>
      </c>
      <c r="G79" s="29" t="str">
        <f aca="false">IF(OR($A79="",N(E79)=0),"",F79/E79)</f>
        <v/>
      </c>
      <c r="H79" s="28" t="str">
        <f aca="false">IF(OR($A79="",N(B79)=0),"",E79/B79)</f>
        <v/>
      </c>
      <c r="I79" s="2"/>
      <c r="J79" s="2"/>
      <c r="K79" s="2"/>
      <c r="L79" s="2"/>
      <c r="M79" s="2"/>
    </row>
    <row r="80" customFormat="false" ht="15" hidden="false" customHeight="false" outlineLevel="0" collapsed="false">
      <c r="A80" s="26" t="str">
        <f aca="false">IF(Personal!B76="","",Personal!B76)</f>
        <v/>
      </c>
      <c r="B80" s="26" t="str">
        <f aca="false">IF($A80="","",COUNTIFS(Asistencia!$B$5:$B$504,$A80,Asistencia!$A$5:$A$504,"&gt;="&amp;$B$4,Asistencia!$A$5:$A$504,"&lt;="&amp;$B$5)-COUNTIFS(Asistencia!$B$5:$B$504,$A80,Asistencia!$D$5:$D$504,"Ausente",Asistencia!$A$5:$A$504,"&gt;="&amp;$B$4,Asistencia!$A$5:$A$504,"&lt;="&amp;$B$5))</f>
        <v/>
      </c>
      <c r="C80" s="26" t="str">
        <f aca="false">IF($A80="","",COUNTIFS(Asistencia!$B$5:$B$504,$A80,Asistencia!$D$5:$D$504,"Ausente",Asistencia!$A$5:$A$504,"&gt;="&amp;$B$4,Asistencia!$A$5:$A$504,"&lt;="&amp;$B$5))</f>
        <v/>
      </c>
      <c r="D80" s="27" t="str">
        <f aca="false">IF($A80="","",COUNTIFS(Asistencia!$B$5:$B$504,$A80,Asistencia!$D$5:$D$504,"Ausente",Asistencia!$I$5:$I$504,"",Asistencia!$A$5:$A$504,"&gt;="&amp;$B$4,Asistencia!$A$5:$A$504,"&lt;="&amp;$B$5))</f>
        <v/>
      </c>
      <c r="E80" s="28" t="str">
        <f aca="false">IF($A80="","",SUMIFS(Asistencia!$H$5:$H$504,Asistencia!$B$5:$B$504,$A80,Asistencia!$A$5:$A$504,"&gt;="&amp;$B$4,Asistencia!$A$5:$A$504,"&lt;="&amp;$B$5))</f>
        <v/>
      </c>
      <c r="F80" s="28" t="str">
        <f aca="false">IF($A80="","",SUMIFS('Registro por hora'!$H$5:$H$2004,'Registro por hora'!$B$5:$B$2004,$A80,'Registro por hora'!$A$5:$A$2004,"&gt;="&amp;$B$4,'Registro por hora'!$A$5:$A$2004,"&lt;="&amp;$B$5))</f>
        <v/>
      </c>
      <c r="G80" s="29" t="str">
        <f aca="false">IF(OR($A80="",N(E80)=0),"",F80/E80)</f>
        <v/>
      </c>
      <c r="H80" s="28" t="str">
        <f aca="false">IF(OR($A80="",N(B80)=0),"",E80/B80)</f>
        <v/>
      </c>
      <c r="I80" s="2"/>
      <c r="J80" s="2"/>
      <c r="K80" s="2"/>
      <c r="L80" s="2"/>
      <c r="M80" s="2"/>
    </row>
    <row r="81" customFormat="false" ht="15" hidden="false" customHeight="false" outlineLevel="0" collapsed="false">
      <c r="A81" s="26" t="str">
        <f aca="false">IF(Personal!B77="","",Personal!B77)</f>
        <v/>
      </c>
      <c r="B81" s="26" t="str">
        <f aca="false">IF($A81="","",COUNTIFS(Asistencia!$B$5:$B$504,$A81,Asistencia!$A$5:$A$504,"&gt;="&amp;$B$4,Asistencia!$A$5:$A$504,"&lt;="&amp;$B$5)-COUNTIFS(Asistencia!$B$5:$B$504,$A81,Asistencia!$D$5:$D$504,"Ausente",Asistencia!$A$5:$A$504,"&gt;="&amp;$B$4,Asistencia!$A$5:$A$504,"&lt;="&amp;$B$5))</f>
        <v/>
      </c>
      <c r="C81" s="26" t="str">
        <f aca="false">IF($A81="","",COUNTIFS(Asistencia!$B$5:$B$504,$A81,Asistencia!$D$5:$D$504,"Ausente",Asistencia!$A$5:$A$504,"&gt;="&amp;$B$4,Asistencia!$A$5:$A$504,"&lt;="&amp;$B$5))</f>
        <v/>
      </c>
      <c r="D81" s="27" t="str">
        <f aca="false">IF($A81="","",COUNTIFS(Asistencia!$B$5:$B$504,$A81,Asistencia!$D$5:$D$504,"Ausente",Asistencia!$I$5:$I$504,"",Asistencia!$A$5:$A$504,"&gt;="&amp;$B$4,Asistencia!$A$5:$A$504,"&lt;="&amp;$B$5))</f>
        <v/>
      </c>
      <c r="E81" s="28" t="str">
        <f aca="false">IF($A81="","",SUMIFS(Asistencia!$H$5:$H$504,Asistencia!$B$5:$B$504,$A81,Asistencia!$A$5:$A$504,"&gt;="&amp;$B$4,Asistencia!$A$5:$A$504,"&lt;="&amp;$B$5))</f>
        <v/>
      </c>
      <c r="F81" s="28" t="str">
        <f aca="false">IF($A81="","",SUMIFS('Registro por hora'!$H$5:$H$2004,'Registro por hora'!$B$5:$B$2004,$A81,'Registro por hora'!$A$5:$A$2004,"&gt;="&amp;$B$4,'Registro por hora'!$A$5:$A$2004,"&lt;="&amp;$B$5))</f>
        <v/>
      </c>
      <c r="G81" s="29" t="str">
        <f aca="false">IF(OR($A81="",N(E81)=0),"",F81/E81)</f>
        <v/>
      </c>
      <c r="H81" s="28" t="str">
        <f aca="false">IF(OR($A81="",N(B81)=0),"",E81/B81)</f>
        <v/>
      </c>
      <c r="I81" s="2"/>
      <c r="J81" s="2"/>
      <c r="K81" s="2"/>
      <c r="L81" s="2"/>
      <c r="M81" s="2"/>
    </row>
    <row r="82" customFormat="false" ht="15" hidden="false" customHeight="false" outlineLevel="0" collapsed="false">
      <c r="A82" s="26" t="str">
        <f aca="false">IF(Personal!B78="","",Personal!B78)</f>
        <v/>
      </c>
      <c r="B82" s="26" t="str">
        <f aca="false">IF($A82="","",COUNTIFS(Asistencia!$B$5:$B$504,$A82,Asistencia!$A$5:$A$504,"&gt;="&amp;$B$4,Asistencia!$A$5:$A$504,"&lt;="&amp;$B$5)-COUNTIFS(Asistencia!$B$5:$B$504,$A82,Asistencia!$D$5:$D$504,"Ausente",Asistencia!$A$5:$A$504,"&gt;="&amp;$B$4,Asistencia!$A$5:$A$504,"&lt;="&amp;$B$5))</f>
        <v/>
      </c>
      <c r="C82" s="26" t="str">
        <f aca="false">IF($A82="","",COUNTIFS(Asistencia!$B$5:$B$504,$A82,Asistencia!$D$5:$D$504,"Ausente",Asistencia!$A$5:$A$504,"&gt;="&amp;$B$4,Asistencia!$A$5:$A$504,"&lt;="&amp;$B$5))</f>
        <v/>
      </c>
      <c r="D82" s="27" t="str">
        <f aca="false">IF($A82="","",COUNTIFS(Asistencia!$B$5:$B$504,$A82,Asistencia!$D$5:$D$504,"Ausente",Asistencia!$I$5:$I$504,"",Asistencia!$A$5:$A$504,"&gt;="&amp;$B$4,Asistencia!$A$5:$A$504,"&lt;="&amp;$B$5))</f>
        <v/>
      </c>
      <c r="E82" s="28" t="str">
        <f aca="false">IF($A82="","",SUMIFS(Asistencia!$H$5:$H$504,Asistencia!$B$5:$B$504,$A82,Asistencia!$A$5:$A$504,"&gt;="&amp;$B$4,Asistencia!$A$5:$A$504,"&lt;="&amp;$B$5))</f>
        <v/>
      </c>
      <c r="F82" s="28" t="str">
        <f aca="false">IF($A82="","",SUMIFS('Registro por hora'!$H$5:$H$2004,'Registro por hora'!$B$5:$B$2004,$A82,'Registro por hora'!$A$5:$A$2004,"&gt;="&amp;$B$4,'Registro por hora'!$A$5:$A$2004,"&lt;="&amp;$B$5))</f>
        <v/>
      </c>
      <c r="G82" s="29" t="str">
        <f aca="false">IF(OR($A82="",N(E82)=0),"",F82/E82)</f>
        <v/>
      </c>
      <c r="H82" s="28" t="str">
        <f aca="false">IF(OR($A82="",N(B82)=0),"",E82/B82)</f>
        <v/>
      </c>
      <c r="I82" s="2"/>
      <c r="J82" s="2"/>
      <c r="K82" s="2"/>
      <c r="L82" s="2"/>
      <c r="M82" s="2"/>
    </row>
    <row r="83" customFormat="false" ht="15" hidden="false" customHeight="false" outlineLevel="0" collapsed="false">
      <c r="A83" s="26" t="str">
        <f aca="false">IF(Personal!B79="","",Personal!B79)</f>
        <v/>
      </c>
      <c r="B83" s="26" t="str">
        <f aca="false">IF($A83="","",COUNTIFS(Asistencia!$B$5:$B$504,$A83,Asistencia!$A$5:$A$504,"&gt;="&amp;$B$4,Asistencia!$A$5:$A$504,"&lt;="&amp;$B$5)-COUNTIFS(Asistencia!$B$5:$B$504,$A83,Asistencia!$D$5:$D$504,"Ausente",Asistencia!$A$5:$A$504,"&gt;="&amp;$B$4,Asistencia!$A$5:$A$504,"&lt;="&amp;$B$5))</f>
        <v/>
      </c>
      <c r="C83" s="26" t="str">
        <f aca="false">IF($A83="","",COUNTIFS(Asistencia!$B$5:$B$504,$A83,Asistencia!$D$5:$D$504,"Ausente",Asistencia!$A$5:$A$504,"&gt;="&amp;$B$4,Asistencia!$A$5:$A$504,"&lt;="&amp;$B$5))</f>
        <v/>
      </c>
      <c r="D83" s="27" t="str">
        <f aca="false">IF($A83="","",COUNTIFS(Asistencia!$B$5:$B$504,$A83,Asistencia!$D$5:$D$504,"Ausente",Asistencia!$I$5:$I$504,"",Asistencia!$A$5:$A$504,"&gt;="&amp;$B$4,Asistencia!$A$5:$A$504,"&lt;="&amp;$B$5))</f>
        <v/>
      </c>
      <c r="E83" s="28" t="str">
        <f aca="false">IF($A83="","",SUMIFS(Asistencia!$H$5:$H$504,Asistencia!$B$5:$B$504,$A83,Asistencia!$A$5:$A$504,"&gt;="&amp;$B$4,Asistencia!$A$5:$A$504,"&lt;="&amp;$B$5))</f>
        <v/>
      </c>
      <c r="F83" s="28" t="str">
        <f aca="false">IF($A83="","",SUMIFS('Registro por hora'!$H$5:$H$2004,'Registro por hora'!$B$5:$B$2004,$A83,'Registro por hora'!$A$5:$A$2004,"&gt;="&amp;$B$4,'Registro por hora'!$A$5:$A$2004,"&lt;="&amp;$B$5))</f>
        <v/>
      </c>
      <c r="G83" s="29" t="str">
        <f aca="false">IF(OR($A83="",N(E83)=0),"",F83/E83)</f>
        <v/>
      </c>
      <c r="H83" s="28" t="str">
        <f aca="false">IF(OR($A83="",N(B83)=0),"",E83/B83)</f>
        <v/>
      </c>
      <c r="I83" s="2"/>
      <c r="J83" s="2"/>
      <c r="K83" s="2"/>
      <c r="L83" s="2"/>
      <c r="M83" s="2"/>
    </row>
    <row r="84" customFormat="false" ht="15" hidden="false" customHeight="false" outlineLevel="0" collapsed="false">
      <c r="A84" s="26" t="str">
        <f aca="false">IF(Personal!B80="","",Personal!B80)</f>
        <v/>
      </c>
      <c r="B84" s="26" t="str">
        <f aca="false">IF($A84="","",COUNTIFS(Asistencia!$B$5:$B$504,$A84,Asistencia!$A$5:$A$504,"&gt;="&amp;$B$4,Asistencia!$A$5:$A$504,"&lt;="&amp;$B$5)-COUNTIFS(Asistencia!$B$5:$B$504,$A84,Asistencia!$D$5:$D$504,"Ausente",Asistencia!$A$5:$A$504,"&gt;="&amp;$B$4,Asistencia!$A$5:$A$504,"&lt;="&amp;$B$5))</f>
        <v/>
      </c>
      <c r="C84" s="26" t="str">
        <f aca="false">IF($A84="","",COUNTIFS(Asistencia!$B$5:$B$504,$A84,Asistencia!$D$5:$D$504,"Ausente",Asistencia!$A$5:$A$504,"&gt;="&amp;$B$4,Asistencia!$A$5:$A$504,"&lt;="&amp;$B$5))</f>
        <v/>
      </c>
      <c r="D84" s="27" t="str">
        <f aca="false">IF($A84="","",COUNTIFS(Asistencia!$B$5:$B$504,$A84,Asistencia!$D$5:$D$504,"Ausente",Asistencia!$I$5:$I$504,"",Asistencia!$A$5:$A$504,"&gt;="&amp;$B$4,Asistencia!$A$5:$A$504,"&lt;="&amp;$B$5))</f>
        <v/>
      </c>
      <c r="E84" s="28" t="str">
        <f aca="false">IF($A84="","",SUMIFS(Asistencia!$H$5:$H$504,Asistencia!$B$5:$B$504,$A84,Asistencia!$A$5:$A$504,"&gt;="&amp;$B$4,Asistencia!$A$5:$A$504,"&lt;="&amp;$B$5))</f>
        <v/>
      </c>
      <c r="F84" s="28" t="str">
        <f aca="false">IF($A84="","",SUMIFS('Registro por hora'!$H$5:$H$2004,'Registro por hora'!$B$5:$B$2004,$A84,'Registro por hora'!$A$5:$A$2004,"&gt;="&amp;$B$4,'Registro por hora'!$A$5:$A$2004,"&lt;="&amp;$B$5))</f>
        <v/>
      </c>
      <c r="G84" s="29" t="str">
        <f aca="false">IF(OR($A84="",N(E84)=0),"",F84/E84)</f>
        <v/>
      </c>
      <c r="H84" s="28" t="str">
        <f aca="false">IF(OR($A84="",N(B84)=0),"",E84/B84)</f>
        <v/>
      </c>
      <c r="I84" s="2"/>
      <c r="J84" s="2"/>
      <c r="K84" s="2"/>
      <c r="L84" s="2"/>
      <c r="M84" s="2"/>
    </row>
    <row r="85" customFormat="false" ht="15" hidden="false" customHeight="false" outlineLevel="0" collapsed="false">
      <c r="A85" s="26" t="str">
        <f aca="false">IF(Personal!B81="","",Personal!B81)</f>
        <v/>
      </c>
      <c r="B85" s="26" t="str">
        <f aca="false">IF($A85="","",COUNTIFS(Asistencia!$B$5:$B$504,$A85,Asistencia!$A$5:$A$504,"&gt;="&amp;$B$4,Asistencia!$A$5:$A$504,"&lt;="&amp;$B$5)-COUNTIFS(Asistencia!$B$5:$B$504,$A85,Asistencia!$D$5:$D$504,"Ausente",Asistencia!$A$5:$A$504,"&gt;="&amp;$B$4,Asistencia!$A$5:$A$504,"&lt;="&amp;$B$5))</f>
        <v/>
      </c>
      <c r="C85" s="26" t="str">
        <f aca="false">IF($A85="","",COUNTIFS(Asistencia!$B$5:$B$504,$A85,Asistencia!$D$5:$D$504,"Ausente",Asistencia!$A$5:$A$504,"&gt;="&amp;$B$4,Asistencia!$A$5:$A$504,"&lt;="&amp;$B$5))</f>
        <v/>
      </c>
      <c r="D85" s="27" t="str">
        <f aca="false">IF($A85="","",COUNTIFS(Asistencia!$B$5:$B$504,$A85,Asistencia!$D$5:$D$504,"Ausente",Asistencia!$I$5:$I$504,"",Asistencia!$A$5:$A$504,"&gt;="&amp;$B$4,Asistencia!$A$5:$A$504,"&lt;="&amp;$B$5))</f>
        <v/>
      </c>
      <c r="E85" s="28" t="str">
        <f aca="false">IF($A85="","",SUMIFS(Asistencia!$H$5:$H$504,Asistencia!$B$5:$B$504,$A85,Asistencia!$A$5:$A$504,"&gt;="&amp;$B$4,Asistencia!$A$5:$A$504,"&lt;="&amp;$B$5))</f>
        <v/>
      </c>
      <c r="F85" s="28" t="str">
        <f aca="false">IF($A85="","",SUMIFS('Registro por hora'!$H$5:$H$2004,'Registro por hora'!$B$5:$B$2004,$A85,'Registro por hora'!$A$5:$A$2004,"&gt;="&amp;$B$4,'Registro por hora'!$A$5:$A$2004,"&lt;="&amp;$B$5))</f>
        <v/>
      </c>
      <c r="G85" s="29" t="str">
        <f aca="false">IF(OR($A85="",N(E85)=0),"",F85/E85)</f>
        <v/>
      </c>
      <c r="H85" s="28" t="str">
        <f aca="false">IF(OR($A85="",N(B85)=0),"",E85/B85)</f>
        <v/>
      </c>
      <c r="I85" s="2"/>
      <c r="J85" s="2"/>
      <c r="K85" s="2"/>
      <c r="L85" s="2"/>
      <c r="M85" s="2"/>
    </row>
    <row r="86" customFormat="false" ht="15" hidden="false" customHeight="false" outlineLevel="0" collapsed="false">
      <c r="A86" s="26" t="str">
        <f aca="false">IF(Personal!B82="","",Personal!B82)</f>
        <v/>
      </c>
      <c r="B86" s="26" t="str">
        <f aca="false">IF($A86="","",COUNTIFS(Asistencia!$B$5:$B$504,$A86,Asistencia!$A$5:$A$504,"&gt;="&amp;$B$4,Asistencia!$A$5:$A$504,"&lt;="&amp;$B$5)-COUNTIFS(Asistencia!$B$5:$B$504,$A86,Asistencia!$D$5:$D$504,"Ausente",Asistencia!$A$5:$A$504,"&gt;="&amp;$B$4,Asistencia!$A$5:$A$504,"&lt;="&amp;$B$5))</f>
        <v/>
      </c>
      <c r="C86" s="26" t="str">
        <f aca="false">IF($A86="","",COUNTIFS(Asistencia!$B$5:$B$504,$A86,Asistencia!$D$5:$D$504,"Ausente",Asistencia!$A$5:$A$504,"&gt;="&amp;$B$4,Asistencia!$A$5:$A$504,"&lt;="&amp;$B$5))</f>
        <v/>
      </c>
      <c r="D86" s="27" t="str">
        <f aca="false">IF($A86="","",COUNTIFS(Asistencia!$B$5:$B$504,$A86,Asistencia!$D$5:$D$504,"Ausente",Asistencia!$I$5:$I$504,"",Asistencia!$A$5:$A$504,"&gt;="&amp;$B$4,Asistencia!$A$5:$A$504,"&lt;="&amp;$B$5))</f>
        <v/>
      </c>
      <c r="E86" s="28" t="str">
        <f aca="false">IF($A86="","",SUMIFS(Asistencia!$H$5:$H$504,Asistencia!$B$5:$B$504,$A86,Asistencia!$A$5:$A$504,"&gt;="&amp;$B$4,Asistencia!$A$5:$A$504,"&lt;="&amp;$B$5))</f>
        <v/>
      </c>
      <c r="F86" s="28" t="str">
        <f aca="false">IF($A86="","",SUMIFS('Registro por hora'!$H$5:$H$2004,'Registro por hora'!$B$5:$B$2004,$A86,'Registro por hora'!$A$5:$A$2004,"&gt;="&amp;$B$4,'Registro por hora'!$A$5:$A$2004,"&lt;="&amp;$B$5))</f>
        <v/>
      </c>
      <c r="G86" s="29" t="str">
        <f aca="false">IF(OR($A86="",N(E86)=0),"",F86/E86)</f>
        <v/>
      </c>
      <c r="H86" s="28" t="str">
        <f aca="false">IF(OR($A86="",N(B86)=0),"",E86/B86)</f>
        <v/>
      </c>
      <c r="I86" s="2"/>
      <c r="J86" s="2"/>
      <c r="K86" s="2"/>
      <c r="L86" s="2"/>
      <c r="M86" s="2"/>
    </row>
    <row r="87" customFormat="false" ht="15" hidden="false" customHeight="false" outlineLevel="0" collapsed="false">
      <c r="A87" s="26" t="str">
        <f aca="false">IF(Personal!B83="","",Personal!B83)</f>
        <v/>
      </c>
      <c r="B87" s="26" t="str">
        <f aca="false">IF($A87="","",COUNTIFS(Asistencia!$B$5:$B$504,$A87,Asistencia!$A$5:$A$504,"&gt;="&amp;$B$4,Asistencia!$A$5:$A$504,"&lt;="&amp;$B$5)-COUNTIFS(Asistencia!$B$5:$B$504,$A87,Asistencia!$D$5:$D$504,"Ausente",Asistencia!$A$5:$A$504,"&gt;="&amp;$B$4,Asistencia!$A$5:$A$504,"&lt;="&amp;$B$5))</f>
        <v/>
      </c>
      <c r="C87" s="26" t="str">
        <f aca="false">IF($A87="","",COUNTIFS(Asistencia!$B$5:$B$504,$A87,Asistencia!$D$5:$D$504,"Ausente",Asistencia!$A$5:$A$504,"&gt;="&amp;$B$4,Asistencia!$A$5:$A$504,"&lt;="&amp;$B$5))</f>
        <v/>
      </c>
      <c r="D87" s="27" t="str">
        <f aca="false">IF($A87="","",COUNTIFS(Asistencia!$B$5:$B$504,$A87,Asistencia!$D$5:$D$504,"Ausente",Asistencia!$I$5:$I$504,"",Asistencia!$A$5:$A$504,"&gt;="&amp;$B$4,Asistencia!$A$5:$A$504,"&lt;="&amp;$B$5))</f>
        <v/>
      </c>
      <c r="E87" s="28" t="str">
        <f aca="false">IF($A87="","",SUMIFS(Asistencia!$H$5:$H$504,Asistencia!$B$5:$B$504,$A87,Asistencia!$A$5:$A$504,"&gt;="&amp;$B$4,Asistencia!$A$5:$A$504,"&lt;="&amp;$B$5))</f>
        <v/>
      </c>
      <c r="F87" s="28" t="str">
        <f aca="false">IF($A87="","",SUMIFS('Registro por hora'!$H$5:$H$2004,'Registro por hora'!$B$5:$B$2004,$A87,'Registro por hora'!$A$5:$A$2004,"&gt;="&amp;$B$4,'Registro por hora'!$A$5:$A$2004,"&lt;="&amp;$B$5))</f>
        <v/>
      </c>
      <c r="G87" s="29" t="str">
        <f aca="false">IF(OR($A87="",N(E87)=0),"",F87/E87)</f>
        <v/>
      </c>
      <c r="H87" s="28" t="str">
        <f aca="false">IF(OR($A87="",N(B87)=0),"",E87/B87)</f>
        <v/>
      </c>
      <c r="I87" s="2"/>
      <c r="J87" s="2"/>
      <c r="K87" s="2"/>
      <c r="L87" s="2"/>
      <c r="M87" s="2"/>
    </row>
    <row r="88" customFormat="false" ht="15" hidden="false" customHeight="false" outlineLevel="0" collapsed="false">
      <c r="A88" s="26" t="str">
        <f aca="false">IF(Personal!B84="","",Personal!B84)</f>
        <v/>
      </c>
      <c r="B88" s="26" t="str">
        <f aca="false">IF($A88="","",COUNTIFS(Asistencia!$B$5:$B$504,$A88,Asistencia!$A$5:$A$504,"&gt;="&amp;$B$4,Asistencia!$A$5:$A$504,"&lt;="&amp;$B$5)-COUNTIFS(Asistencia!$B$5:$B$504,$A88,Asistencia!$D$5:$D$504,"Ausente",Asistencia!$A$5:$A$504,"&gt;="&amp;$B$4,Asistencia!$A$5:$A$504,"&lt;="&amp;$B$5))</f>
        <v/>
      </c>
      <c r="C88" s="26" t="str">
        <f aca="false">IF($A88="","",COUNTIFS(Asistencia!$B$5:$B$504,$A88,Asistencia!$D$5:$D$504,"Ausente",Asistencia!$A$5:$A$504,"&gt;="&amp;$B$4,Asistencia!$A$5:$A$504,"&lt;="&amp;$B$5))</f>
        <v/>
      </c>
      <c r="D88" s="27" t="str">
        <f aca="false">IF($A88="","",COUNTIFS(Asistencia!$B$5:$B$504,$A88,Asistencia!$D$5:$D$504,"Ausente",Asistencia!$I$5:$I$504,"",Asistencia!$A$5:$A$504,"&gt;="&amp;$B$4,Asistencia!$A$5:$A$504,"&lt;="&amp;$B$5))</f>
        <v/>
      </c>
      <c r="E88" s="28" t="str">
        <f aca="false">IF($A88="","",SUMIFS(Asistencia!$H$5:$H$504,Asistencia!$B$5:$B$504,$A88,Asistencia!$A$5:$A$504,"&gt;="&amp;$B$4,Asistencia!$A$5:$A$504,"&lt;="&amp;$B$5))</f>
        <v/>
      </c>
      <c r="F88" s="28" t="str">
        <f aca="false">IF($A88="","",SUMIFS('Registro por hora'!$H$5:$H$2004,'Registro por hora'!$B$5:$B$2004,$A88,'Registro por hora'!$A$5:$A$2004,"&gt;="&amp;$B$4,'Registro por hora'!$A$5:$A$2004,"&lt;="&amp;$B$5))</f>
        <v/>
      </c>
      <c r="G88" s="29" t="str">
        <f aca="false">IF(OR($A88="",N(E88)=0),"",F88/E88)</f>
        <v/>
      </c>
      <c r="H88" s="28" t="str">
        <f aca="false">IF(OR($A88="",N(B88)=0),"",E88/B88)</f>
        <v/>
      </c>
      <c r="I88" s="2"/>
      <c r="J88" s="2"/>
      <c r="K88" s="2"/>
      <c r="L88" s="2"/>
      <c r="M88" s="2"/>
    </row>
    <row r="89" customFormat="false" ht="15" hidden="false" customHeight="false" outlineLevel="0" collapsed="false">
      <c r="A89" s="26" t="str">
        <f aca="false">IF(Personal!B85="","",Personal!B85)</f>
        <v/>
      </c>
      <c r="B89" s="26" t="str">
        <f aca="false">IF($A89="","",COUNTIFS(Asistencia!$B$5:$B$504,$A89,Asistencia!$A$5:$A$504,"&gt;="&amp;$B$4,Asistencia!$A$5:$A$504,"&lt;="&amp;$B$5)-COUNTIFS(Asistencia!$B$5:$B$504,$A89,Asistencia!$D$5:$D$504,"Ausente",Asistencia!$A$5:$A$504,"&gt;="&amp;$B$4,Asistencia!$A$5:$A$504,"&lt;="&amp;$B$5))</f>
        <v/>
      </c>
      <c r="C89" s="26" t="str">
        <f aca="false">IF($A89="","",COUNTIFS(Asistencia!$B$5:$B$504,$A89,Asistencia!$D$5:$D$504,"Ausente",Asistencia!$A$5:$A$504,"&gt;="&amp;$B$4,Asistencia!$A$5:$A$504,"&lt;="&amp;$B$5))</f>
        <v/>
      </c>
      <c r="D89" s="27" t="str">
        <f aca="false">IF($A89="","",COUNTIFS(Asistencia!$B$5:$B$504,$A89,Asistencia!$D$5:$D$504,"Ausente",Asistencia!$I$5:$I$504,"",Asistencia!$A$5:$A$504,"&gt;="&amp;$B$4,Asistencia!$A$5:$A$504,"&lt;="&amp;$B$5))</f>
        <v/>
      </c>
      <c r="E89" s="28" t="str">
        <f aca="false">IF($A89="","",SUMIFS(Asistencia!$H$5:$H$504,Asistencia!$B$5:$B$504,$A89,Asistencia!$A$5:$A$504,"&gt;="&amp;$B$4,Asistencia!$A$5:$A$504,"&lt;="&amp;$B$5))</f>
        <v/>
      </c>
      <c r="F89" s="28" t="str">
        <f aca="false">IF($A89="","",SUMIFS('Registro por hora'!$H$5:$H$2004,'Registro por hora'!$B$5:$B$2004,$A89,'Registro por hora'!$A$5:$A$2004,"&gt;="&amp;$B$4,'Registro por hora'!$A$5:$A$2004,"&lt;="&amp;$B$5))</f>
        <v/>
      </c>
      <c r="G89" s="29" t="str">
        <f aca="false">IF(OR($A89="",N(E89)=0),"",F89/E89)</f>
        <v/>
      </c>
      <c r="H89" s="28" t="str">
        <f aca="false">IF(OR($A89="",N(B89)=0),"",E89/B89)</f>
        <v/>
      </c>
      <c r="I89" s="2"/>
      <c r="J89" s="2"/>
      <c r="K89" s="2"/>
      <c r="L89" s="2"/>
      <c r="M89" s="2"/>
    </row>
    <row r="90" customFormat="false" ht="15" hidden="false" customHeight="false" outlineLevel="0" collapsed="false">
      <c r="A90" s="26" t="str">
        <f aca="false">IF(Personal!B86="","",Personal!B86)</f>
        <v/>
      </c>
      <c r="B90" s="26" t="str">
        <f aca="false">IF($A90="","",COUNTIFS(Asistencia!$B$5:$B$504,$A90,Asistencia!$A$5:$A$504,"&gt;="&amp;$B$4,Asistencia!$A$5:$A$504,"&lt;="&amp;$B$5)-COUNTIFS(Asistencia!$B$5:$B$504,$A90,Asistencia!$D$5:$D$504,"Ausente",Asistencia!$A$5:$A$504,"&gt;="&amp;$B$4,Asistencia!$A$5:$A$504,"&lt;="&amp;$B$5))</f>
        <v/>
      </c>
      <c r="C90" s="26" t="str">
        <f aca="false">IF($A90="","",COUNTIFS(Asistencia!$B$5:$B$504,$A90,Asistencia!$D$5:$D$504,"Ausente",Asistencia!$A$5:$A$504,"&gt;="&amp;$B$4,Asistencia!$A$5:$A$504,"&lt;="&amp;$B$5))</f>
        <v/>
      </c>
      <c r="D90" s="27" t="str">
        <f aca="false">IF($A90="","",COUNTIFS(Asistencia!$B$5:$B$504,$A90,Asistencia!$D$5:$D$504,"Ausente",Asistencia!$I$5:$I$504,"",Asistencia!$A$5:$A$504,"&gt;="&amp;$B$4,Asistencia!$A$5:$A$504,"&lt;="&amp;$B$5))</f>
        <v/>
      </c>
      <c r="E90" s="28" t="str">
        <f aca="false">IF($A90="","",SUMIFS(Asistencia!$H$5:$H$504,Asistencia!$B$5:$B$504,$A90,Asistencia!$A$5:$A$504,"&gt;="&amp;$B$4,Asistencia!$A$5:$A$504,"&lt;="&amp;$B$5))</f>
        <v/>
      </c>
      <c r="F90" s="28" t="str">
        <f aca="false">IF($A90="","",SUMIFS('Registro por hora'!$H$5:$H$2004,'Registro por hora'!$B$5:$B$2004,$A90,'Registro por hora'!$A$5:$A$2004,"&gt;="&amp;$B$4,'Registro por hora'!$A$5:$A$2004,"&lt;="&amp;$B$5))</f>
        <v/>
      </c>
      <c r="G90" s="29" t="str">
        <f aca="false">IF(OR($A90="",N(E90)=0),"",F90/E90)</f>
        <v/>
      </c>
      <c r="H90" s="28" t="str">
        <f aca="false">IF(OR($A90="",N(B90)=0),"",E90/B90)</f>
        <v/>
      </c>
      <c r="I90" s="2"/>
      <c r="J90" s="2"/>
      <c r="K90" s="2"/>
      <c r="L90" s="2"/>
      <c r="M90" s="2"/>
    </row>
    <row r="91" customFormat="false" ht="15" hidden="false" customHeight="false" outlineLevel="0" collapsed="false">
      <c r="A91" s="26" t="str">
        <f aca="false">IF(Personal!B87="","",Personal!B87)</f>
        <v/>
      </c>
      <c r="B91" s="26" t="str">
        <f aca="false">IF($A91="","",COUNTIFS(Asistencia!$B$5:$B$504,$A91,Asistencia!$A$5:$A$504,"&gt;="&amp;$B$4,Asistencia!$A$5:$A$504,"&lt;="&amp;$B$5)-COUNTIFS(Asistencia!$B$5:$B$504,$A91,Asistencia!$D$5:$D$504,"Ausente",Asistencia!$A$5:$A$504,"&gt;="&amp;$B$4,Asistencia!$A$5:$A$504,"&lt;="&amp;$B$5))</f>
        <v/>
      </c>
      <c r="C91" s="26" t="str">
        <f aca="false">IF($A91="","",COUNTIFS(Asistencia!$B$5:$B$504,$A91,Asistencia!$D$5:$D$504,"Ausente",Asistencia!$A$5:$A$504,"&gt;="&amp;$B$4,Asistencia!$A$5:$A$504,"&lt;="&amp;$B$5))</f>
        <v/>
      </c>
      <c r="D91" s="27" t="str">
        <f aca="false">IF($A91="","",COUNTIFS(Asistencia!$B$5:$B$504,$A91,Asistencia!$D$5:$D$504,"Ausente",Asistencia!$I$5:$I$504,"",Asistencia!$A$5:$A$504,"&gt;="&amp;$B$4,Asistencia!$A$5:$A$504,"&lt;="&amp;$B$5))</f>
        <v/>
      </c>
      <c r="E91" s="28" t="str">
        <f aca="false">IF($A91="","",SUMIFS(Asistencia!$H$5:$H$504,Asistencia!$B$5:$B$504,$A91,Asistencia!$A$5:$A$504,"&gt;="&amp;$B$4,Asistencia!$A$5:$A$504,"&lt;="&amp;$B$5))</f>
        <v/>
      </c>
      <c r="F91" s="28" t="str">
        <f aca="false">IF($A91="","",SUMIFS('Registro por hora'!$H$5:$H$2004,'Registro por hora'!$B$5:$B$2004,$A91,'Registro por hora'!$A$5:$A$2004,"&gt;="&amp;$B$4,'Registro por hora'!$A$5:$A$2004,"&lt;="&amp;$B$5))</f>
        <v/>
      </c>
      <c r="G91" s="29" t="str">
        <f aca="false">IF(OR($A91="",N(E91)=0),"",F91/E91)</f>
        <v/>
      </c>
      <c r="H91" s="28" t="str">
        <f aca="false">IF(OR($A91="",N(B91)=0),"",E91/B91)</f>
        <v/>
      </c>
      <c r="I91" s="2"/>
      <c r="J91" s="2"/>
      <c r="K91" s="2"/>
      <c r="L91" s="2"/>
      <c r="M91" s="2"/>
    </row>
    <row r="92" customFormat="false" ht="15" hidden="false" customHeight="false" outlineLevel="0" collapsed="false">
      <c r="A92" s="26" t="str">
        <f aca="false">IF(Personal!B88="","",Personal!B88)</f>
        <v/>
      </c>
      <c r="B92" s="26" t="str">
        <f aca="false">IF($A92="","",COUNTIFS(Asistencia!$B$5:$B$504,$A92,Asistencia!$A$5:$A$504,"&gt;="&amp;$B$4,Asistencia!$A$5:$A$504,"&lt;="&amp;$B$5)-COUNTIFS(Asistencia!$B$5:$B$504,$A92,Asistencia!$D$5:$D$504,"Ausente",Asistencia!$A$5:$A$504,"&gt;="&amp;$B$4,Asistencia!$A$5:$A$504,"&lt;="&amp;$B$5))</f>
        <v/>
      </c>
      <c r="C92" s="26" t="str">
        <f aca="false">IF($A92="","",COUNTIFS(Asistencia!$B$5:$B$504,$A92,Asistencia!$D$5:$D$504,"Ausente",Asistencia!$A$5:$A$504,"&gt;="&amp;$B$4,Asistencia!$A$5:$A$504,"&lt;="&amp;$B$5))</f>
        <v/>
      </c>
      <c r="D92" s="27" t="str">
        <f aca="false">IF($A92="","",COUNTIFS(Asistencia!$B$5:$B$504,$A92,Asistencia!$D$5:$D$504,"Ausente",Asistencia!$I$5:$I$504,"",Asistencia!$A$5:$A$504,"&gt;="&amp;$B$4,Asistencia!$A$5:$A$504,"&lt;="&amp;$B$5))</f>
        <v/>
      </c>
      <c r="E92" s="28" t="str">
        <f aca="false">IF($A92="","",SUMIFS(Asistencia!$H$5:$H$504,Asistencia!$B$5:$B$504,$A92,Asistencia!$A$5:$A$504,"&gt;="&amp;$B$4,Asistencia!$A$5:$A$504,"&lt;="&amp;$B$5))</f>
        <v/>
      </c>
      <c r="F92" s="28" t="str">
        <f aca="false">IF($A92="","",SUMIFS('Registro por hora'!$H$5:$H$2004,'Registro por hora'!$B$5:$B$2004,$A92,'Registro por hora'!$A$5:$A$2004,"&gt;="&amp;$B$4,'Registro por hora'!$A$5:$A$2004,"&lt;="&amp;$B$5))</f>
        <v/>
      </c>
      <c r="G92" s="29" t="str">
        <f aca="false">IF(OR($A92="",N(E92)=0),"",F92/E92)</f>
        <v/>
      </c>
      <c r="H92" s="28" t="str">
        <f aca="false">IF(OR($A92="",N(B92)=0),"",E92/B92)</f>
        <v/>
      </c>
      <c r="I92" s="2"/>
      <c r="J92" s="2"/>
      <c r="K92" s="2"/>
      <c r="L92" s="2"/>
      <c r="M92" s="2"/>
    </row>
    <row r="93" customFormat="false" ht="15" hidden="false" customHeight="false" outlineLevel="0" collapsed="false">
      <c r="A93" s="26" t="str">
        <f aca="false">IF(Personal!B89="","",Personal!B89)</f>
        <v/>
      </c>
      <c r="B93" s="26" t="str">
        <f aca="false">IF($A93="","",COUNTIFS(Asistencia!$B$5:$B$504,$A93,Asistencia!$A$5:$A$504,"&gt;="&amp;$B$4,Asistencia!$A$5:$A$504,"&lt;="&amp;$B$5)-COUNTIFS(Asistencia!$B$5:$B$504,$A93,Asistencia!$D$5:$D$504,"Ausente",Asistencia!$A$5:$A$504,"&gt;="&amp;$B$4,Asistencia!$A$5:$A$504,"&lt;="&amp;$B$5))</f>
        <v/>
      </c>
      <c r="C93" s="26" t="str">
        <f aca="false">IF($A93="","",COUNTIFS(Asistencia!$B$5:$B$504,$A93,Asistencia!$D$5:$D$504,"Ausente",Asistencia!$A$5:$A$504,"&gt;="&amp;$B$4,Asistencia!$A$5:$A$504,"&lt;="&amp;$B$5))</f>
        <v/>
      </c>
      <c r="D93" s="27" t="str">
        <f aca="false">IF($A93="","",COUNTIFS(Asistencia!$B$5:$B$504,$A93,Asistencia!$D$5:$D$504,"Ausente",Asistencia!$I$5:$I$504,"",Asistencia!$A$5:$A$504,"&gt;="&amp;$B$4,Asistencia!$A$5:$A$504,"&lt;="&amp;$B$5))</f>
        <v/>
      </c>
      <c r="E93" s="28" t="str">
        <f aca="false">IF($A93="","",SUMIFS(Asistencia!$H$5:$H$504,Asistencia!$B$5:$B$504,$A93,Asistencia!$A$5:$A$504,"&gt;="&amp;$B$4,Asistencia!$A$5:$A$504,"&lt;="&amp;$B$5))</f>
        <v/>
      </c>
      <c r="F93" s="28" t="str">
        <f aca="false">IF($A93="","",SUMIFS('Registro por hora'!$H$5:$H$2004,'Registro por hora'!$B$5:$B$2004,$A93,'Registro por hora'!$A$5:$A$2004,"&gt;="&amp;$B$4,'Registro por hora'!$A$5:$A$2004,"&lt;="&amp;$B$5))</f>
        <v/>
      </c>
      <c r="G93" s="29" t="str">
        <f aca="false">IF(OR($A93="",N(E93)=0),"",F93/E93)</f>
        <v/>
      </c>
      <c r="H93" s="28" t="str">
        <f aca="false">IF(OR($A93="",N(B93)=0),"",E93/B93)</f>
        <v/>
      </c>
      <c r="I93" s="2"/>
      <c r="J93" s="2"/>
      <c r="K93" s="2"/>
      <c r="L93" s="2"/>
      <c r="M93" s="2"/>
    </row>
    <row r="94" customFormat="false" ht="15" hidden="false" customHeight="false" outlineLevel="0" collapsed="false">
      <c r="A94" s="26" t="str">
        <f aca="false">IF(Personal!B90="","",Personal!B90)</f>
        <v/>
      </c>
      <c r="B94" s="26" t="str">
        <f aca="false">IF($A94="","",COUNTIFS(Asistencia!$B$5:$B$504,$A94,Asistencia!$A$5:$A$504,"&gt;="&amp;$B$4,Asistencia!$A$5:$A$504,"&lt;="&amp;$B$5)-COUNTIFS(Asistencia!$B$5:$B$504,$A94,Asistencia!$D$5:$D$504,"Ausente",Asistencia!$A$5:$A$504,"&gt;="&amp;$B$4,Asistencia!$A$5:$A$504,"&lt;="&amp;$B$5))</f>
        <v/>
      </c>
      <c r="C94" s="26" t="str">
        <f aca="false">IF($A94="","",COUNTIFS(Asistencia!$B$5:$B$504,$A94,Asistencia!$D$5:$D$504,"Ausente",Asistencia!$A$5:$A$504,"&gt;="&amp;$B$4,Asistencia!$A$5:$A$504,"&lt;="&amp;$B$5))</f>
        <v/>
      </c>
      <c r="D94" s="27" t="str">
        <f aca="false">IF($A94="","",COUNTIFS(Asistencia!$B$5:$B$504,$A94,Asistencia!$D$5:$D$504,"Ausente",Asistencia!$I$5:$I$504,"",Asistencia!$A$5:$A$504,"&gt;="&amp;$B$4,Asistencia!$A$5:$A$504,"&lt;="&amp;$B$5))</f>
        <v/>
      </c>
      <c r="E94" s="28" t="str">
        <f aca="false">IF($A94="","",SUMIFS(Asistencia!$H$5:$H$504,Asistencia!$B$5:$B$504,$A94,Asistencia!$A$5:$A$504,"&gt;="&amp;$B$4,Asistencia!$A$5:$A$504,"&lt;="&amp;$B$5))</f>
        <v/>
      </c>
      <c r="F94" s="28" t="str">
        <f aca="false">IF($A94="","",SUMIFS('Registro por hora'!$H$5:$H$2004,'Registro por hora'!$B$5:$B$2004,$A94,'Registro por hora'!$A$5:$A$2004,"&gt;="&amp;$B$4,'Registro por hora'!$A$5:$A$2004,"&lt;="&amp;$B$5))</f>
        <v/>
      </c>
      <c r="G94" s="29" t="str">
        <f aca="false">IF(OR($A94="",N(E94)=0),"",F94/E94)</f>
        <v/>
      </c>
      <c r="H94" s="28" t="str">
        <f aca="false">IF(OR($A94="",N(B94)=0),"",E94/B94)</f>
        <v/>
      </c>
      <c r="I94" s="2"/>
      <c r="J94" s="2"/>
      <c r="K94" s="2"/>
      <c r="L94" s="2"/>
      <c r="M94" s="2"/>
    </row>
    <row r="95" customFormat="false" ht="15" hidden="false" customHeight="false" outlineLevel="0" collapsed="false">
      <c r="A95" s="26" t="str">
        <f aca="false">IF(Personal!B91="","",Personal!B91)</f>
        <v/>
      </c>
      <c r="B95" s="26" t="str">
        <f aca="false">IF($A95="","",COUNTIFS(Asistencia!$B$5:$B$504,$A95,Asistencia!$A$5:$A$504,"&gt;="&amp;$B$4,Asistencia!$A$5:$A$504,"&lt;="&amp;$B$5)-COUNTIFS(Asistencia!$B$5:$B$504,$A95,Asistencia!$D$5:$D$504,"Ausente",Asistencia!$A$5:$A$504,"&gt;="&amp;$B$4,Asistencia!$A$5:$A$504,"&lt;="&amp;$B$5))</f>
        <v/>
      </c>
      <c r="C95" s="26" t="str">
        <f aca="false">IF($A95="","",COUNTIFS(Asistencia!$B$5:$B$504,$A95,Asistencia!$D$5:$D$504,"Ausente",Asistencia!$A$5:$A$504,"&gt;="&amp;$B$4,Asistencia!$A$5:$A$504,"&lt;="&amp;$B$5))</f>
        <v/>
      </c>
      <c r="D95" s="27" t="str">
        <f aca="false">IF($A95="","",COUNTIFS(Asistencia!$B$5:$B$504,$A95,Asistencia!$D$5:$D$504,"Ausente",Asistencia!$I$5:$I$504,"",Asistencia!$A$5:$A$504,"&gt;="&amp;$B$4,Asistencia!$A$5:$A$504,"&lt;="&amp;$B$5))</f>
        <v/>
      </c>
      <c r="E95" s="28" t="str">
        <f aca="false">IF($A95="","",SUMIFS(Asistencia!$H$5:$H$504,Asistencia!$B$5:$B$504,$A95,Asistencia!$A$5:$A$504,"&gt;="&amp;$B$4,Asistencia!$A$5:$A$504,"&lt;="&amp;$B$5))</f>
        <v/>
      </c>
      <c r="F95" s="28" t="str">
        <f aca="false">IF($A95="","",SUMIFS('Registro por hora'!$H$5:$H$2004,'Registro por hora'!$B$5:$B$2004,$A95,'Registro por hora'!$A$5:$A$2004,"&gt;="&amp;$B$4,'Registro por hora'!$A$5:$A$2004,"&lt;="&amp;$B$5))</f>
        <v/>
      </c>
      <c r="G95" s="29" t="str">
        <f aca="false">IF(OR($A95="",N(E95)=0),"",F95/E95)</f>
        <v/>
      </c>
      <c r="H95" s="28" t="str">
        <f aca="false">IF(OR($A95="",N(B95)=0),"",E95/B95)</f>
        <v/>
      </c>
      <c r="I95" s="2"/>
      <c r="J95" s="2"/>
      <c r="K95" s="2"/>
      <c r="L95" s="2"/>
      <c r="M95" s="2"/>
    </row>
    <row r="96" customFormat="false" ht="15" hidden="false" customHeight="false" outlineLevel="0" collapsed="false">
      <c r="A96" s="26" t="str">
        <f aca="false">IF(Personal!B92="","",Personal!B92)</f>
        <v/>
      </c>
      <c r="B96" s="26" t="str">
        <f aca="false">IF($A96="","",COUNTIFS(Asistencia!$B$5:$B$504,$A96,Asistencia!$A$5:$A$504,"&gt;="&amp;$B$4,Asistencia!$A$5:$A$504,"&lt;="&amp;$B$5)-COUNTIFS(Asistencia!$B$5:$B$504,$A96,Asistencia!$D$5:$D$504,"Ausente",Asistencia!$A$5:$A$504,"&gt;="&amp;$B$4,Asistencia!$A$5:$A$504,"&lt;="&amp;$B$5))</f>
        <v/>
      </c>
      <c r="C96" s="26" t="str">
        <f aca="false">IF($A96="","",COUNTIFS(Asistencia!$B$5:$B$504,$A96,Asistencia!$D$5:$D$504,"Ausente",Asistencia!$A$5:$A$504,"&gt;="&amp;$B$4,Asistencia!$A$5:$A$504,"&lt;="&amp;$B$5))</f>
        <v/>
      </c>
      <c r="D96" s="27" t="str">
        <f aca="false">IF($A96="","",COUNTIFS(Asistencia!$B$5:$B$504,$A96,Asistencia!$D$5:$D$504,"Ausente",Asistencia!$I$5:$I$504,"",Asistencia!$A$5:$A$504,"&gt;="&amp;$B$4,Asistencia!$A$5:$A$504,"&lt;="&amp;$B$5))</f>
        <v/>
      </c>
      <c r="E96" s="28" t="str">
        <f aca="false">IF($A96="","",SUMIFS(Asistencia!$H$5:$H$504,Asistencia!$B$5:$B$504,$A96,Asistencia!$A$5:$A$504,"&gt;="&amp;$B$4,Asistencia!$A$5:$A$504,"&lt;="&amp;$B$5))</f>
        <v/>
      </c>
      <c r="F96" s="28" t="str">
        <f aca="false">IF($A96="","",SUMIFS('Registro por hora'!$H$5:$H$2004,'Registro por hora'!$B$5:$B$2004,$A96,'Registro por hora'!$A$5:$A$2004,"&gt;="&amp;$B$4,'Registro por hora'!$A$5:$A$2004,"&lt;="&amp;$B$5))</f>
        <v/>
      </c>
      <c r="G96" s="29" t="str">
        <f aca="false">IF(OR($A96="",N(E96)=0),"",F96/E96)</f>
        <v/>
      </c>
      <c r="H96" s="28" t="str">
        <f aca="false">IF(OR($A96="",N(B96)=0),"",E96/B96)</f>
        <v/>
      </c>
      <c r="I96" s="2"/>
      <c r="J96" s="2"/>
      <c r="K96" s="2"/>
      <c r="L96" s="2"/>
      <c r="M96" s="2"/>
    </row>
    <row r="97" customFormat="false" ht="15" hidden="false" customHeight="false" outlineLevel="0" collapsed="false">
      <c r="A97" s="26" t="str">
        <f aca="false">IF(Personal!B93="","",Personal!B93)</f>
        <v/>
      </c>
      <c r="B97" s="26" t="str">
        <f aca="false">IF($A97="","",COUNTIFS(Asistencia!$B$5:$B$504,$A97,Asistencia!$A$5:$A$504,"&gt;="&amp;$B$4,Asistencia!$A$5:$A$504,"&lt;="&amp;$B$5)-COUNTIFS(Asistencia!$B$5:$B$504,$A97,Asistencia!$D$5:$D$504,"Ausente",Asistencia!$A$5:$A$504,"&gt;="&amp;$B$4,Asistencia!$A$5:$A$504,"&lt;="&amp;$B$5))</f>
        <v/>
      </c>
      <c r="C97" s="26" t="str">
        <f aca="false">IF($A97="","",COUNTIFS(Asistencia!$B$5:$B$504,$A97,Asistencia!$D$5:$D$504,"Ausente",Asistencia!$A$5:$A$504,"&gt;="&amp;$B$4,Asistencia!$A$5:$A$504,"&lt;="&amp;$B$5))</f>
        <v/>
      </c>
      <c r="D97" s="27" t="str">
        <f aca="false">IF($A97="","",COUNTIFS(Asistencia!$B$5:$B$504,$A97,Asistencia!$D$5:$D$504,"Ausente",Asistencia!$I$5:$I$504,"",Asistencia!$A$5:$A$504,"&gt;="&amp;$B$4,Asistencia!$A$5:$A$504,"&lt;="&amp;$B$5))</f>
        <v/>
      </c>
      <c r="E97" s="28" t="str">
        <f aca="false">IF($A97="","",SUMIFS(Asistencia!$H$5:$H$504,Asistencia!$B$5:$B$504,$A97,Asistencia!$A$5:$A$504,"&gt;="&amp;$B$4,Asistencia!$A$5:$A$504,"&lt;="&amp;$B$5))</f>
        <v/>
      </c>
      <c r="F97" s="28" t="str">
        <f aca="false">IF($A97="","",SUMIFS('Registro por hora'!$H$5:$H$2004,'Registro por hora'!$B$5:$B$2004,$A97,'Registro por hora'!$A$5:$A$2004,"&gt;="&amp;$B$4,'Registro por hora'!$A$5:$A$2004,"&lt;="&amp;$B$5))</f>
        <v/>
      </c>
      <c r="G97" s="29" t="str">
        <f aca="false">IF(OR($A97="",N(E97)=0),"",F97/E97)</f>
        <v/>
      </c>
      <c r="H97" s="28" t="str">
        <f aca="false">IF(OR($A97="",N(B97)=0),"",E97/B97)</f>
        <v/>
      </c>
      <c r="I97" s="2"/>
      <c r="J97" s="2"/>
      <c r="K97" s="2"/>
      <c r="L97" s="2"/>
      <c r="M97" s="2"/>
    </row>
    <row r="98" customFormat="false" ht="15" hidden="false" customHeight="false" outlineLevel="0" collapsed="false">
      <c r="A98" s="26" t="str">
        <f aca="false">IF(Personal!B94="","",Personal!B94)</f>
        <v/>
      </c>
      <c r="B98" s="26" t="str">
        <f aca="false">IF($A98="","",COUNTIFS(Asistencia!$B$5:$B$504,$A98,Asistencia!$A$5:$A$504,"&gt;="&amp;$B$4,Asistencia!$A$5:$A$504,"&lt;="&amp;$B$5)-COUNTIFS(Asistencia!$B$5:$B$504,$A98,Asistencia!$D$5:$D$504,"Ausente",Asistencia!$A$5:$A$504,"&gt;="&amp;$B$4,Asistencia!$A$5:$A$504,"&lt;="&amp;$B$5))</f>
        <v/>
      </c>
      <c r="C98" s="26" t="str">
        <f aca="false">IF($A98="","",COUNTIFS(Asistencia!$B$5:$B$504,$A98,Asistencia!$D$5:$D$504,"Ausente",Asistencia!$A$5:$A$504,"&gt;="&amp;$B$4,Asistencia!$A$5:$A$504,"&lt;="&amp;$B$5))</f>
        <v/>
      </c>
      <c r="D98" s="27" t="str">
        <f aca="false">IF($A98="","",COUNTIFS(Asistencia!$B$5:$B$504,$A98,Asistencia!$D$5:$D$504,"Ausente",Asistencia!$I$5:$I$504,"",Asistencia!$A$5:$A$504,"&gt;="&amp;$B$4,Asistencia!$A$5:$A$504,"&lt;="&amp;$B$5))</f>
        <v/>
      </c>
      <c r="E98" s="28" t="str">
        <f aca="false">IF($A98="","",SUMIFS(Asistencia!$H$5:$H$504,Asistencia!$B$5:$B$504,$A98,Asistencia!$A$5:$A$504,"&gt;="&amp;$B$4,Asistencia!$A$5:$A$504,"&lt;="&amp;$B$5))</f>
        <v/>
      </c>
      <c r="F98" s="28" t="str">
        <f aca="false">IF($A98="","",SUMIFS('Registro por hora'!$H$5:$H$2004,'Registro por hora'!$B$5:$B$2004,$A98,'Registro por hora'!$A$5:$A$2004,"&gt;="&amp;$B$4,'Registro por hora'!$A$5:$A$2004,"&lt;="&amp;$B$5))</f>
        <v/>
      </c>
      <c r="G98" s="29" t="str">
        <f aca="false">IF(OR($A98="",N(E98)=0),"",F98/E98)</f>
        <v/>
      </c>
      <c r="H98" s="28" t="str">
        <f aca="false">IF(OR($A98="",N(B98)=0),"",E98/B98)</f>
        <v/>
      </c>
      <c r="I98" s="2"/>
      <c r="J98" s="2"/>
      <c r="K98" s="2"/>
      <c r="L98" s="2"/>
      <c r="M98" s="2"/>
    </row>
    <row r="99" customFormat="false" ht="15" hidden="false" customHeight="false" outlineLevel="0" collapsed="false">
      <c r="A99" s="26" t="str">
        <f aca="false">IF(Personal!B95="","",Personal!B95)</f>
        <v/>
      </c>
      <c r="B99" s="26" t="str">
        <f aca="false">IF($A99="","",COUNTIFS(Asistencia!$B$5:$B$504,$A99,Asistencia!$A$5:$A$504,"&gt;="&amp;$B$4,Asistencia!$A$5:$A$504,"&lt;="&amp;$B$5)-COUNTIFS(Asistencia!$B$5:$B$504,$A99,Asistencia!$D$5:$D$504,"Ausente",Asistencia!$A$5:$A$504,"&gt;="&amp;$B$4,Asistencia!$A$5:$A$504,"&lt;="&amp;$B$5))</f>
        <v/>
      </c>
      <c r="C99" s="26" t="str">
        <f aca="false">IF($A99="","",COUNTIFS(Asistencia!$B$5:$B$504,$A99,Asistencia!$D$5:$D$504,"Ausente",Asistencia!$A$5:$A$504,"&gt;="&amp;$B$4,Asistencia!$A$5:$A$504,"&lt;="&amp;$B$5))</f>
        <v/>
      </c>
      <c r="D99" s="27" t="str">
        <f aca="false">IF($A99="","",COUNTIFS(Asistencia!$B$5:$B$504,$A99,Asistencia!$D$5:$D$504,"Ausente",Asistencia!$I$5:$I$504,"",Asistencia!$A$5:$A$504,"&gt;="&amp;$B$4,Asistencia!$A$5:$A$504,"&lt;="&amp;$B$5))</f>
        <v/>
      </c>
      <c r="E99" s="28" t="str">
        <f aca="false">IF($A99="","",SUMIFS(Asistencia!$H$5:$H$504,Asistencia!$B$5:$B$504,$A99,Asistencia!$A$5:$A$504,"&gt;="&amp;$B$4,Asistencia!$A$5:$A$504,"&lt;="&amp;$B$5))</f>
        <v/>
      </c>
      <c r="F99" s="28" t="str">
        <f aca="false">IF($A99="","",SUMIFS('Registro por hora'!$H$5:$H$2004,'Registro por hora'!$B$5:$B$2004,$A99,'Registro por hora'!$A$5:$A$2004,"&gt;="&amp;$B$4,'Registro por hora'!$A$5:$A$2004,"&lt;="&amp;$B$5))</f>
        <v/>
      </c>
      <c r="G99" s="29" t="str">
        <f aca="false">IF(OR($A99="",N(E99)=0),"",F99/E99)</f>
        <v/>
      </c>
      <c r="H99" s="28" t="str">
        <f aca="false">IF(OR($A99="",N(B99)=0),"",E99/B99)</f>
        <v/>
      </c>
      <c r="I99" s="2"/>
      <c r="J99" s="2"/>
      <c r="K99" s="2"/>
      <c r="L99" s="2"/>
      <c r="M99" s="2"/>
    </row>
    <row r="100" customFormat="false" ht="15" hidden="false" customHeight="false" outlineLevel="0" collapsed="false">
      <c r="A100" s="26" t="str">
        <f aca="false">IF(Personal!B96="","",Personal!B96)</f>
        <v/>
      </c>
      <c r="B100" s="26" t="str">
        <f aca="false">IF($A100="","",COUNTIFS(Asistencia!$B$5:$B$504,$A100,Asistencia!$A$5:$A$504,"&gt;="&amp;$B$4,Asistencia!$A$5:$A$504,"&lt;="&amp;$B$5)-COUNTIFS(Asistencia!$B$5:$B$504,$A100,Asistencia!$D$5:$D$504,"Ausente",Asistencia!$A$5:$A$504,"&gt;="&amp;$B$4,Asistencia!$A$5:$A$504,"&lt;="&amp;$B$5))</f>
        <v/>
      </c>
      <c r="C100" s="26" t="str">
        <f aca="false">IF($A100="","",COUNTIFS(Asistencia!$B$5:$B$504,$A100,Asistencia!$D$5:$D$504,"Ausente",Asistencia!$A$5:$A$504,"&gt;="&amp;$B$4,Asistencia!$A$5:$A$504,"&lt;="&amp;$B$5))</f>
        <v/>
      </c>
      <c r="D100" s="27" t="str">
        <f aca="false">IF($A100="","",COUNTIFS(Asistencia!$B$5:$B$504,$A100,Asistencia!$D$5:$D$504,"Ausente",Asistencia!$I$5:$I$504,"",Asistencia!$A$5:$A$504,"&gt;="&amp;$B$4,Asistencia!$A$5:$A$504,"&lt;="&amp;$B$5))</f>
        <v/>
      </c>
      <c r="E100" s="28" t="str">
        <f aca="false">IF($A100="","",SUMIFS(Asistencia!$H$5:$H$504,Asistencia!$B$5:$B$504,$A100,Asistencia!$A$5:$A$504,"&gt;="&amp;$B$4,Asistencia!$A$5:$A$504,"&lt;="&amp;$B$5))</f>
        <v/>
      </c>
      <c r="F100" s="28" t="str">
        <f aca="false">IF($A100="","",SUMIFS('Registro por hora'!$H$5:$H$2004,'Registro por hora'!$B$5:$B$2004,$A100,'Registro por hora'!$A$5:$A$2004,"&gt;="&amp;$B$4,'Registro por hora'!$A$5:$A$2004,"&lt;="&amp;$B$5))</f>
        <v/>
      </c>
      <c r="G100" s="29" t="str">
        <f aca="false">IF(OR($A100="",N(E100)=0),"",F100/E100)</f>
        <v/>
      </c>
      <c r="H100" s="28" t="str">
        <f aca="false">IF(OR($A100="",N(B100)=0),"",E100/B100)</f>
        <v/>
      </c>
      <c r="I100" s="2"/>
      <c r="J100" s="2"/>
      <c r="K100" s="2"/>
      <c r="L100" s="2"/>
      <c r="M100" s="2"/>
    </row>
    <row r="101" customFormat="false" ht="15" hidden="false" customHeight="false" outlineLevel="0" collapsed="false">
      <c r="A101" s="26" t="str">
        <f aca="false">IF(Personal!B97="","",Personal!B97)</f>
        <v/>
      </c>
      <c r="B101" s="26" t="str">
        <f aca="false">IF($A101="","",COUNTIFS(Asistencia!$B$5:$B$504,$A101,Asistencia!$A$5:$A$504,"&gt;="&amp;$B$4,Asistencia!$A$5:$A$504,"&lt;="&amp;$B$5)-COUNTIFS(Asistencia!$B$5:$B$504,$A101,Asistencia!$D$5:$D$504,"Ausente",Asistencia!$A$5:$A$504,"&gt;="&amp;$B$4,Asistencia!$A$5:$A$504,"&lt;="&amp;$B$5))</f>
        <v/>
      </c>
      <c r="C101" s="26" t="str">
        <f aca="false">IF($A101="","",COUNTIFS(Asistencia!$B$5:$B$504,$A101,Asistencia!$D$5:$D$504,"Ausente",Asistencia!$A$5:$A$504,"&gt;="&amp;$B$4,Asistencia!$A$5:$A$504,"&lt;="&amp;$B$5))</f>
        <v/>
      </c>
      <c r="D101" s="27" t="str">
        <f aca="false">IF($A101="","",COUNTIFS(Asistencia!$B$5:$B$504,$A101,Asistencia!$D$5:$D$504,"Ausente",Asistencia!$I$5:$I$504,"",Asistencia!$A$5:$A$504,"&gt;="&amp;$B$4,Asistencia!$A$5:$A$504,"&lt;="&amp;$B$5))</f>
        <v/>
      </c>
      <c r="E101" s="28" t="str">
        <f aca="false">IF($A101="","",SUMIFS(Asistencia!$H$5:$H$504,Asistencia!$B$5:$B$504,$A101,Asistencia!$A$5:$A$504,"&gt;="&amp;$B$4,Asistencia!$A$5:$A$504,"&lt;="&amp;$B$5))</f>
        <v/>
      </c>
      <c r="F101" s="28" t="str">
        <f aca="false">IF($A101="","",SUMIFS('Registro por hora'!$H$5:$H$2004,'Registro por hora'!$B$5:$B$2004,$A101,'Registro por hora'!$A$5:$A$2004,"&gt;="&amp;$B$4,'Registro por hora'!$A$5:$A$2004,"&lt;="&amp;$B$5))</f>
        <v/>
      </c>
      <c r="G101" s="29" t="str">
        <f aca="false">IF(OR($A101="",N(E101)=0),"",F101/E101)</f>
        <v/>
      </c>
      <c r="H101" s="28" t="str">
        <f aca="false">IF(OR($A101="",N(B101)=0),"",E101/B101)</f>
        <v/>
      </c>
      <c r="I101" s="2"/>
      <c r="J101" s="2"/>
      <c r="K101" s="2"/>
      <c r="L101" s="2"/>
      <c r="M101" s="2"/>
    </row>
    <row r="102" customFormat="false" ht="15" hidden="false" customHeight="false" outlineLevel="0" collapsed="false">
      <c r="A102" s="26" t="str">
        <f aca="false">IF(Personal!B98="","",Personal!B98)</f>
        <v/>
      </c>
      <c r="B102" s="26" t="str">
        <f aca="false">IF($A102="","",COUNTIFS(Asistencia!$B$5:$B$504,$A102,Asistencia!$A$5:$A$504,"&gt;="&amp;$B$4,Asistencia!$A$5:$A$504,"&lt;="&amp;$B$5)-COUNTIFS(Asistencia!$B$5:$B$504,$A102,Asistencia!$D$5:$D$504,"Ausente",Asistencia!$A$5:$A$504,"&gt;="&amp;$B$4,Asistencia!$A$5:$A$504,"&lt;="&amp;$B$5))</f>
        <v/>
      </c>
      <c r="C102" s="26" t="str">
        <f aca="false">IF($A102="","",COUNTIFS(Asistencia!$B$5:$B$504,$A102,Asistencia!$D$5:$D$504,"Ausente",Asistencia!$A$5:$A$504,"&gt;="&amp;$B$4,Asistencia!$A$5:$A$504,"&lt;="&amp;$B$5))</f>
        <v/>
      </c>
      <c r="D102" s="27" t="str">
        <f aca="false">IF($A102="","",COUNTIFS(Asistencia!$B$5:$B$504,$A102,Asistencia!$D$5:$D$504,"Ausente",Asistencia!$I$5:$I$504,"",Asistencia!$A$5:$A$504,"&gt;="&amp;$B$4,Asistencia!$A$5:$A$504,"&lt;="&amp;$B$5))</f>
        <v/>
      </c>
      <c r="E102" s="28" t="str">
        <f aca="false">IF($A102="","",SUMIFS(Asistencia!$H$5:$H$504,Asistencia!$B$5:$B$504,$A102,Asistencia!$A$5:$A$504,"&gt;="&amp;$B$4,Asistencia!$A$5:$A$504,"&lt;="&amp;$B$5))</f>
        <v/>
      </c>
      <c r="F102" s="28" t="str">
        <f aca="false">IF($A102="","",SUMIFS('Registro por hora'!$H$5:$H$2004,'Registro por hora'!$B$5:$B$2004,$A102,'Registro por hora'!$A$5:$A$2004,"&gt;="&amp;$B$4,'Registro por hora'!$A$5:$A$2004,"&lt;="&amp;$B$5))</f>
        <v/>
      </c>
      <c r="G102" s="29" t="str">
        <f aca="false">IF(OR($A102="",N(E102)=0),"",F102/E102)</f>
        <v/>
      </c>
      <c r="H102" s="28" t="str">
        <f aca="false">IF(OR($A102="",N(B102)=0),"",E102/B102)</f>
        <v/>
      </c>
      <c r="I102" s="2"/>
      <c r="J102" s="2"/>
      <c r="K102" s="2"/>
      <c r="L102" s="2"/>
      <c r="M102" s="2"/>
    </row>
    <row r="103" customFormat="false" ht="15" hidden="false" customHeight="false" outlineLevel="0" collapsed="false">
      <c r="A103" s="26" t="str">
        <f aca="false">IF(Personal!B99="","",Personal!B99)</f>
        <v/>
      </c>
      <c r="B103" s="26" t="str">
        <f aca="false">IF($A103="","",COUNTIFS(Asistencia!$B$5:$B$504,$A103,Asistencia!$A$5:$A$504,"&gt;="&amp;$B$4,Asistencia!$A$5:$A$504,"&lt;="&amp;$B$5)-COUNTIFS(Asistencia!$B$5:$B$504,$A103,Asistencia!$D$5:$D$504,"Ausente",Asistencia!$A$5:$A$504,"&gt;="&amp;$B$4,Asistencia!$A$5:$A$504,"&lt;="&amp;$B$5))</f>
        <v/>
      </c>
      <c r="C103" s="26" t="str">
        <f aca="false">IF($A103="","",COUNTIFS(Asistencia!$B$5:$B$504,$A103,Asistencia!$D$5:$D$504,"Ausente",Asistencia!$A$5:$A$504,"&gt;="&amp;$B$4,Asistencia!$A$5:$A$504,"&lt;="&amp;$B$5))</f>
        <v/>
      </c>
      <c r="D103" s="27" t="str">
        <f aca="false">IF($A103="","",COUNTIFS(Asistencia!$B$5:$B$504,$A103,Asistencia!$D$5:$D$504,"Ausente",Asistencia!$I$5:$I$504,"",Asistencia!$A$5:$A$504,"&gt;="&amp;$B$4,Asistencia!$A$5:$A$504,"&lt;="&amp;$B$5))</f>
        <v/>
      </c>
      <c r="E103" s="28" t="str">
        <f aca="false">IF($A103="","",SUMIFS(Asistencia!$H$5:$H$504,Asistencia!$B$5:$B$504,$A103,Asistencia!$A$5:$A$504,"&gt;="&amp;$B$4,Asistencia!$A$5:$A$504,"&lt;="&amp;$B$5))</f>
        <v/>
      </c>
      <c r="F103" s="28" t="str">
        <f aca="false">IF($A103="","",SUMIFS('Registro por hora'!$H$5:$H$2004,'Registro por hora'!$B$5:$B$2004,$A103,'Registro por hora'!$A$5:$A$2004,"&gt;="&amp;$B$4,'Registro por hora'!$A$5:$A$2004,"&lt;="&amp;$B$5))</f>
        <v/>
      </c>
      <c r="G103" s="29" t="str">
        <f aca="false">IF(OR($A103="",N(E103)=0),"",F103/E103)</f>
        <v/>
      </c>
      <c r="H103" s="28" t="str">
        <f aca="false">IF(OR($A103="",N(B103)=0),"",E103/B103)</f>
        <v/>
      </c>
      <c r="I103" s="2"/>
      <c r="J103" s="2"/>
      <c r="K103" s="2"/>
      <c r="L103" s="2"/>
      <c r="M103" s="2"/>
    </row>
    <row r="104" customFormat="false" ht="15" hidden="false" customHeight="false" outlineLevel="0" collapsed="false">
      <c r="A104" s="26" t="str">
        <f aca="false">IF(Personal!B100="","",Personal!B100)</f>
        <v/>
      </c>
      <c r="B104" s="26" t="str">
        <f aca="false">IF($A104="","",COUNTIFS(Asistencia!$B$5:$B$504,$A104,Asistencia!$A$5:$A$504,"&gt;="&amp;$B$4,Asistencia!$A$5:$A$504,"&lt;="&amp;$B$5)-COUNTIFS(Asistencia!$B$5:$B$504,$A104,Asistencia!$D$5:$D$504,"Ausente",Asistencia!$A$5:$A$504,"&gt;="&amp;$B$4,Asistencia!$A$5:$A$504,"&lt;="&amp;$B$5))</f>
        <v/>
      </c>
      <c r="C104" s="26" t="str">
        <f aca="false">IF($A104="","",COUNTIFS(Asistencia!$B$5:$B$504,$A104,Asistencia!$D$5:$D$504,"Ausente",Asistencia!$A$5:$A$504,"&gt;="&amp;$B$4,Asistencia!$A$5:$A$504,"&lt;="&amp;$B$5))</f>
        <v/>
      </c>
      <c r="D104" s="27" t="str">
        <f aca="false">IF($A104="","",COUNTIFS(Asistencia!$B$5:$B$504,$A104,Asistencia!$D$5:$D$504,"Ausente",Asistencia!$I$5:$I$504,"",Asistencia!$A$5:$A$504,"&gt;="&amp;$B$4,Asistencia!$A$5:$A$504,"&lt;="&amp;$B$5))</f>
        <v/>
      </c>
      <c r="E104" s="28" t="str">
        <f aca="false">IF($A104="","",SUMIFS(Asistencia!$H$5:$H$504,Asistencia!$B$5:$B$504,$A104,Asistencia!$A$5:$A$504,"&gt;="&amp;$B$4,Asistencia!$A$5:$A$504,"&lt;="&amp;$B$5))</f>
        <v/>
      </c>
      <c r="F104" s="28" t="str">
        <f aca="false">IF($A104="","",SUMIFS('Registro por hora'!$H$5:$H$2004,'Registro por hora'!$B$5:$B$2004,$A104,'Registro por hora'!$A$5:$A$2004,"&gt;="&amp;$B$4,'Registro por hora'!$A$5:$A$2004,"&lt;="&amp;$B$5))</f>
        <v/>
      </c>
      <c r="G104" s="29" t="str">
        <f aca="false">IF(OR($A104="",N(E104)=0),"",F104/E104)</f>
        <v/>
      </c>
      <c r="H104" s="28" t="str">
        <f aca="false">IF(OR($A104="",N(B104)=0),"",E104/B104)</f>
        <v/>
      </c>
      <c r="I104" s="2"/>
      <c r="J104" s="2"/>
      <c r="K104" s="2"/>
      <c r="L104" s="2"/>
      <c r="M104" s="2"/>
    </row>
    <row r="105" customFormat="false" ht="15" hidden="false" customHeight="false" outlineLevel="0" collapsed="false">
      <c r="A105" s="26" t="str">
        <f aca="false">IF(Personal!B101="","",Personal!B101)</f>
        <v/>
      </c>
      <c r="B105" s="26" t="str">
        <f aca="false">IF($A105="","",COUNTIFS(Asistencia!$B$5:$B$504,$A105,Asistencia!$A$5:$A$504,"&gt;="&amp;$B$4,Asistencia!$A$5:$A$504,"&lt;="&amp;$B$5)-COUNTIFS(Asistencia!$B$5:$B$504,$A105,Asistencia!$D$5:$D$504,"Ausente",Asistencia!$A$5:$A$504,"&gt;="&amp;$B$4,Asistencia!$A$5:$A$504,"&lt;="&amp;$B$5))</f>
        <v/>
      </c>
      <c r="C105" s="26" t="str">
        <f aca="false">IF($A105="","",COUNTIFS(Asistencia!$B$5:$B$504,$A105,Asistencia!$D$5:$D$504,"Ausente",Asistencia!$A$5:$A$504,"&gt;="&amp;$B$4,Asistencia!$A$5:$A$504,"&lt;="&amp;$B$5))</f>
        <v/>
      </c>
      <c r="D105" s="27" t="str">
        <f aca="false">IF($A105="","",COUNTIFS(Asistencia!$B$5:$B$504,$A105,Asistencia!$D$5:$D$504,"Ausente",Asistencia!$I$5:$I$504,"",Asistencia!$A$5:$A$504,"&gt;="&amp;$B$4,Asistencia!$A$5:$A$504,"&lt;="&amp;$B$5))</f>
        <v/>
      </c>
      <c r="E105" s="28" t="str">
        <f aca="false">IF($A105="","",SUMIFS(Asistencia!$H$5:$H$504,Asistencia!$B$5:$B$504,$A105,Asistencia!$A$5:$A$504,"&gt;="&amp;$B$4,Asistencia!$A$5:$A$504,"&lt;="&amp;$B$5))</f>
        <v/>
      </c>
      <c r="F105" s="28" t="str">
        <f aca="false">IF($A105="","",SUMIFS('Registro por hora'!$H$5:$H$2004,'Registro por hora'!$B$5:$B$2004,$A105,'Registro por hora'!$A$5:$A$2004,"&gt;="&amp;$B$4,'Registro por hora'!$A$5:$A$2004,"&lt;="&amp;$B$5))</f>
        <v/>
      </c>
      <c r="G105" s="29" t="str">
        <f aca="false">IF(OR($A105="",N(E105)=0),"",F105/E105)</f>
        <v/>
      </c>
      <c r="H105" s="28" t="str">
        <f aca="false">IF(OR($A105="",N(B105)=0),"",E105/B105)</f>
        <v/>
      </c>
      <c r="I105" s="2"/>
      <c r="J105" s="2"/>
      <c r="K105" s="2"/>
      <c r="L105" s="2"/>
      <c r="M105" s="2"/>
    </row>
    <row r="106" customFormat="false" ht="15" hidden="false" customHeight="false" outlineLevel="0" collapsed="false">
      <c r="A106" s="26" t="str">
        <f aca="false">IF(Personal!B102="","",Personal!B102)</f>
        <v/>
      </c>
      <c r="B106" s="26" t="str">
        <f aca="false">IF($A106="","",COUNTIFS(Asistencia!$B$5:$B$504,$A106,Asistencia!$A$5:$A$504,"&gt;="&amp;$B$4,Asistencia!$A$5:$A$504,"&lt;="&amp;$B$5)-COUNTIFS(Asistencia!$B$5:$B$504,$A106,Asistencia!$D$5:$D$504,"Ausente",Asistencia!$A$5:$A$504,"&gt;="&amp;$B$4,Asistencia!$A$5:$A$504,"&lt;="&amp;$B$5))</f>
        <v/>
      </c>
      <c r="C106" s="26" t="str">
        <f aca="false">IF($A106="","",COUNTIFS(Asistencia!$B$5:$B$504,$A106,Asistencia!$D$5:$D$504,"Ausente",Asistencia!$A$5:$A$504,"&gt;="&amp;$B$4,Asistencia!$A$5:$A$504,"&lt;="&amp;$B$5))</f>
        <v/>
      </c>
      <c r="D106" s="27" t="str">
        <f aca="false">IF($A106="","",COUNTIFS(Asistencia!$B$5:$B$504,$A106,Asistencia!$D$5:$D$504,"Ausente",Asistencia!$I$5:$I$504,"",Asistencia!$A$5:$A$504,"&gt;="&amp;$B$4,Asistencia!$A$5:$A$504,"&lt;="&amp;$B$5))</f>
        <v/>
      </c>
      <c r="E106" s="28" t="str">
        <f aca="false">IF($A106="","",SUMIFS(Asistencia!$H$5:$H$504,Asistencia!$B$5:$B$504,$A106,Asistencia!$A$5:$A$504,"&gt;="&amp;$B$4,Asistencia!$A$5:$A$504,"&lt;="&amp;$B$5))</f>
        <v/>
      </c>
      <c r="F106" s="28" t="str">
        <f aca="false">IF($A106="","",SUMIFS('Registro por hora'!$H$5:$H$2004,'Registro por hora'!$B$5:$B$2004,$A106,'Registro por hora'!$A$5:$A$2004,"&gt;="&amp;$B$4,'Registro por hora'!$A$5:$A$2004,"&lt;="&amp;$B$5))</f>
        <v/>
      </c>
      <c r="G106" s="29" t="str">
        <f aca="false">IF(OR($A106="",N(E106)=0),"",F106/E106)</f>
        <v/>
      </c>
      <c r="H106" s="28" t="str">
        <f aca="false">IF(OR($A106="",N(B106)=0),"",E106/B106)</f>
        <v/>
      </c>
      <c r="I106" s="2"/>
      <c r="J106" s="2"/>
      <c r="K106" s="2"/>
      <c r="L106" s="2"/>
      <c r="M106" s="2"/>
    </row>
    <row r="107" customFormat="false" ht="15" hidden="false" customHeight="false" outlineLevel="0" collapsed="false">
      <c r="A107" s="26" t="str">
        <f aca="false">IF(Personal!B103="","",Personal!B103)</f>
        <v/>
      </c>
      <c r="B107" s="26" t="str">
        <f aca="false">IF($A107="","",COUNTIFS(Asistencia!$B$5:$B$504,$A107,Asistencia!$A$5:$A$504,"&gt;="&amp;$B$4,Asistencia!$A$5:$A$504,"&lt;="&amp;$B$5)-COUNTIFS(Asistencia!$B$5:$B$504,$A107,Asistencia!$D$5:$D$504,"Ausente",Asistencia!$A$5:$A$504,"&gt;="&amp;$B$4,Asistencia!$A$5:$A$504,"&lt;="&amp;$B$5))</f>
        <v/>
      </c>
      <c r="C107" s="26" t="str">
        <f aca="false">IF($A107="","",COUNTIFS(Asistencia!$B$5:$B$504,$A107,Asistencia!$D$5:$D$504,"Ausente",Asistencia!$A$5:$A$504,"&gt;="&amp;$B$4,Asistencia!$A$5:$A$504,"&lt;="&amp;$B$5))</f>
        <v/>
      </c>
      <c r="D107" s="27" t="str">
        <f aca="false">IF($A107="","",COUNTIFS(Asistencia!$B$5:$B$504,$A107,Asistencia!$D$5:$D$504,"Ausente",Asistencia!$I$5:$I$504,"",Asistencia!$A$5:$A$504,"&gt;="&amp;$B$4,Asistencia!$A$5:$A$504,"&lt;="&amp;$B$5))</f>
        <v/>
      </c>
      <c r="E107" s="28" t="str">
        <f aca="false">IF($A107="","",SUMIFS(Asistencia!$H$5:$H$504,Asistencia!$B$5:$B$504,$A107,Asistencia!$A$5:$A$504,"&gt;="&amp;$B$4,Asistencia!$A$5:$A$504,"&lt;="&amp;$B$5))</f>
        <v/>
      </c>
      <c r="F107" s="28" t="str">
        <f aca="false">IF($A107="","",SUMIFS('Registro por hora'!$H$5:$H$2004,'Registro por hora'!$B$5:$B$2004,$A107,'Registro por hora'!$A$5:$A$2004,"&gt;="&amp;$B$4,'Registro por hora'!$A$5:$A$2004,"&lt;="&amp;$B$5))</f>
        <v/>
      </c>
      <c r="G107" s="29" t="str">
        <f aca="false">IF(OR($A107="",N(E107)=0),"",F107/E107)</f>
        <v/>
      </c>
      <c r="H107" s="28" t="str">
        <f aca="false">IF(OR($A107="",N(B107)=0),"",E107/B107)</f>
        <v/>
      </c>
      <c r="I107" s="2"/>
      <c r="J107" s="2"/>
      <c r="K107" s="2"/>
      <c r="L107" s="2"/>
      <c r="M107" s="2"/>
    </row>
    <row r="108" customFormat="false" ht="15" hidden="false" customHeight="false" outlineLevel="0" collapsed="false">
      <c r="A108" s="26" t="str">
        <f aca="false">IF(Personal!B104="","",Personal!B104)</f>
        <v/>
      </c>
      <c r="B108" s="26" t="str">
        <f aca="false">IF($A108="","",COUNTIFS(Asistencia!$B$5:$B$504,$A108,Asistencia!$A$5:$A$504,"&gt;="&amp;$B$4,Asistencia!$A$5:$A$504,"&lt;="&amp;$B$5)-COUNTIFS(Asistencia!$B$5:$B$504,$A108,Asistencia!$D$5:$D$504,"Ausente",Asistencia!$A$5:$A$504,"&gt;="&amp;$B$4,Asistencia!$A$5:$A$504,"&lt;="&amp;$B$5))</f>
        <v/>
      </c>
      <c r="C108" s="26" t="str">
        <f aca="false">IF($A108="","",COUNTIFS(Asistencia!$B$5:$B$504,$A108,Asistencia!$D$5:$D$504,"Ausente",Asistencia!$A$5:$A$504,"&gt;="&amp;$B$4,Asistencia!$A$5:$A$504,"&lt;="&amp;$B$5))</f>
        <v/>
      </c>
      <c r="D108" s="27" t="str">
        <f aca="false">IF($A108="","",COUNTIFS(Asistencia!$B$5:$B$504,$A108,Asistencia!$D$5:$D$504,"Ausente",Asistencia!$I$5:$I$504,"",Asistencia!$A$5:$A$504,"&gt;="&amp;$B$4,Asistencia!$A$5:$A$504,"&lt;="&amp;$B$5))</f>
        <v/>
      </c>
      <c r="E108" s="28" t="str">
        <f aca="false">IF($A108="","",SUMIFS(Asistencia!$H$5:$H$504,Asistencia!$B$5:$B$504,$A108,Asistencia!$A$5:$A$504,"&gt;="&amp;$B$4,Asistencia!$A$5:$A$504,"&lt;="&amp;$B$5))</f>
        <v/>
      </c>
      <c r="F108" s="28" t="str">
        <f aca="false">IF($A108="","",SUMIFS('Registro por hora'!$H$5:$H$2004,'Registro por hora'!$B$5:$B$2004,$A108,'Registro por hora'!$A$5:$A$2004,"&gt;="&amp;$B$4,'Registro por hora'!$A$5:$A$2004,"&lt;="&amp;$B$5))</f>
        <v/>
      </c>
      <c r="G108" s="29" t="str">
        <f aca="false">IF(OR($A108="",N(E108)=0),"",F108/E108)</f>
        <v/>
      </c>
      <c r="H108" s="28" t="str">
        <f aca="false">IF(OR($A108="",N(B108)=0),"",E108/B108)</f>
        <v/>
      </c>
      <c r="I108" s="2"/>
      <c r="J108" s="2"/>
      <c r="K108" s="2"/>
      <c r="L108" s="2"/>
      <c r="M108" s="2"/>
    </row>
  </sheetData>
  <conditionalFormatting sqref="D9:D108">
    <cfRule type="expression" priority="2" aboveAverage="0" equalAverage="0" bottom="0" percent="0" rank="0" text="" dxfId="14">
      <formula>N(D9)&gt;0</formula>
    </cfRule>
  </conditionalFormatting>
  <conditionalFormatting sqref="G9:G108">
    <cfRule type="expression" priority="3" aboveAverage="0" equalAverage="0" bottom="0" percent="0" rank="0" text="" dxfId="14">
      <formula>AND(G9&lt;&gt;"",G9&lt;0.95)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8"/>
  </cols>
  <sheetData>
    <row r="1" customFormat="false" ht="17.35" hidden="false" customHeight="false" outlineLevel="0" collapsed="false">
      <c r="A1" s="1" t="s">
        <v>146</v>
      </c>
      <c r="B1" s="2"/>
      <c r="C1" s="2"/>
      <c r="D1" s="2"/>
    </row>
    <row r="2" customFormat="false" ht="15" hidden="false" customHeight="false" outlineLevel="0" collapsed="false">
      <c r="A2" s="3" t="s">
        <v>147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32" t="s">
        <v>148</v>
      </c>
      <c r="B4" s="32" t="s">
        <v>149</v>
      </c>
      <c r="C4" s="32" t="s">
        <v>150</v>
      </c>
      <c r="D4" s="32" t="s">
        <v>143</v>
      </c>
    </row>
    <row r="5" customFormat="false" ht="15" hidden="false" customHeight="false" outlineLevel="0" collapsed="false">
      <c r="A5" s="33" t="s">
        <v>41</v>
      </c>
      <c r="B5" s="33" t="s">
        <v>45</v>
      </c>
      <c r="C5" s="33" t="s">
        <v>61</v>
      </c>
      <c r="D5" s="34" t="n">
        <v>0.25</v>
      </c>
    </row>
    <row r="6" customFormat="false" ht="15" hidden="false" customHeight="false" outlineLevel="0" collapsed="false">
      <c r="A6" s="33" t="s">
        <v>151</v>
      </c>
      <c r="B6" s="33" t="s">
        <v>152</v>
      </c>
      <c r="C6" s="33" t="s">
        <v>68</v>
      </c>
      <c r="D6" s="34" t="n">
        <v>0.270833333333333</v>
      </c>
    </row>
    <row r="7" customFormat="false" ht="15" hidden="false" customHeight="false" outlineLevel="0" collapsed="false">
      <c r="A7" s="33" t="s">
        <v>153</v>
      </c>
      <c r="B7" s="33" t="s">
        <v>154</v>
      </c>
      <c r="C7" s="33" t="s">
        <v>155</v>
      </c>
      <c r="D7" s="34" t="n">
        <v>0.291666666666667</v>
      </c>
    </row>
    <row r="8" customFormat="false" ht="15" hidden="false" customHeight="false" outlineLevel="0" collapsed="false">
      <c r="A8" s="33" t="s">
        <v>156</v>
      </c>
      <c r="B8" s="33" t="s">
        <v>157</v>
      </c>
      <c r="C8" s="33" t="s">
        <v>158</v>
      </c>
      <c r="D8" s="34" t="n">
        <v>0.3125</v>
      </c>
    </row>
    <row r="9" customFormat="false" ht="15" hidden="false" customHeight="false" outlineLevel="0" collapsed="false">
      <c r="A9" s="33" t="s">
        <v>44</v>
      </c>
      <c r="B9" s="33" t="s">
        <v>159</v>
      </c>
      <c r="C9" s="2"/>
      <c r="D9" s="34" t="n">
        <v>0.333333333333333</v>
      </c>
    </row>
    <row r="10" customFormat="false" ht="15" hidden="false" customHeight="false" outlineLevel="0" collapsed="false">
      <c r="A10" s="2"/>
      <c r="B10" s="33" t="s">
        <v>160</v>
      </c>
      <c r="C10" s="2"/>
      <c r="D10" s="34" t="n">
        <v>0.354166666666667</v>
      </c>
    </row>
    <row r="11" customFormat="false" ht="15" hidden="false" customHeight="false" outlineLevel="0" collapsed="false">
      <c r="A11" s="2"/>
      <c r="B11" s="33" t="s">
        <v>161</v>
      </c>
      <c r="C11" s="2"/>
      <c r="D11" s="34" t="n">
        <v>0.375</v>
      </c>
    </row>
    <row r="12" customFormat="false" ht="15" hidden="false" customHeight="false" outlineLevel="0" collapsed="false">
      <c r="A12" s="2"/>
      <c r="B12" s="33" t="s">
        <v>162</v>
      </c>
      <c r="C12" s="2"/>
      <c r="D12" s="34" t="n">
        <v>0.395833333333333</v>
      </c>
    </row>
    <row r="13" customFormat="false" ht="15" hidden="false" customHeight="false" outlineLevel="0" collapsed="false">
      <c r="A13" s="2"/>
      <c r="B13" s="33" t="s">
        <v>163</v>
      </c>
      <c r="C13" s="2"/>
      <c r="D13" s="34" t="n">
        <v>0.416666666666667</v>
      </c>
    </row>
    <row r="14" customFormat="false" ht="15" hidden="false" customHeight="false" outlineLevel="0" collapsed="false">
      <c r="A14" s="2"/>
      <c r="B14" s="33" t="s">
        <v>164</v>
      </c>
      <c r="C14" s="2"/>
      <c r="D14" s="34" t="n">
        <v>0.4375</v>
      </c>
    </row>
    <row r="15" customFormat="false" ht="15" hidden="false" customHeight="false" outlineLevel="0" collapsed="false">
      <c r="A15" s="2"/>
      <c r="B15" s="33" t="s">
        <v>165</v>
      </c>
      <c r="C15" s="2"/>
      <c r="D15" s="34" t="n">
        <v>0.458333333333333</v>
      </c>
    </row>
    <row r="16" customFormat="false" ht="15" hidden="false" customHeight="false" outlineLevel="0" collapsed="false">
      <c r="A16" s="2"/>
      <c r="B16" s="2"/>
      <c r="C16" s="2"/>
      <c r="D16" s="34" t="n">
        <v>0.479166666666667</v>
      </c>
    </row>
    <row r="17" customFormat="false" ht="15" hidden="false" customHeight="false" outlineLevel="0" collapsed="false">
      <c r="A17" s="2"/>
      <c r="B17" s="2"/>
      <c r="C17" s="2"/>
      <c r="D17" s="34" t="n">
        <v>0.5</v>
      </c>
    </row>
    <row r="18" customFormat="false" ht="15" hidden="false" customHeight="false" outlineLevel="0" collapsed="false">
      <c r="A18" s="2"/>
      <c r="B18" s="2"/>
      <c r="C18" s="2"/>
      <c r="D18" s="34" t="n">
        <v>0.520833333333333</v>
      </c>
    </row>
    <row r="19" customFormat="false" ht="15" hidden="false" customHeight="false" outlineLevel="0" collapsed="false">
      <c r="A19" s="2"/>
      <c r="B19" s="2"/>
      <c r="C19" s="2"/>
      <c r="D19" s="34" t="n">
        <v>0.541666666666667</v>
      </c>
    </row>
    <row r="20" customFormat="false" ht="15" hidden="false" customHeight="false" outlineLevel="0" collapsed="false">
      <c r="A20" s="2"/>
      <c r="B20" s="2"/>
      <c r="C20" s="2"/>
      <c r="D20" s="34" t="n">
        <v>0.5625</v>
      </c>
    </row>
    <row r="21" customFormat="false" ht="15" hidden="false" customHeight="false" outlineLevel="0" collapsed="false">
      <c r="A21" s="2"/>
      <c r="B21" s="2"/>
      <c r="C21" s="2"/>
      <c r="D21" s="34" t="n">
        <v>0.583333333333333</v>
      </c>
    </row>
    <row r="22" customFormat="false" ht="15" hidden="false" customHeight="false" outlineLevel="0" collapsed="false">
      <c r="A22" s="2"/>
      <c r="B22" s="2"/>
      <c r="C22" s="2"/>
      <c r="D22" s="34" t="n">
        <v>0.604166666666667</v>
      </c>
    </row>
    <row r="23" customFormat="false" ht="15" hidden="false" customHeight="false" outlineLevel="0" collapsed="false">
      <c r="A23" s="2"/>
      <c r="B23" s="2"/>
      <c r="C23" s="2"/>
      <c r="D23" s="34" t="n">
        <v>0.625</v>
      </c>
    </row>
    <row r="24" customFormat="false" ht="15" hidden="false" customHeight="false" outlineLevel="0" collapsed="false">
      <c r="A24" s="2"/>
      <c r="B24" s="2"/>
      <c r="C24" s="2"/>
      <c r="D24" s="34" t="n">
        <v>0.645833333333333</v>
      </c>
    </row>
    <row r="25" customFormat="false" ht="15" hidden="false" customHeight="false" outlineLevel="0" collapsed="false">
      <c r="A25" s="2"/>
      <c r="B25" s="2"/>
      <c r="C25" s="2"/>
      <c r="D25" s="34" t="n">
        <v>0.666666666666667</v>
      </c>
    </row>
    <row r="26" customFormat="false" ht="15" hidden="false" customHeight="false" outlineLevel="0" collapsed="false">
      <c r="A26" s="2"/>
      <c r="B26" s="2"/>
      <c r="C26" s="2"/>
      <c r="D26" s="34" t="n">
        <v>0.6875</v>
      </c>
    </row>
    <row r="27" customFormat="false" ht="15" hidden="false" customHeight="false" outlineLevel="0" collapsed="false">
      <c r="A27" s="2"/>
      <c r="B27" s="2"/>
      <c r="C27" s="2"/>
      <c r="D27" s="34" t="n">
        <v>0.708333333333333</v>
      </c>
    </row>
    <row r="28" customFormat="false" ht="15" hidden="false" customHeight="false" outlineLevel="0" collapsed="false">
      <c r="A28" s="2"/>
      <c r="B28" s="2"/>
      <c r="C28" s="2"/>
      <c r="D28" s="34" t="n">
        <v>0.729166666666667</v>
      </c>
    </row>
    <row r="29" customFormat="false" ht="15" hidden="false" customHeight="false" outlineLevel="0" collapsed="false">
      <c r="A29" s="2"/>
      <c r="B29" s="2"/>
      <c r="C29" s="2"/>
      <c r="D29" s="34" t="n">
        <v>0.75</v>
      </c>
    </row>
    <row r="30" customFormat="false" ht="15" hidden="false" customHeight="false" outlineLevel="0" collapsed="false">
      <c r="A30" s="2"/>
      <c r="B30" s="2"/>
      <c r="C30" s="2"/>
      <c r="D30" s="34" t="n">
        <v>0.770833333333333</v>
      </c>
    </row>
    <row r="31" customFormat="false" ht="15" hidden="false" customHeight="false" outlineLevel="0" collapsed="false">
      <c r="A31" s="2"/>
      <c r="B31" s="2"/>
      <c r="C31" s="2"/>
      <c r="D31" s="34" t="n">
        <v>0.791666666666667</v>
      </c>
    </row>
    <row r="32" customFormat="false" ht="15" hidden="false" customHeight="false" outlineLevel="0" collapsed="false">
      <c r="A32" s="2"/>
      <c r="B32" s="2"/>
      <c r="C32" s="2"/>
      <c r="D32" s="34" t="n">
        <v>0.8125</v>
      </c>
    </row>
    <row r="33" customFormat="false" ht="15" hidden="false" customHeight="false" outlineLevel="0" collapsed="false">
      <c r="A33" s="2"/>
      <c r="B33" s="2"/>
      <c r="C33" s="2"/>
      <c r="D33" s="34" t="n">
        <v>0.833333333333333</v>
      </c>
    </row>
    <row r="34" customFormat="false" ht="15" hidden="false" customHeight="false" outlineLevel="0" collapsed="false">
      <c r="A34" s="2"/>
      <c r="B34" s="2"/>
      <c r="C34" s="2"/>
      <c r="D34" s="34" t="n">
        <v>0.854166666666667</v>
      </c>
    </row>
    <row r="35" customFormat="false" ht="15" hidden="false" customHeight="false" outlineLevel="0" collapsed="false">
      <c r="A35" s="2"/>
      <c r="B35" s="2"/>
      <c r="C35" s="2"/>
      <c r="D35" s="34" t="n">
        <v>0.875</v>
      </c>
    </row>
    <row r="36" customFormat="false" ht="15" hidden="false" customHeight="false" outlineLevel="0" collapsed="false">
      <c r="A36" s="2"/>
      <c r="B36" s="2"/>
      <c r="C36" s="2"/>
      <c r="D36" s="34" t="n">
        <v>0.895833333333333</v>
      </c>
    </row>
    <row r="37" customFormat="false" ht="15" hidden="false" customHeight="false" outlineLevel="0" collapsed="false">
      <c r="A37" s="2"/>
      <c r="B37" s="2"/>
      <c r="C37" s="2"/>
      <c r="D37" s="34" t="n">
        <v>0.916666666666667</v>
      </c>
    </row>
    <row r="38" customFormat="false" ht="15" hidden="false" customHeight="false" outlineLevel="0" collapsed="false">
      <c r="A38" s="2"/>
      <c r="B38" s="2"/>
      <c r="C38" s="2"/>
      <c r="D38" s="34" t="n">
        <v>0.9375</v>
      </c>
    </row>
    <row r="39" customFormat="false" ht="15" hidden="false" customHeight="false" outlineLevel="0" collapsed="false">
      <c r="A39" s="2"/>
      <c r="B39" s="2"/>
      <c r="C39" s="2"/>
      <c r="D39" s="34" t="n">
        <v>0.958333333333333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2026-10-07T15:33:57Z</dcterms:created>
  <dc:creator>openpyxl</dc:creator>
  <dc:description/>
  <dc:language>en-US</dc:language>
  <cp:lastModifiedBy/>
  <dcterms:modified xsi:type="dcterms:W3CDTF">2026-10-07T15:33:59Z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