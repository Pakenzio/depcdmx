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inerario" sheetId="1" state="visible" r:id="rId3"/>
    <sheet name="Presupues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<sst xmlns="http://schemas.openxmlformats.org/spreadsheetml/2006/main" count="281" uniqueCount="208">
  <si>
    <t xml:space="preserve">Nueva Orleans (2 personas)</t>
  </si>
  <si>
    <t xml:space="preserve">Nueva Orleans → Orlando</t>
  </si>
  <si>
    <t xml:space="preserve">Orlando (4 personas)</t>
  </si>
  <si>
    <t xml:space="preserve">Horario</t>
  </si>
  <si>
    <t xml:space="preserve">Sábado 23 ene</t>
  </si>
  <si>
    <t xml:space="preserve">Domingo 24 ene</t>
  </si>
  <si>
    <t xml:space="preserve">Lunes 25 ene</t>
  </si>
  <si>
    <t xml:space="preserve">Martes 26 ene</t>
  </si>
  <si>
    <t xml:space="preserve">Miércoles 27 ene</t>
  </si>
  <si>
    <t xml:space="preserve">Jueves 28 ene</t>
  </si>
  <si>
    <t xml:space="preserve">Viernes 29 ene</t>
  </si>
  <si>
    <t xml:space="preserve">Sábado 30 ene</t>
  </si>
  <si>
    <t xml:space="preserve">Domingo 31 ene</t>
  </si>
  <si>
    <t xml:space="preserve">Lunes 1 feb</t>
  </si>
  <si>
    <t xml:space="preserve">Martes 2 feb</t>
  </si>
  <si>
    <t xml:space="preserve">Miércoles 3 feb</t>
  </si>
  <si>
    <t xml:space="preserve">Historic Mardi Gras Inn (el más barato del Marigny) – 2311 N Rampart St · 6 noches
Respaldo: The Frenchmen Hotel, 417 Frenchmen St</t>
  </si>
  <si>
    <t xml:space="preserve">Ramada Gateway (hotel de Slim, el más barato) – 7470 W Irlo Bronson Memorial Hwy, Kissimmee, FL · 5 noches
Desde ~US$48/noche + US$18 cuota diaria + impuestos · transporte gratis a parques (horario limitado)</t>
  </si>
  <si>
    <t xml:space="preserve">✈ CDMX → Nueva Orleans (MSY)
2 personas
Con escala (Houston / Dallas / Atlanta)
(horario y clave por reservar)</t>
  </si>
  <si>
    <t xml:space="preserve">Uber a MSY</t>
  </si>
  <si>
    <t xml:space="preserve">✈ Nueva Orleans → Orlando (MCO)
Southwest / Frontier directo ~1 h 53 min
(+1 h por cambio de horario)
✈ Las otras 2: CDMX → Orlando (Volaris / Aeroméxico directo ~3 h)</t>
  </si>
  <si>
    <t xml:space="preserve">Manejo a Dunedin (~2 h)</t>
  </si>
  <si>
    <t xml:space="preserve">Manejo a Orange City (~1 h)</t>
  </si>
  <si>
    <t xml:space="preserve">⚠ POR DECIDIR CON EL GRUPO
OPCIÓN 1: UNIVERSAL EPIC UNIVERSE
Harry Potter: Ministerio de Magia, Super Nintendo World, How to Train Your Dragon, Dark Universe
OPCIÓN 2: ISLANDS OF ADVENTURE (más barato)
VelociCoaster, Hagrid's, Spider-Man
Llegar 45 min antes de abrir</t>
  </si>
  <si>
    <t xml:space="preserve">⚠ POR DECIDIR CON EL GRUPO
OPCIÓN 1: MAGIC KINGDOM (el clásico)
TRON, Seven Dwarfs, Space Mountain, Tiana's Bayou Adventure, Haunted Mansion, Pirates
OPCIÓN 2: EPCOT (más adulto)
Festival of the Arts: comida y bebidas por país, conciertos de Broadway incluidos
Llegar antes de abrir</t>
  </si>
  <si>
    <t xml:space="preserve">Check-out + desayuno</t>
  </si>
  <si>
    <t xml:space="preserve">Beignets en Café du Monde</t>
  </si>
  <si>
    <t xml:space="preserve">TOUR PANTANO + PLANTACIÓN (con transporte)
Lancha por el pantano con caimanes
Whitney Plantation (historia de la esclavitud)</t>
  </si>
  <si>
    <t xml:space="preserve">🦭 BLUE SPRING STATE PARK
Manatíes en su temporada (ene = la mejor)
Llegar temprano: el estacionamiento se llena</t>
  </si>
  <si>
    <t xml:space="preserve">🎭 MARDI GRAS WORLD
Taller de carros alegóricos del Carnaval</t>
  </si>
  <si>
    <t xml:space="preserve">NATIONAL WWII MUSEUM</t>
  </si>
  <si>
    <t xml:space="preserve">CITY PARK: Jardín de esculturas Besthoff (gratis), robles centenarios, Bayou St. John</t>
  </si>
  <si>
    <t xml:space="preserve">Honeymoon Island State Park
(US$8 por auto)</t>
  </si>
  <si>
    <t xml:space="preserve">Entregar auto en MCO</t>
  </si>
  <si>
    <t xml:space="preserve">FRENCH QUARTER
Jackson Square, Catedral de San Luis, Pirate's Alley, Royal Street, French Market</t>
  </si>
  <si>
    <t xml:space="preserve">🏝 CALADESI ISLAND
Ferry desde Honeymoon Island (US$20 p/p, desde las 10:00)
Isla virgen, de las mejores playas de EUA</t>
  </si>
  <si>
    <t xml:space="preserve">Se juntan las 4 en MCO
Recoger auto</t>
  </si>
  <si>
    <t xml:space="preserve">✈ Orlando (MCO) → CDMX
Las 4 personas
Volaris / Aeroméxico directo ~3 h
(horario y clave por reservar)</t>
  </si>
  <si>
    <t xml:space="preserve">Comida</t>
  </si>
  <si>
    <t xml:space="preserve">Comida: Dooky Chase (Tremé)</t>
  </si>
  <si>
    <t xml:space="preserve">Regreso a Winter Park</t>
  </si>
  <si>
    <t xml:space="preserve">🎺 Second line dominical (desfile de barrio con banda)
Ver horario en WWOZ "Take It to the Streets"</t>
  </si>
  <si>
    <t xml:space="preserve">Tranvía de St. Charles → GARDEN DISTRICT
Mansiones, Lafayette Cemetery No. 1 (tour guiado, reabrió oct 2026), Magazine Street</t>
  </si>
  <si>
    <t xml:space="preserve">Po'boy: Parkway Bakery</t>
  </si>
  <si>
    <t xml:space="preserve">Check-in hotel</t>
  </si>
  <si>
    <t xml:space="preserve">Comida en Park Avenue</t>
  </si>
  <si>
    <t xml:space="preserve">Uber al Marigny (~30 min)
Check-in</t>
  </si>
  <si>
    <t xml:space="preserve">TREMÉ: Congo Square, Louis Armstrong Park, Backstreet Cultural Museum (trajes de Mardi Gras Indians)</t>
  </si>
  <si>
    <t xml:space="preserve">Paseo en barco de vapor Natchez por el Mississippi (con jazz)</t>
  </si>
  <si>
    <t xml:space="preserve">Comida: Frenchy's (Clearwater)</t>
  </si>
  <si>
    <t xml:space="preserve">WINTER PARK: Scenic Boat Tour por lagos y canales, Park Avenue</t>
  </si>
  <si>
    <t xml:space="preserve">Paseo Marigny y Bywater: casitas de colores, murales, Crescent Park</t>
  </si>
  <si>
    <t xml:space="preserve">Orlando Vineland Premium Outlets (compras)</t>
  </si>
  <si>
    <t xml:space="preserve">🏝 CLEARWATER BEACH
Arena blanca, malecón, bares de playa</t>
  </si>
  <si>
    <t xml:space="preserve">Compras de recuerdos: French Market / Decatur St</t>
  </si>
  <si>
    <t xml:space="preserve">Cena: gumbo / jambalaya</t>
  </si>
  <si>
    <t xml:space="preserve">Cena: red beans &amp; rice (tradición de lunes)</t>
  </si>
  <si>
    <t xml:space="preserve">Cena</t>
  </si>
  <si>
    <t xml:space="preserve">🎭 King cake + cena: ostiones asados en Drago's</t>
  </si>
  <si>
    <t xml:space="preserve">🎭 KREWE DU VIEUX
Desfile satírico y adulto por el Marigny
(fecha tentativa: confirmar en dic.)</t>
  </si>
  <si>
    <t xml:space="preserve">Disney Springs: entrada y estacionamiento gratis, tiendas, bares, cena</t>
  </si>
  <si>
    <t xml:space="preserve">Atardecer en Pier 60 (festival diario al atardecer)</t>
  </si>
  <si>
    <t xml:space="preserve">I-Drive / ICON Park (The Wheel)
Cena y bares</t>
  </si>
  <si>
    <t xml:space="preserve">Bourbon Street
Lafitte's Blacksmith Shop
🏳️‍🌈 Café Lafitte in Exile, Oz, Bourbon Pub &amp; Parade</t>
  </si>
  <si>
    <t xml:space="preserve">Tour de fantasmas y vudú (French Quarter)</t>
  </si>
  <si>
    <t xml:space="preserve">Concierto en Preservation Hall</t>
  </si>
  <si>
    <t xml:space="preserve">Bacchanal Wine (Bywater): vino y música en vivo en el patio</t>
  </si>
  <si>
    <t xml:space="preserve">Última noche: Frenchmen Street
Despedida de Nueva Orleans</t>
  </si>
  <si>
    <t xml:space="preserve">Regreso a Kissimmee (~1.5 h)</t>
  </si>
  <si>
    <t xml:space="preserve">Frenchmen Street: jazz en vivo
The Spotted Cat, d.b.a., Blue Nile
Frenchmen Art Market</t>
  </si>
  <si>
    <t xml:space="preserve">Frenchmen Street</t>
  </si>
  <si>
    <t xml:space="preserve">Bares del French Quarter</t>
  </si>
  <si>
    <t xml:space="preserve">Universal CityWalk: bares y cena</t>
  </si>
  <si>
    <t xml:space="preserve">Fuegos artificiales</t>
  </si>
  <si>
    <t xml:space="preserve">Empacar</t>
  </si>
  <si>
    <t xml:space="preserve">Colores</t>
  </si>
  <si>
    <t xml:space="preserve">Vuelo</t>
  </si>
  <si>
    <t xml:space="preserve">Traslado</t>
  </si>
  <si>
    <t xml:space="preserve">Parque</t>
  </si>
  <si>
    <t xml:space="preserve">Playa</t>
  </si>
  <si>
    <t xml:space="preserve">Tour / museo</t>
  </si>
  <si>
    <t xml:space="preserve">Carnaval</t>
  </si>
  <si>
    <t xml:space="preserve">Noche</t>
  </si>
  <si>
    <t xml:space="preserve">Paseo</t>
  </si>
  <si>
    <t xml:space="preserve">Borde rojo = por decidir con el grupo</t>
  </si>
  <si>
    <t xml:space="preserve">Vuelos</t>
  </si>
  <si>
    <t xml:space="preserve">Quiénes</t>
  </si>
  <si>
    <t xml:space="preserve">Tramo</t>
  </si>
  <si>
    <t xml:space="preserve">Fecha</t>
  </si>
  <si>
    <t xml:space="preserve">Aerolínea sugerida</t>
  </si>
  <si>
    <t xml:space="preserve">Estado</t>
  </si>
  <si>
    <t xml:space="preserve">2 de NOLA</t>
  </si>
  <si>
    <t xml:space="preserve">CDMX → Nueva Orleans</t>
  </si>
  <si>
    <t xml:space="preserve">Sáb 23 ene</t>
  </si>
  <si>
    <t xml:space="preserve">Con escala: United / American / Delta / Aeroméxico</t>
  </si>
  <si>
    <t xml:space="preserve">Por reservar</t>
  </si>
  <si>
    <t xml:space="preserve">Vie 29 ene</t>
  </si>
  <si>
    <t xml:space="preserve">Southwest / Frontier (directo)</t>
  </si>
  <si>
    <t xml:space="preserve">2 solo Orlando</t>
  </si>
  <si>
    <t xml:space="preserve">CDMX → Orlando</t>
  </si>
  <si>
    <t xml:space="preserve">Volaris / Aeroméxico (directo)</t>
  </si>
  <si>
    <t xml:space="preserve">Las 4</t>
  </si>
  <si>
    <t xml:space="preserve">Orlando → CDMX</t>
  </si>
  <si>
    <t xml:space="preserve">Mié 3 feb</t>
  </si>
  <si>
    <t xml:space="preserve">Tip: las 2 de NOLA comparen boleto multidestino (CDMX→MSY + MCO→CDMX) contra dos sencillos.</t>
  </si>
  <si>
    <t xml:space="preserve">Links</t>
  </si>
  <si>
    <t xml:space="preserve">Volaris</t>
  </si>
  <si>
    <t xml:space="preserve">https://www.volaris.com</t>
  </si>
  <si>
    <t xml:space="preserve">Aeroméxico</t>
  </si>
  <si>
    <t xml:space="preserve">https://www.aeromexico.com</t>
  </si>
  <si>
    <t xml:space="preserve">Southwest (MSY → MCO)</t>
  </si>
  <si>
    <t xml:space="preserve">https://www.southwest.com</t>
  </si>
  <si>
    <t xml:space="preserve">Hotel</t>
  </si>
  <si>
    <t xml:space="preserve">Historic Mardi Gras Inn (buscar en Booking / Expedia)</t>
  </si>
  <si>
    <t xml:space="preserve">https://www.booking.com</t>
  </si>
  <si>
    <t xml:space="preserve">Ramada Gateway Kissimmee</t>
  </si>
  <si>
    <t xml:space="preserve">https://www.wyndhamhotels.com/ramada/kissimmee-florida/ramada-gateway/overview</t>
  </si>
  <si>
    <t xml:space="preserve">Krewe du Vieux</t>
  </si>
  <si>
    <t xml:space="preserve">https://www.kreweduvieux.org</t>
  </si>
  <si>
    <t xml:space="preserve">Calendario de desfiles</t>
  </si>
  <si>
    <t xml:space="preserve">https://www.mardigrasneworleans.com</t>
  </si>
  <si>
    <t xml:space="preserve">WWOZ – second lines de cada domingo</t>
  </si>
  <si>
    <t xml:space="preserve">https://www.wwoz.org/calendar/second-lines</t>
  </si>
  <si>
    <t xml:space="preserve">Mardi Gras World</t>
  </si>
  <si>
    <t xml:space="preserve">https://www.mardigrasworld.com</t>
  </si>
  <si>
    <t xml:space="preserve">Tour</t>
  </si>
  <si>
    <t xml:space="preserve">Whitney Plantation</t>
  </si>
  <si>
    <t xml:space="preserve">https://www.whitneyplantation.org</t>
  </si>
  <si>
    <t xml:space="preserve">Save Our Cemeteries (Lafayette No. 1)</t>
  </si>
  <si>
    <t xml:space="preserve">https://www.saveourcemeteries.org</t>
  </si>
  <si>
    <t xml:space="preserve">Barco de vapor Natchez</t>
  </si>
  <si>
    <t xml:space="preserve">https://www.neworleanssteamboatcompany.com</t>
  </si>
  <si>
    <t xml:space="preserve">Música</t>
  </si>
  <si>
    <t xml:space="preserve">Preservation Hall</t>
  </si>
  <si>
    <t xml:space="preserve">https://www.preservationhall.com</t>
  </si>
  <si>
    <t xml:space="preserve">Museo</t>
  </si>
  <si>
    <t xml:space="preserve">National WWII Museum</t>
  </si>
  <si>
    <t xml:space="preserve">https://www.nationalww2museum.org</t>
  </si>
  <si>
    <t xml:space="preserve">Caladesi Island – horarios y precios</t>
  </si>
  <si>
    <t xml:space="preserve">https://www.floridastateparks.org/parks-and-trails/caladesi-island-state-park/hours-fees</t>
  </si>
  <si>
    <t xml:space="preserve">Blue Spring State Park (manatíes)</t>
  </si>
  <si>
    <t xml:space="preserve">https://www.floridastateparks.org/parks-and-trails/blue-spring-state-park</t>
  </si>
  <si>
    <t xml:space="preserve">Winter Park Scenic Boat Tour</t>
  </si>
  <si>
    <t xml:space="preserve">https://www.scenicboattours.com</t>
  </si>
  <si>
    <t xml:space="preserve">Parques</t>
  </si>
  <si>
    <t xml:space="preserve">Universal Orlando / Epic Universe</t>
  </si>
  <si>
    <t xml:space="preserve">https://www.universalorlando.com</t>
  </si>
  <si>
    <t xml:space="preserve">Walt Disney World</t>
  </si>
  <si>
    <t xml:space="preserve">https://disneyworld.disney.go.com/es-us/</t>
  </si>
  <si>
    <t xml:space="preserve">Presupuesto estimado (USD)</t>
  </si>
  <si>
    <t xml:space="preserve">Texto azul = estimación editable; pon el precio real al reservar. Negro = fórmula. Amarillo = supuesto clave.</t>
  </si>
  <si>
    <t xml:space="preserve">Tipo de cambio MXN/USD</t>
  </si>
  <si>
    <t xml:space="preserve">Hotel NOLA por noche (USD)</t>
  </si>
  <si>
    <t xml:space="preserve">Mardi Gras Inn desde ~US$74 (dato de 2025)</t>
  </si>
  <si>
    <t xml:space="preserve">Noches en NOLA</t>
  </si>
  <si>
    <t xml:space="preserve">Sáb 23 → Vie 29</t>
  </si>
  <si>
    <t xml:space="preserve">Impuesto hotel NOLA</t>
  </si>
  <si>
    <t xml:space="preserve">Estimado</t>
  </si>
  <si>
    <t xml:space="preserve">Hotel Orlando por noche (USD)</t>
  </si>
  <si>
    <t xml:space="preserve">Ramada: ~US$48 + US$18 cuota diaria</t>
  </si>
  <si>
    <t xml:space="preserve">Noches en Orlando</t>
  </si>
  <si>
    <t xml:space="preserve">Vie 29 → Mié 3</t>
  </si>
  <si>
    <t xml:space="preserve">Impuesto hotel Orlando</t>
  </si>
  <si>
    <t xml:space="preserve">Concepto</t>
  </si>
  <si>
    <t xml:space="preserve">Ciudad</t>
  </si>
  <si>
    <t xml:space="preserve">Quiénes pagan</t>
  </si>
  <si>
    <t xml:space="preserve">Costo total USD</t>
  </si>
  <si>
    <t xml:space="preserve">Personas</t>
  </si>
  <si>
    <t xml:space="preserve">Por persona USD</t>
  </si>
  <si>
    <t xml:space="preserve">Por persona MXN</t>
  </si>
  <si>
    <t xml:space="preserve">Notas</t>
  </si>
  <si>
    <t xml:space="preserve">Vuelo CDMX → Nueva Orleans (sencillo)</t>
  </si>
  <si>
    <t xml:space="preserve">Nueva Orleans</t>
  </si>
  <si>
    <t xml:space="preserve">Con escala, ~US$300 p/p (estimado)</t>
  </si>
  <si>
    <t xml:space="preserve">Hotel Nueva Orleans – Mardi Gras Inn</t>
  </si>
  <si>
    <t xml:space="preserve">Fórmula: noches × precio × impuesto</t>
  </si>
  <si>
    <t xml:space="preserve">Tour pantano + Whitney Plantation</t>
  </si>
  <si>
    <t xml:space="preserve">~US$170 p/p con transporte</t>
  </si>
  <si>
    <t xml:space="preserve">Tour de fantasmas / vudú</t>
  </si>
  <si>
    <t xml:space="preserve">Tour Lafayette Cemetery No. 1</t>
  </si>
  <si>
    <t xml:space="preserve">~US$50 p/p (estimado)</t>
  </si>
  <si>
    <t xml:space="preserve">Uber + tranvía</t>
  </si>
  <si>
    <t xml:space="preserve">Pase de tranvía de un día ~US$3</t>
  </si>
  <si>
    <t xml:space="preserve">Comida Nueva Orleans (6 días)</t>
  </si>
  <si>
    <t xml:space="preserve">~US$70 p/p al día</t>
  </si>
  <si>
    <t xml:space="preserve">Vuelo Nueva Orleans → Orlando</t>
  </si>
  <si>
    <t xml:space="preserve">Orlando</t>
  </si>
  <si>
    <t xml:space="preserve">Southwest desde ~US$112 + maleta</t>
  </si>
  <si>
    <t xml:space="preserve">Vuelo Orlando → CDMX (sencillo)</t>
  </si>
  <si>
    <t xml:space="preserve">Volaris/Aeroméxico, ~US$220 p/p (estimado)</t>
  </si>
  <si>
    <t xml:space="preserve">Vuelo CDMX ↔ Orlando (redondo)</t>
  </si>
  <si>
    <t xml:space="preserve">Volaris directo, ref. ~MXN 6,900 redondo p/p (Despegar)</t>
  </si>
  <si>
    <t xml:space="preserve">Hotel Orlando – Ramada Gateway</t>
  </si>
  <si>
    <t xml:space="preserve">Renta de auto 5 días + gasolina + casetas</t>
  </si>
  <si>
    <t xml:space="preserve">Estacionamiento parques (2 días)</t>
  </si>
  <si>
    <t xml:space="preserve">~US$30–35 por día</t>
  </si>
  <si>
    <t xml:space="preserve">Parque día 1 (Epic Universe u Islands of Adventure)</t>
  </si>
  <si>
    <t xml:space="preserve">~US$180 p/p Epic; Islands suele ser más barato</t>
  </si>
  <si>
    <t xml:space="preserve">Parque día 2 (Magic Kingdom o EPCOT)</t>
  </si>
  <si>
    <t xml:space="preserve">~US$170 p/p, varía por fecha</t>
  </si>
  <si>
    <t xml:space="preserve">Playa: Honeymoon Island + ferry Caladesi</t>
  </si>
  <si>
    <t xml:space="preserve">US$8 por auto + US$20 p/p ferry</t>
  </si>
  <si>
    <t xml:space="preserve">Blue Spring + Scenic Boat Tour Winter Park</t>
  </si>
  <si>
    <t xml:space="preserve">Comida Orlando (5 días)</t>
  </si>
  <si>
    <t xml:space="preserve">~US$60 p/p al día</t>
  </si>
  <si>
    <t xml:space="preserve">Total por persona – las 2 de NOLA + Orlando</t>
  </si>
  <si>
    <t xml:space="preserve">Total por persona – las 2 solo Orlando</t>
  </si>
  <si>
    <t xml:space="preserve">Gasto total del grupo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</si>
</sst>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h:mm"/>
    <numFmt numFmtId="166" formatCode="0.00"/>
    <numFmt numFmtId="167" formatCode="\$#,##0"/>
    <numFmt numFmtId="168" formatCode="0"/>
    <numFmt numFmtId="169" formatCode="0%"/>
    <numFmt numFmtId="170" formatCode="0.0%"/>
    <numFmt numFmtId="171" formatCode="\$#,##0;&quot;($&quot;#,##0\);\-"/>
    <numFmt numFmtId="172" formatCode="&quot;MXN &quot;#,##0;&quot;(MXN &quot;#,##0\);\-"/>
    <numFmt numFmtId="173" formatCode="&quot;MXN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9000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B4A7D6"/>
        <bgColor rgb="FFD9B3FF"/>
      </patternFill>
    </fill>
    <fill>
      <patternFill patternType="solid">
        <fgColor rgb="FFB6D7A8"/>
        <bgColor rgb="FFA4E5E0"/>
      </patternFill>
    </fill>
    <fill>
      <patternFill patternType="solid">
        <fgColor rgb="FF9FC5E8"/>
        <bgColor rgb="FFA4E5E0"/>
      </patternFill>
    </fill>
    <fill>
      <patternFill patternType="solid">
        <fgColor rgb="FFD9D9D9"/>
        <bgColor rgb="FFEAD1DC"/>
      </patternFill>
    </fill>
    <fill>
      <patternFill patternType="solid">
        <fgColor rgb="FFFFE599"/>
        <bgColor rgb="FFFCE5CD"/>
      </patternFill>
    </fill>
    <fill>
      <patternFill patternType="solid">
        <fgColor rgb="FFFCE5CD"/>
        <bgColor rgb="FFF3F3F3"/>
      </patternFill>
    </fill>
    <fill>
      <patternFill patternType="solid">
        <fgColor rgb="FFD9B3FF"/>
        <bgColor rgb="FFB4A7D6"/>
      </patternFill>
    </fill>
    <fill>
      <patternFill patternType="solid">
        <fgColor rgb="FFFFFFFF"/>
        <bgColor rgb="FFF3F3F3"/>
      </patternFill>
    </fill>
    <fill>
      <patternFill patternType="solid">
        <fgColor rgb="FFA4E5E0"/>
        <bgColor rgb="FFB6D7A8"/>
      </patternFill>
    </fill>
    <fill>
      <patternFill patternType="solid">
        <fgColor rgb="FFEAD1DC"/>
        <bgColor rgb="FFD9D9D9"/>
      </patternFill>
    </fill>
    <fill>
      <patternFill patternType="solid">
        <fgColor rgb="FFF3F3F3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6D7A8"/>
      <rgbColor rgb="FF808080"/>
      <rgbColor rgb="FFB4A7D6"/>
      <rgbColor rgb="FF993366"/>
      <rgbColor rgb="FFF3F3F3"/>
      <rgbColor rgb="FFEAD1DC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4E5E0"/>
      <rgbColor rgb="FFFCE5CD"/>
      <rgbColor rgb="FF9FC5E8"/>
      <rgbColor rgb="FFFF99CC"/>
      <rgbColor rgb="FFD9B3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volaris.com/" TargetMode="External"/><Relationship Id="rId2" Type="http://schemas.openxmlformats.org/officeDocument/2006/relationships/hyperlink" Target="https://www.aeromexico.com/" TargetMode="External"/><Relationship Id="rId3" Type="http://schemas.openxmlformats.org/officeDocument/2006/relationships/hyperlink" Target="https://www.southwest.com/" TargetMode="External"/><Relationship Id="rId4" Type="http://schemas.openxmlformats.org/officeDocument/2006/relationships/hyperlink" Target="https://www.booking.com/" TargetMode="External"/><Relationship Id="rId5" Type="http://schemas.openxmlformats.org/officeDocument/2006/relationships/hyperlink" Target="https://www.wyndhamhotels.com/ramada/kissimmee-florida/ramada-gateway/overview" TargetMode="External"/><Relationship Id="rId6" Type="http://schemas.openxmlformats.org/officeDocument/2006/relationships/hyperlink" Target="https://www.kreweduvieux.org/" TargetMode="External"/><Relationship Id="rId7" Type="http://schemas.openxmlformats.org/officeDocument/2006/relationships/hyperlink" Target="https://www.mardigrasneworleans.com/" TargetMode="External"/><Relationship Id="rId8" Type="http://schemas.openxmlformats.org/officeDocument/2006/relationships/hyperlink" Target="https://www.wwoz.org/calendar/second-lines" TargetMode="External"/><Relationship Id="rId9" Type="http://schemas.openxmlformats.org/officeDocument/2006/relationships/hyperlink" Target="https://www.mardigrasworld.com/" TargetMode="External"/><Relationship Id="rId10" Type="http://schemas.openxmlformats.org/officeDocument/2006/relationships/hyperlink" Target="https://www.whitneyplantation.org/" TargetMode="External"/><Relationship Id="rId11" Type="http://schemas.openxmlformats.org/officeDocument/2006/relationships/hyperlink" Target="https://www.saveourcemeteries.org/" TargetMode="External"/><Relationship Id="rId12" Type="http://schemas.openxmlformats.org/officeDocument/2006/relationships/hyperlink" Target="https://www.neworleanssteamboatcompany.com/" TargetMode="External"/><Relationship Id="rId13" Type="http://schemas.openxmlformats.org/officeDocument/2006/relationships/hyperlink" Target="https://www.preservationhall.com/" TargetMode="External"/><Relationship Id="rId14" Type="http://schemas.openxmlformats.org/officeDocument/2006/relationships/hyperlink" Target="https://www.nationalww2museum.org/" TargetMode="External"/><Relationship Id="rId15" Type="http://schemas.openxmlformats.org/officeDocument/2006/relationships/hyperlink" Target="https://www.floridastateparks.org/parks-and-trails/caladesi-island-state-park/hours-fees" TargetMode="External"/><Relationship Id="rId16" Type="http://schemas.openxmlformats.org/officeDocument/2006/relationships/hyperlink" Target="https://www.floridastateparks.org/parks-and-trails/blue-spring-state-park" TargetMode="External"/><Relationship Id="rId17" Type="http://schemas.openxmlformats.org/officeDocument/2006/relationships/hyperlink" Target="https://www.scenicboattours.com/" TargetMode="External"/><Relationship Id="rId18" Type="http://schemas.openxmlformats.org/officeDocument/2006/relationships/hyperlink" Target="https://www.universalorlando.com/" TargetMode="External"/><Relationship Id="rId19" Type="http://schemas.openxmlformats.org/officeDocument/2006/relationships/hyperlink" Target="https://disneyworld.disney.go.com/es-u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24"/>
  </cols>
  <sheetData>
    <row r="1" customFormat="false" ht="21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3" t="s">
        <v>1</v>
      </c>
      <c r="I1" s="2" t="s">
        <v>2</v>
      </c>
      <c r="J1" s="2"/>
      <c r="K1" s="2"/>
      <c r="L1" s="2"/>
      <c r="M1" s="2"/>
    </row>
    <row r="2" customFormat="false" ht="19.5" hidden="false" customHeight="tru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</row>
    <row r="3" customFormat="false" ht="51.75" hidden="false" customHeight="true" outlineLevel="0" collapsed="false">
      <c r="A3" s="1"/>
      <c r="B3" s="5" t="s">
        <v>16</v>
      </c>
      <c r="C3" s="5"/>
      <c r="D3" s="5"/>
      <c r="E3" s="5"/>
      <c r="F3" s="5"/>
      <c r="G3" s="5"/>
      <c r="H3" s="6" t="s">
        <v>17</v>
      </c>
      <c r="I3" s="6"/>
      <c r="J3" s="6"/>
      <c r="K3" s="6"/>
      <c r="L3" s="6"/>
      <c r="M3" s="6"/>
    </row>
    <row r="4" customFormat="false" ht="30" hidden="false" customHeight="true" outlineLevel="0" collapsed="false">
      <c r="A4" s="7" t="n">
        <v>0.25</v>
      </c>
      <c r="B4" s="8" t="s">
        <v>18</v>
      </c>
      <c r="C4" s="1"/>
      <c r="D4" s="1"/>
      <c r="E4" s="1"/>
      <c r="F4" s="1"/>
      <c r="G4" s="1"/>
      <c r="H4" s="9" t="s">
        <v>19</v>
      </c>
      <c r="I4" s="1"/>
      <c r="J4" s="1"/>
      <c r="K4" s="1"/>
      <c r="L4" s="1"/>
      <c r="M4" s="1"/>
    </row>
    <row r="5" customFormat="false" ht="30" hidden="false" customHeight="true" outlineLevel="0" collapsed="false">
      <c r="A5" s="7" t="n">
        <v>0.291666666666667</v>
      </c>
      <c r="B5" s="8"/>
      <c r="C5" s="1"/>
      <c r="D5" s="1"/>
      <c r="E5" s="1"/>
      <c r="F5" s="1"/>
      <c r="G5" s="1"/>
      <c r="H5" s="8" t="s">
        <v>20</v>
      </c>
      <c r="I5" s="9" t="s">
        <v>21</v>
      </c>
      <c r="J5" s="9" t="s">
        <v>22</v>
      </c>
      <c r="K5" s="10" t="s">
        <v>23</v>
      </c>
      <c r="L5" s="10" t="s">
        <v>24</v>
      </c>
      <c r="M5" s="11" t="s">
        <v>25</v>
      </c>
    </row>
    <row r="6" customFormat="false" ht="30" hidden="false" customHeight="true" outlineLevel="0" collapsed="false">
      <c r="A6" s="7" t="n">
        <v>0.333333333333333</v>
      </c>
      <c r="B6" s="8"/>
      <c r="C6" s="11" t="s">
        <v>26</v>
      </c>
      <c r="D6" s="6" t="s">
        <v>27</v>
      </c>
      <c r="E6" s="1"/>
      <c r="F6" s="1"/>
      <c r="G6" s="1"/>
      <c r="H6" s="8"/>
      <c r="I6" s="9"/>
      <c r="J6" s="6" t="s">
        <v>28</v>
      </c>
      <c r="K6" s="10"/>
      <c r="L6" s="10"/>
      <c r="M6" s="11"/>
    </row>
    <row r="7" customFormat="false" ht="30" hidden="false" customHeight="true" outlineLevel="0" collapsed="false">
      <c r="A7" s="7" t="n">
        <v>0.375</v>
      </c>
      <c r="B7" s="8"/>
      <c r="C7" s="11"/>
      <c r="D7" s="6"/>
      <c r="E7" s="12" t="s">
        <v>29</v>
      </c>
      <c r="F7" s="6" t="s">
        <v>30</v>
      </c>
      <c r="G7" s="13" t="s">
        <v>31</v>
      </c>
      <c r="H7" s="8"/>
      <c r="I7" s="14" t="s">
        <v>32</v>
      </c>
      <c r="J7" s="6"/>
      <c r="K7" s="10"/>
      <c r="L7" s="10"/>
      <c r="M7" s="9" t="s">
        <v>33</v>
      </c>
    </row>
    <row r="8" customFormat="false" ht="30" hidden="false" customHeight="true" outlineLevel="0" collapsed="false">
      <c r="A8" s="7" t="n">
        <v>0.416666666666667</v>
      </c>
      <c r="B8" s="8"/>
      <c r="C8" s="13" t="s">
        <v>34</v>
      </c>
      <c r="D8" s="6"/>
      <c r="E8" s="12"/>
      <c r="F8" s="6"/>
      <c r="G8" s="13"/>
      <c r="H8" s="8"/>
      <c r="I8" s="14" t="s">
        <v>35</v>
      </c>
      <c r="J8" s="6"/>
      <c r="K8" s="10"/>
      <c r="L8" s="10"/>
      <c r="M8" s="1"/>
    </row>
    <row r="9" customFormat="false" ht="30" hidden="false" customHeight="true" outlineLevel="0" collapsed="false">
      <c r="A9" s="7" t="n">
        <v>0.458333333333333</v>
      </c>
      <c r="B9" s="8"/>
      <c r="C9" s="13"/>
      <c r="D9" s="6"/>
      <c r="E9" s="12"/>
      <c r="F9" s="6"/>
      <c r="G9" s="13"/>
      <c r="H9" s="9" t="s">
        <v>36</v>
      </c>
      <c r="I9" s="14"/>
      <c r="J9" s="6"/>
      <c r="K9" s="10"/>
      <c r="L9" s="10"/>
      <c r="M9" s="8" t="s">
        <v>37</v>
      </c>
    </row>
    <row r="10" customFormat="false" ht="30" hidden="false" customHeight="true" outlineLevel="0" collapsed="false">
      <c r="A10" s="7" t="n">
        <v>0.5</v>
      </c>
      <c r="B10" s="8"/>
      <c r="C10" s="13"/>
      <c r="D10" s="6"/>
      <c r="E10" s="11" t="s">
        <v>38</v>
      </c>
      <c r="F10" s="6"/>
      <c r="G10" s="11" t="s">
        <v>39</v>
      </c>
      <c r="H10" s="9"/>
      <c r="I10" s="14"/>
      <c r="J10" s="9" t="s">
        <v>40</v>
      </c>
      <c r="K10" s="10"/>
      <c r="L10" s="10"/>
      <c r="M10" s="8"/>
    </row>
    <row r="11" customFormat="false" ht="30" hidden="false" customHeight="true" outlineLevel="0" collapsed="false">
      <c r="A11" s="7" t="n">
        <v>0.541666666666667</v>
      </c>
      <c r="B11" s="8"/>
      <c r="C11" s="12" t="s">
        <v>41</v>
      </c>
      <c r="D11" s="6"/>
      <c r="E11" s="13" t="s">
        <v>42</v>
      </c>
      <c r="F11" s="11" t="s">
        <v>43</v>
      </c>
      <c r="G11" s="1"/>
      <c r="H11" s="9" t="s">
        <v>44</v>
      </c>
      <c r="I11" s="14"/>
      <c r="J11" s="11" t="s">
        <v>45</v>
      </c>
      <c r="K11" s="10"/>
      <c r="L11" s="10"/>
      <c r="M11" s="8"/>
    </row>
    <row r="12" customFormat="false" ht="30" hidden="false" customHeight="true" outlineLevel="0" collapsed="false">
      <c r="A12" s="7" t="n">
        <v>0.583333333333333</v>
      </c>
      <c r="B12" s="9" t="s">
        <v>46</v>
      </c>
      <c r="C12" s="12"/>
      <c r="D12" s="6"/>
      <c r="E12" s="13"/>
      <c r="F12" s="13" t="s">
        <v>47</v>
      </c>
      <c r="G12" s="6" t="s">
        <v>48</v>
      </c>
      <c r="H12" s="11" t="s">
        <v>38</v>
      </c>
      <c r="I12" s="11" t="s">
        <v>49</v>
      </c>
      <c r="J12" s="13" t="s">
        <v>50</v>
      </c>
      <c r="K12" s="10"/>
      <c r="L12" s="10"/>
      <c r="M12" s="8"/>
    </row>
    <row r="13" customFormat="false" ht="30" hidden="false" customHeight="true" outlineLevel="0" collapsed="false">
      <c r="A13" s="7" t="n">
        <v>0.625</v>
      </c>
      <c r="B13" s="13" t="s">
        <v>51</v>
      </c>
      <c r="C13" s="12"/>
      <c r="D13" s="6"/>
      <c r="E13" s="13"/>
      <c r="F13" s="13"/>
      <c r="G13" s="6"/>
      <c r="H13" s="13" t="s">
        <v>52</v>
      </c>
      <c r="I13" s="14" t="s">
        <v>53</v>
      </c>
      <c r="J13" s="13"/>
      <c r="K13" s="10"/>
      <c r="L13" s="10"/>
      <c r="M13" s="8"/>
    </row>
    <row r="14" customFormat="false" ht="30" hidden="false" customHeight="true" outlineLevel="0" collapsed="false">
      <c r="A14" s="7" t="n">
        <v>0.666666666666667</v>
      </c>
      <c r="B14" s="13"/>
      <c r="C14" s="12"/>
      <c r="D14" s="1"/>
      <c r="E14" s="13"/>
      <c r="F14" s="13"/>
      <c r="G14" s="13" t="s">
        <v>54</v>
      </c>
      <c r="H14" s="13"/>
      <c r="I14" s="14"/>
      <c r="J14" s="13"/>
      <c r="K14" s="10"/>
      <c r="L14" s="10"/>
      <c r="M14" s="8"/>
    </row>
    <row r="15" customFormat="false" ht="30" hidden="false" customHeight="true" outlineLevel="0" collapsed="false">
      <c r="A15" s="7" t="n">
        <v>0.708333333333333</v>
      </c>
      <c r="B15" s="13"/>
      <c r="C15" s="11" t="s">
        <v>55</v>
      </c>
      <c r="D15" s="11" t="s">
        <v>56</v>
      </c>
      <c r="E15" s="11" t="s">
        <v>57</v>
      </c>
      <c r="F15" s="11" t="s">
        <v>58</v>
      </c>
      <c r="G15" s="13"/>
      <c r="H15" s="13"/>
      <c r="I15" s="14"/>
      <c r="J15" s="1"/>
      <c r="K15" s="10"/>
      <c r="L15" s="10"/>
      <c r="M15" s="1"/>
    </row>
    <row r="16" customFormat="false" ht="30" hidden="false" customHeight="true" outlineLevel="0" collapsed="false">
      <c r="A16" s="7" t="n">
        <v>0.75</v>
      </c>
      <c r="B16" s="12" t="s">
        <v>59</v>
      </c>
      <c r="C16" s="11"/>
      <c r="D16" s="11"/>
      <c r="E16" s="11"/>
      <c r="F16" s="11"/>
      <c r="G16" s="13"/>
      <c r="H16" s="15" t="s">
        <v>60</v>
      </c>
      <c r="I16" s="14" t="s">
        <v>61</v>
      </c>
      <c r="J16" s="15" t="s">
        <v>62</v>
      </c>
      <c r="K16" s="10"/>
      <c r="L16" s="10"/>
      <c r="M16" s="1"/>
    </row>
    <row r="17" customFormat="false" ht="30" hidden="false" customHeight="true" outlineLevel="0" collapsed="false">
      <c r="A17" s="7" t="n">
        <v>0.791666666666667</v>
      </c>
      <c r="B17" s="12"/>
      <c r="C17" s="15" t="s">
        <v>63</v>
      </c>
      <c r="D17" s="6" t="s">
        <v>64</v>
      </c>
      <c r="E17" s="15" t="s">
        <v>65</v>
      </c>
      <c r="F17" s="15" t="s">
        <v>66</v>
      </c>
      <c r="G17" s="15" t="s">
        <v>67</v>
      </c>
      <c r="H17" s="15"/>
      <c r="I17" s="9" t="s">
        <v>68</v>
      </c>
      <c r="J17" s="15"/>
      <c r="K17" s="10"/>
      <c r="L17" s="10"/>
      <c r="M17" s="1"/>
    </row>
    <row r="18" customFormat="false" ht="30" hidden="false" customHeight="true" outlineLevel="0" collapsed="false">
      <c r="A18" s="7" t="n">
        <v>0.833333333333333</v>
      </c>
      <c r="B18" s="12"/>
      <c r="C18" s="15"/>
      <c r="D18" s="6"/>
      <c r="E18" s="15"/>
      <c r="F18" s="15"/>
      <c r="G18" s="15"/>
      <c r="H18" s="15"/>
      <c r="I18" s="9"/>
      <c r="J18" s="15"/>
      <c r="K18" s="10"/>
      <c r="L18" s="10"/>
      <c r="M18" s="1"/>
    </row>
    <row r="19" customFormat="false" ht="30" hidden="false" customHeight="true" outlineLevel="0" collapsed="false">
      <c r="A19" s="7" t="n">
        <v>0.875</v>
      </c>
      <c r="B19" s="15" t="s">
        <v>69</v>
      </c>
      <c r="C19" s="15"/>
      <c r="D19" s="15" t="s">
        <v>70</v>
      </c>
      <c r="E19" s="15" t="s">
        <v>71</v>
      </c>
      <c r="F19" s="15"/>
      <c r="G19" s="15"/>
      <c r="H19" s="15"/>
      <c r="I19" s="1"/>
      <c r="J19" s="15"/>
      <c r="K19" s="15" t="s">
        <v>72</v>
      </c>
      <c r="L19" s="10"/>
      <c r="M19" s="1"/>
    </row>
    <row r="20" customFormat="false" ht="30" hidden="false" customHeight="true" outlineLevel="0" collapsed="false">
      <c r="A20" s="7" t="n">
        <v>0.916666666666667</v>
      </c>
      <c r="B20" s="15"/>
      <c r="C20" s="15"/>
      <c r="D20" s="15"/>
      <c r="E20" s="15"/>
      <c r="F20" s="15"/>
      <c r="G20" s="15"/>
      <c r="H20" s="15"/>
      <c r="I20" s="1"/>
      <c r="J20" s="15"/>
      <c r="K20" s="15"/>
      <c r="L20" s="16" t="s">
        <v>73</v>
      </c>
      <c r="M20" s="1"/>
    </row>
    <row r="21" customFormat="false" ht="30" hidden="false" customHeight="true" outlineLevel="0" collapsed="false">
      <c r="A21" s="7" t="n">
        <v>0.958333333333333</v>
      </c>
      <c r="B21" s="15"/>
      <c r="C21" s="15"/>
      <c r="D21" s="15"/>
      <c r="E21" s="15"/>
      <c r="F21" s="1"/>
      <c r="G21" s="15"/>
      <c r="H21" s="1"/>
      <c r="I21" s="1"/>
      <c r="J21" s="1"/>
      <c r="K21" s="15"/>
      <c r="L21" s="15" t="s">
        <v>74</v>
      </c>
      <c r="M21" s="1"/>
    </row>
    <row r="22" customFormat="false" ht="30" hidden="false" customHeight="true" outlineLevel="0" collapsed="false">
      <c r="A22" s="7" t="n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4" customFormat="false" ht="15" hidden="false" customHeight="false" outlineLevel="0" collapsed="false">
      <c r="A24" s="17" t="s">
        <v>75</v>
      </c>
      <c r="B24" s="8" t="s">
        <v>76</v>
      </c>
      <c r="C24" s="9" t="s">
        <v>77</v>
      </c>
      <c r="D24" s="16" t="s">
        <v>78</v>
      </c>
      <c r="E24" s="14" t="s">
        <v>79</v>
      </c>
      <c r="F24" s="6" t="s">
        <v>80</v>
      </c>
      <c r="G24" s="12" t="s">
        <v>81</v>
      </c>
      <c r="H24" s="11" t="s">
        <v>38</v>
      </c>
      <c r="I24" s="15" t="s">
        <v>82</v>
      </c>
      <c r="J24" s="13" t="s">
        <v>83</v>
      </c>
    </row>
    <row r="25" customFormat="false" ht="15" hidden="false" customHeight="false" outlineLevel="0" collapsed="false">
      <c r="B25" s="18" t="s">
        <v>84</v>
      </c>
      <c r="C25" s="18"/>
      <c r="D25" s="18"/>
    </row>
    <row r="27" customFormat="false" ht="15" hidden="false" customHeight="false" outlineLevel="0" collapsed="false">
      <c r="A27" s="17" t="s">
        <v>85</v>
      </c>
    </row>
    <row r="28" customFormat="false" ht="15" hidden="false" customHeight="false" outlineLevel="0" collapsed="false">
      <c r="B28" s="19" t="s">
        <v>86</v>
      </c>
      <c r="C28" s="19" t="s">
        <v>87</v>
      </c>
      <c r="D28" s="19" t="s">
        <v>88</v>
      </c>
      <c r="E28" s="19" t="s">
        <v>89</v>
      </c>
      <c r="F28" s="19" t="s">
        <v>90</v>
      </c>
    </row>
    <row r="29" customFormat="false" ht="35.05" hidden="false" customHeight="false" outlineLevel="0" collapsed="false"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</row>
    <row r="30" customFormat="false" ht="15" hidden="false" customHeight="false" outlineLevel="0" collapsed="false">
      <c r="B30" s="1" t="s">
        <v>91</v>
      </c>
      <c r="C30" s="1" t="s">
        <v>1</v>
      </c>
      <c r="D30" s="1" t="s">
        <v>96</v>
      </c>
      <c r="E30" s="1" t="s">
        <v>97</v>
      </c>
      <c r="F30" s="1" t="s">
        <v>95</v>
      </c>
    </row>
    <row r="31" customFormat="false" ht="23.85" hidden="false" customHeight="false" outlineLevel="0" collapsed="false">
      <c r="B31" s="1" t="s">
        <v>98</v>
      </c>
      <c r="C31" s="1" t="s">
        <v>99</v>
      </c>
      <c r="D31" s="1" t="s">
        <v>96</v>
      </c>
      <c r="E31" s="1" t="s">
        <v>100</v>
      </c>
      <c r="F31" s="1" t="s">
        <v>95</v>
      </c>
    </row>
    <row r="32" customFormat="false" ht="23.85" hidden="false" customHeight="false" outlineLevel="0" collapsed="false">
      <c r="B32" s="1" t="s">
        <v>101</v>
      </c>
      <c r="C32" s="1" t="s">
        <v>102</v>
      </c>
      <c r="D32" s="1" t="s">
        <v>103</v>
      </c>
      <c r="E32" s="1" t="s">
        <v>100</v>
      </c>
      <c r="F32" s="1" t="s">
        <v>95</v>
      </c>
    </row>
    <row r="33" customFormat="false" ht="15" hidden="false" customHeight="false" outlineLevel="0" collapsed="false">
      <c r="B33" s="20" t="s">
        <v>104</v>
      </c>
    </row>
    <row r="35" customFormat="false" ht="15" hidden="false" customHeight="false" outlineLevel="0" collapsed="false">
      <c r="A35" s="17" t="s">
        <v>105</v>
      </c>
    </row>
    <row r="36" customFormat="false" ht="15" hidden="false" customHeight="false" outlineLevel="0" collapsed="false">
      <c r="B36" s="21" t="s">
        <v>85</v>
      </c>
      <c r="C36" s="21" t="s">
        <v>106</v>
      </c>
      <c r="D36" s="22" t="s">
        <v>107</v>
      </c>
    </row>
    <row r="37" customFormat="false" ht="15" hidden="false" customHeight="false" outlineLevel="0" collapsed="false">
      <c r="B37" s="21" t="s">
        <v>85</v>
      </c>
      <c r="C37" s="21" t="s">
        <v>108</v>
      </c>
      <c r="D37" s="22" t="s">
        <v>109</v>
      </c>
    </row>
    <row r="38" customFormat="false" ht="15" hidden="false" customHeight="false" outlineLevel="0" collapsed="false">
      <c r="B38" s="21" t="s">
        <v>85</v>
      </c>
      <c r="C38" s="21" t="s">
        <v>110</v>
      </c>
      <c r="D38" s="22" t="s">
        <v>111</v>
      </c>
    </row>
    <row r="39" customFormat="false" ht="15" hidden="false" customHeight="false" outlineLevel="0" collapsed="false">
      <c r="B39" s="21" t="s">
        <v>112</v>
      </c>
      <c r="C39" s="21" t="s">
        <v>113</v>
      </c>
      <c r="D39" s="22" t="s">
        <v>114</v>
      </c>
    </row>
    <row r="40" customFormat="false" ht="15" hidden="false" customHeight="false" outlineLevel="0" collapsed="false">
      <c r="B40" s="21" t="s">
        <v>112</v>
      </c>
      <c r="C40" s="21" t="s">
        <v>115</v>
      </c>
      <c r="D40" s="22" t="s">
        <v>116</v>
      </c>
    </row>
    <row r="41" customFormat="false" ht="15" hidden="false" customHeight="false" outlineLevel="0" collapsed="false">
      <c r="B41" s="21" t="s">
        <v>81</v>
      </c>
      <c r="C41" s="21" t="s">
        <v>117</v>
      </c>
      <c r="D41" s="22" t="s">
        <v>118</v>
      </c>
    </row>
    <row r="42" customFormat="false" ht="15" hidden="false" customHeight="false" outlineLevel="0" collapsed="false">
      <c r="B42" s="21" t="s">
        <v>81</v>
      </c>
      <c r="C42" s="21" t="s">
        <v>119</v>
      </c>
      <c r="D42" s="22" t="s">
        <v>120</v>
      </c>
    </row>
    <row r="43" customFormat="false" ht="15" hidden="false" customHeight="false" outlineLevel="0" collapsed="false">
      <c r="B43" s="21" t="s">
        <v>81</v>
      </c>
      <c r="C43" s="21" t="s">
        <v>121</v>
      </c>
      <c r="D43" s="22" t="s">
        <v>122</v>
      </c>
    </row>
    <row r="44" customFormat="false" ht="15" hidden="false" customHeight="false" outlineLevel="0" collapsed="false">
      <c r="B44" s="21" t="s">
        <v>81</v>
      </c>
      <c r="C44" s="21" t="s">
        <v>123</v>
      </c>
      <c r="D44" s="22" t="s">
        <v>124</v>
      </c>
    </row>
    <row r="45" customFormat="false" ht="15" hidden="false" customHeight="false" outlineLevel="0" collapsed="false">
      <c r="B45" s="21" t="s">
        <v>125</v>
      </c>
      <c r="C45" s="21" t="s">
        <v>126</v>
      </c>
      <c r="D45" s="22" t="s">
        <v>127</v>
      </c>
    </row>
    <row r="46" customFormat="false" ht="15" hidden="false" customHeight="false" outlineLevel="0" collapsed="false">
      <c r="B46" s="21" t="s">
        <v>125</v>
      </c>
      <c r="C46" s="21" t="s">
        <v>128</v>
      </c>
      <c r="D46" s="22" t="s">
        <v>129</v>
      </c>
    </row>
    <row r="47" customFormat="false" ht="15" hidden="false" customHeight="false" outlineLevel="0" collapsed="false">
      <c r="B47" s="21" t="s">
        <v>125</v>
      </c>
      <c r="C47" s="21" t="s">
        <v>130</v>
      </c>
      <c r="D47" s="22" t="s">
        <v>131</v>
      </c>
    </row>
    <row r="48" customFormat="false" ht="15" hidden="false" customHeight="false" outlineLevel="0" collapsed="false">
      <c r="B48" s="21" t="s">
        <v>132</v>
      </c>
      <c r="C48" s="21" t="s">
        <v>133</v>
      </c>
      <c r="D48" s="22" t="s">
        <v>134</v>
      </c>
    </row>
    <row r="49" customFormat="false" ht="15" hidden="false" customHeight="false" outlineLevel="0" collapsed="false">
      <c r="B49" s="21" t="s">
        <v>135</v>
      </c>
      <c r="C49" s="21" t="s">
        <v>136</v>
      </c>
      <c r="D49" s="22" t="s">
        <v>137</v>
      </c>
    </row>
    <row r="50" customFormat="false" ht="15" hidden="false" customHeight="false" outlineLevel="0" collapsed="false">
      <c r="B50" s="21" t="s">
        <v>79</v>
      </c>
      <c r="C50" s="21" t="s">
        <v>138</v>
      </c>
      <c r="D50" s="22" t="s">
        <v>139</v>
      </c>
    </row>
    <row r="51" customFormat="false" ht="15" hidden="false" customHeight="false" outlineLevel="0" collapsed="false">
      <c r="B51" s="21" t="s">
        <v>125</v>
      </c>
      <c r="C51" s="21" t="s">
        <v>140</v>
      </c>
      <c r="D51" s="22" t="s">
        <v>141</v>
      </c>
    </row>
    <row r="52" customFormat="false" ht="15" hidden="false" customHeight="false" outlineLevel="0" collapsed="false">
      <c r="B52" s="21" t="s">
        <v>125</v>
      </c>
      <c r="C52" s="21" t="s">
        <v>142</v>
      </c>
      <c r="D52" s="22" t="s">
        <v>143</v>
      </c>
    </row>
    <row r="53" customFormat="false" ht="15" hidden="false" customHeight="false" outlineLevel="0" collapsed="false">
      <c r="B53" s="21" t="s">
        <v>144</v>
      </c>
      <c r="C53" s="21" t="s">
        <v>145</v>
      </c>
      <c r="D53" s="22" t="s">
        <v>146</v>
      </c>
    </row>
    <row r="54" customFormat="false" ht="15" hidden="false" customHeight="false" outlineLevel="0" collapsed="false">
      <c r="B54" s="21" t="s">
        <v>144</v>
      </c>
      <c r="C54" s="21" t="s">
        <v>147</v>
      </c>
      <c r="D54" s="22" t="s">
        <v>148</v>
      </c>
    </row>
  </sheetData>
  <mergeCells count="47">
    <mergeCell ref="B1:G1"/>
    <mergeCell ref="I1:M1"/>
    <mergeCell ref="B3:G3"/>
    <mergeCell ref="H3:M3"/>
    <mergeCell ref="B4:B11"/>
    <mergeCell ref="H5:H8"/>
    <mergeCell ref="I5:I6"/>
    <mergeCell ref="K5:K18"/>
    <mergeCell ref="L5:L19"/>
    <mergeCell ref="M5:M6"/>
    <mergeCell ref="C6:C7"/>
    <mergeCell ref="D6:D13"/>
    <mergeCell ref="J6:J9"/>
    <mergeCell ref="E7:E9"/>
    <mergeCell ref="F7:F10"/>
    <mergeCell ref="G7:G9"/>
    <mergeCell ref="C8:C10"/>
    <mergeCell ref="I8:I11"/>
    <mergeCell ref="H9:H10"/>
    <mergeCell ref="M9:M14"/>
    <mergeCell ref="C11:C14"/>
    <mergeCell ref="E11:E14"/>
    <mergeCell ref="F12:F14"/>
    <mergeCell ref="G12:G13"/>
    <mergeCell ref="J12:J14"/>
    <mergeCell ref="B13:B15"/>
    <mergeCell ref="H13:H15"/>
    <mergeCell ref="I13:I15"/>
    <mergeCell ref="G14:G16"/>
    <mergeCell ref="C15:C16"/>
    <mergeCell ref="D15:D16"/>
    <mergeCell ref="E15:E16"/>
    <mergeCell ref="F15:F16"/>
    <mergeCell ref="B16:B18"/>
    <mergeCell ref="H16:H20"/>
    <mergeCell ref="J16:J20"/>
    <mergeCell ref="C17:C21"/>
    <mergeCell ref="D17:D18"/>
    <mergeCell ref="E17:E18"/>
    <mergeCell ref="F17:F20"/>
    <mergeCell ref="G17:G21"/>
    <mergeCell ref="I17:I18"/>
    <mergeCell ref="B19:B21"/>
    <mergeCell ref="D19:D21"/>
    <mergeCell ref="E19:E21"/>
    <mergeCell ref="K19:K21"/>
    <mergeCell ref="B25:D25"/>
  </mergeCells>
  <hyperlinks>
    <hyperlink ref="D36" r:id="rId1" display="https://www.volaris.com"/>
    <hyperlink ref="D37" r:id="rId2" display="https://www.aeromexico.com"/>
    <hyperlink ref="D38" r:id="rId3" display="https://www.southwest.com"/>
    <hyperlink ref="D39" r:id="rId4" display="https://www.booking.com"/>
    <hyperlink ref="D40" r:id="rId5" display="https://www.wyndhamhotels.com/ramada/kissimmee-florida/ramada-gateway/overview"/>
    <hyperlink ref="D41" r:id="rId6" display="https://www.kreweduvieux.org"/>
    <hyperlink ref="D42" r:id="rId7" display="https://www.mardigrasneworleans.com"/>
    <hyperlink ref="D43" r:id="rId8" display="https://www.wwoz.org/calendar/second-lines"/>
    <hyperlink ref="D44" r:id="rId9" display="https://www.mardigrasworld.com"/>
    <hyperlink ref="D45" r:id="rId10" display="https://www.whitneyplantation.org"/>
    <hyperlink ref="D46" r:id="rId11" display="https://www.saveourcemeteries.org"/>
    <hyperlink ref="D47" r:id="rId12" display="https://www.neworleanssteamboatcompany.com"/>
    <hyperlink ref="D48" r:id="rId13" display="https://www.preservationhall.com"/>
    <hyperlink ref="D49" r:id="rId14" display="https://www.nationalww2museum.org"/>
    <hyperlink ref="D50" r:id="rId15" display="https://www.floridastateparks.org/parks-and-trails/caladesi-island-state-park/hours-fees"/>
    <hyperlink ref="D51" r:id="rId16" display="https://www.floridastateparks.org/parks-and-trails/blue-spring-state-park"/>
    <hyperlink ref="D52" r:id="rId17" display="https://www.scenicboattours.com"/>
    <hyperlink ref="D53" r:id="rId18" display="https://www.universalorlando.com"/>
    <hyperlink ref="D54" r:id="rId19" display="https://disneyworld.disney.go.com/es-u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16.15" hidden="false" customHeight="false" outlineLevel="0" collapsed="false">
      <c r="A1" s="23" t="s">
        <v>149</v>
      </c>
    </row>
    <row r="2" customFormat="false" ht="15" hidden="false" customHeight="false" outlineLevel="0" collapsed="false">
      <c r="A2" s="20" t="s">
        <v>150</v>
      </c>
    </row>
    <row r="3" customFormat="false" ht="15" hidden="false" customHeight="false" outlineLevel="0" collapsed="false">
      <c r="A3" s="24" t="s">
        <v>151</v>
      </c>
      <c r="B3" s="25" t="n">
        <v>18.5</v>
      </c>
      <c r="C3" s="20"/>
    </row>
    <row r="4" customFormat="false" ht="15" hidden="false" customHeight="false" outlineLevel="0" collapsed="false">
      <c r="A4" s="24" t="s">
        <v>152</v>
      </c>
      <c r="B4" s="26" t="n">
        <v>85</v>
      </c>
      <c r="C4" s="20" t="s">
        <v>153</v>
      </c>
    </row>
    <row r="5" customFormat="false" ht="15" hidden="false" customHeight="false" outlineLevel="0" collapsed="false">
      <c r="A5" s="24" t="s">
        <v>154</v>
      </c>
      <c r="B5" s="27" t="n">
        <v>6</v>
      </c>
      <c r="C5" s="20" t="s">
        <v>155</v>
      </c>
    </row>
    <row r="6" customFormat="false" ht="15" hidden="false" customHeight="false" outlineLevel="0" collapsed="false">
      <c r="A6" s="24" t="s">
        <v>156</v>
      </c>
      <c r="B6" s="28" t="n">
        <v>0.16</v>
      </c>
      <c r="C6" s="20" t="s">
        <v>157</v>
      </c>
    </row>
    <row r="7" customFormat="false" ht="15" hidden="false" customHeight="false" outlineLevel="0" collapsed="false">
      <c r="A7" s="24" t="s">
        <v>158</v>
      </c>
      <c r="B7" s="26" t="n">
        <v>66</v>
      </c>
      <c r="C7" s="20" t="s">
        <v>159</v>
      </c>
    </row>
    <row r="8" customFormat="false" ht="15" hidden="false" customHeight="false" outlineLevel="0" collapsed="false">
      <c r="A8" s="24" t="s">
        <v>160</v>
      </c>
      <c r="B8" s="27" t="n">
        <v>5</v>
      </c>
      <c r="C8" s="20" t="s">
        <v>161</v>
      </c>
    </row>
    <row r="9" customFormat="false" ht="15" hidden="false" customHeight="false" outlineLevel="0" collapsed="false">
      <c r="A9" s="24" t="s">
        <v>162</v>
      </c>
      <c r="B9" s="29" t="n">
        <v>0.125</v>
      </c>
      <c r="C9" s="20" t="s">
        <v>157</v>
      </c>
    </row>
    <row r="11" customFormat="false" ht="15" hidden="false" customHeight="false" outlineLevel="0" collapsed="false">
      <c r="A11" s="30" t="s">
        <v>163</v>
      </c>
      <c r="B11" s="30" t="s">
        <v>164</v>
      </c>
      <c r="C11" s="30" t="s">
        <v>165</v>
      </c>
      <c r="D11" s="30" t="s">
        <v>166</v>
      </c>
      <c r="E11" s="30" t="s">
        <v>167</v>
      </c>
      <c r="F11" s="30" t="s">
        <v>168</v>
      </c>
      <c r="G11" s="30" t="s">
        <v>169</v>
      </c>
      <c r="H11" s="30" t="s">
        <v>170</v>
      </c>
    </row>
    <row r="12" customFormat="false" ht="15" hidden="false" customHeight="false" outlineLevel="0" collapsed="false">
      <c r="A12" s="31" t="s">
        <v>171</v>
      </c>
      <c r="B12" s="32" t="s">
        <v>172</v>
      </c>
      <c r="C12" s="32" t="s">
        <v>91</v>
      </c>
      <c r="D12" s="33" t="n">
        <v>600</v>
      </c>
      <c r="E12" s="34" t="n">
        <v>2</v>
      </c>
      <c r="F12" s="35" t="n">
        <f aca="false">IF(E12=0,0,D12/E12)</f>
        <v>300</v>
      </c>
      <c r="G12" s="36" t="n">
        <f aca="false">F12*$B$3</f>
        <v>5550</v>
      </c>
      <c r="H12" s="31" t="s">
        <v>173</v>
      </c>
    </row>
    <row r="13" customFormat="false" ht="15" hidden="false" customHeight="false" outlineLevel="0" collapsed="false">
      <c r="A13" s="31" t="s">
        <v>174</v>
      </c>
      <c r="B13" s="32" t="s">
        <v>172</v>
      </c>
      <c r="C13" s="32" t="s">
        <v>91</v>
      </c>
      <c r="D13" s="35" t="n">
        <f aca="false">$B$5*$B$4*(1+$B$6)</f>
        <v>591.6</v>
      </c>
      <c r="E13" s="34" t="n">
        <v>2</v>
      </c>
      <c r="F13" s="35" t="n">
        <f aca="false">IF(E13=0,0,D13/E13)</f>
        <v>295.8</v>
      </c>
      <c r="G13" s="36" t="n">
        <f aca="false">F13*$B$3</f>
        <v>5472.3</v>
      </c>
      <c r="H13" s="31" t="s">
        <v>175</v>
      </c>
    </row>
    <row r="14" customFormat="false" ht="15" hidden="false" customHeight="false" outlineLevel="0" collapsed="false">
      <c r="A14" s="31" t="s">
        <v>176</v>
      </c>
      <c r="B14" s="32" t="s">
        <v>172</v>
      </c>
      <c r="C14" s="32" t="s">
        <v>91</v>
      </c>
      <c r="D14" s="33" t="n">
        <v>340</v>
      </c>
      <c r="E14" s="34" t="n">
        <v>2</v>
      </c>
      <c r="F14" s="35" t="n">
        <f aca="false">IF(E14=0,0,D14/E14)</f>
        <v>170</v>
      </c>
      <c r="G14" s="36" t="n">
        <f aca="false">F14*$B$3</f>
        <v>3145</v>
      </c>
      <c r="H14" s="31" t="s">
        <v>177</v>
      </c>
    </row>
    <row r="15" customFormat="false" ht="15" hidden="false" customHeight="false" outlineLevel="0" collapsed="false">
      <c r="A15" s="31" t="s">
        <v>123</v>
      </c>
      <c r="B15" s="32" t="s">
        <v>172</v>
      </c>
      <c r="C15" s="32" t="s">
        <v>91</v>
      </c>
      <c r="D15" s="33" t="n">
        <v>50</v>
      </c>
      <c r="E15" s="34" t="n">
        <v>2</v>
      </c>
      <c r="F15" s="35" t="n">
        <f aca="false">IF(E15=0,0,D15/E15)</f>
        <v>25</v>
      </c>
      <c r="G15" s="36" t="n">
        <f aca="false">F15*$B$3</f>
        <v>462.5</v>
      </c>
      <c r="H15" s="31"/>
    </row>
    <row r="16" customFormat="false" ht="15" hidden="false" customHeight="false" outlineLevel="0" collapsed="false">
      <c r="A16" s="31" t="s">
        <v>136</v>
      </c>
      <c r="B16" s="32" t="s">
        <v>172</v>
      </c>
      <c r="C16" s="32" t="s">
        <v>91</v>
      </c>
      <c r="D16" s="33" t="n">
        <v>72</v>
      </c>
      <c r="E16" s="34" t="n">
        <v>2</v>
      </c>
      <c r="F16" s="35" t="n">
        <f aca="false">IF(E16=0,0,D16/E16)</f>
        <v>36</v>
      </c>
      <c r="G16" s="36" t="n">
        <f aca="false">F16*$B$3</f>
        <v>666</v>
      </c>
      <c r="H16" s="31"/>
    </row>
    <row r="17" customFormat="false" ht="15" hidden="false" customHeight="false" outlineLevel="0" collapsed="false">
      <c r="A17" s="31" t="s">
        <v>133</v>
      </c>
      <c r="B17" s="32" t="s">
        <v>172</v>
      </c>
      <c r="C17" s="32" t="s">
        <v>91</v>
      </c>
      <c r="D17" s="33" t="n">
        <v>70</v>
      </c>
      <c r="E17" s="34" t="n">
        <v>2</v>
      </c>
      <c r="F17" s="35" t="n">
        <f aca="false">IF(E17=0,0,D17/E17)</f>
        <v>35</v>
      </c>
      <c r="G17" s="36" t="n">
        <f aca="false">F17*$B$3</f>
        <v>647.5</v>
      </c>
      <c r="H17" s="31"/>
    </row>
    <row r="18" customFormat="false" ht="15" hidden="false" customHeight="false" outlineLevel="0" collapsed="false">
      <c r="A18" s="31" t="s">
        <v>178</v>
      </c>
      <c r="B18" s="32" t="s">
        <v>172</v>
      </c>
      <c r="C18" s="32" t="s">
        <v>91</v>
      </c>
      <c r="D18" s="33" t="n">
        <v>60</v>
      </c>
      <c r="E18" s="34" t="n">
        <v>2</v>
      </c>
      <c r="F18" s="35" t="n">
        <f aca="false">IF(E18=0,0,D18/E18)</f>
        <v>30</v>
      </c>
      <c r="G18" s="36" t="n">
        <f aca="false">F18*$B$3</f>
        <v>555</v>
      </c>
      <c r="H18" s="31"/>
    </row>
    <row r="19" customFormat="false" ht="15" hidden="false" customHeight="false" outlineLevel="0" collapsed="false">
      <c r="A19" s="31" t="s">
        <v>179</v>
      </c>
      <c r="B19" s="32" t="s">
        <v>172</v>
      </c>
      <c r="C19" s="32" t="s">
        <v>91</v>
      </c>
      <c r="D19" s="33" t="n">
        <v>50</v>
      </c>
      <c r="E19" s="34" t="n">
        <v>2</v>
      </c>
      <c r="F19" s="35" t="n">
        <f aca="false">IF(E19=0,0,D19/E19)</f>
        <v>25</v>
      </c>
      <c r="G19" s="36" t="n">
        <f aca="false">F19*$B$3</f>
        <v>462.5</v>
      </c>
      <c r="H19" s="31"/>
    </row>
    <row r="20" customFormat="false" ht="15" hidden="false" customHeight="false" outlineLevel="0" collapsed="false">
      <c r="A20" s="31" t="s">
        <v>130</v>
      </c>
      <c r="B20" s="32" t="s">
        <v>172</v>
      </c>
      <c r="C20" s="32" t="s">
        <v>91</v>
      </c>
      <c r="D20" s="33" t="n">
        <v>100</v>
      </c>
      <c r="E20" s="34" t="n">
        <v>2</v>
      </c>
      <c r="F20" s="35" t="n">
        <f aca="false">IF(E20=0,0,D20/E20)</f>
        <v>50</v>
      </c>
      <c r="G20" s="36" t="n">
        <f aca="false">F20*$B$3</f>
        <v>925</v>
      </c>
      <c r="H20" s="31" t="s">
        <v>180</v>
      </c>
    </row>
    <row r="21" customFormat="false" ht="15" hidden="false" customHeight="false" outlineLevel="0" collapsed="false">
      <c r="A21" s="31" t="s">
        <v>181</v>
      </c>
      <c r="B21" s="32" t="s">
        <v>172</v>
      </c>
      <c r="C21" s="32" t="s">
        <v>91</v>
      </c>
      <c r="D21" s="33" t="n">
        <v>170</v>
      </c>
      <c r="E21" s="34" t="n">
        <v>2</v>
      </c>
      <c r="F21" s="35" t="n">
        <f aca="false">IF(E21=0,0,D21/E21)</f>
        <v>85</v>
      </c>
      <c r="G21" s="36" t="n">
        <f aca="false">F21*$B$3</f>
        <v>1572.5</v>
      </c>
      <c r="H21" s="31" t="s">
        <v>182</v>
      </c>
    </row>
    <row r="22" customFormat="false" ht="15" hidden="false" customHeight="false" outlineLevel="0" collapsed="false">
      <c r="A22" s="31" t="s">
        <v>183</v>
      </c>
      <c r="B22" s="32" t="s">
        <v>172</v>
      </c>
      <c r="C22" s="32" t="s">
        <v>91</v>
      </c>
      <c r="D22" s="33" t="n">
        <v>840</v>
      </c>
      <c r="E22" s="34" t="n">
        <v>2</v>
      </c>
      <c r="F22" s="35" t="n">
        <f aca="false">IF(E22=0,0,D22/E22)</f>
        <v>420</v>
      </c>
      <c r="G22" s="36" t="n">
        <f aca="false">F22*$B$3</f>
        <v>7770</v>
      </c>
      <c r="H22" s="31" t="s">
        <v>184</v>
      </c>
    </row>
    <row r="23" customFormat="false" ht="15" hidden="false" customHeight="false" outlineLevel="0" collapsed="false">
      <c r="A23" s="31" t="s">
        <v>185</v>
      </c>
      <c r="B23" s="32" t="s">
        <v>186</v>
      </c>
      <c r="C23" s="32" t="s">
        <v>91</v>
      </c>
      <c r="D23" s="33" t="n">
        <v>260</v>
      </c>
      <c r="E23" s="34" t="n">
        <v>2</v>
      </c>
      <c r="F23" s="35" t="n">
        <f aca="false">IF(E23=0,0,D23/E23)</f>
        <v>130</v>
      </c>
      <c r="G23" s="36" t="n">
        <f aca="false">F23*$B$3</f>
        <v>2405</v>
      </c>
      <c r="H23" s="31" t="s">
        <v>187</v>
      </c>
    </row>
    <row r="24" customFormat="false" ht="15" hidden="false" customHeight="false" outlineLevel="0" collapsed="false">
      <c r="A24" s="31" t="s">
        <v>188</v>
      </c>
      <c r="B24" s="32" t="s">
        <v>186</v>
      </c>
      <c r="C24" s="32" t="s">
        <v>91</v>
      </c>
      <c r="D24" s="33" t="n">
        <v>440</v>
      </c>
      <c r="E24" s="34" t="n">
        <v>2</v>
      </c>
      <c r="F24" s="35" t="n">
        <f aca="false">IF(E24=0,0,D24/E24)</f>
        <v>220</v>
      </c>
      <c r="G24" s="36" t="n">
        <f aca="false">F24*$B$3</f>
        <v>4070</v>
      </c>
      <c r="H24" s="31" t="s">
        <v>189</v>
      </c>
    </row>
    <row r="25" customFormat="false" ht="15" hidden="false" customHeight="false" outlineLevel="0" collapsed="false">
      <c r="A25" s="31" t="s">
        <v>190</v>
      </c>
      <c r="B25" s="32" t="s">
        <v>186</v>
      </c>
      <c r="C25" s="32" t="s">
        <v>98</v>
      </c>
      <c r="D25" s="33" t="n">
        <v>750</v>
      </c>
      <c r="E25" s="34" t="n">
        <v>2</v>
      </c>
      <c r="F25" s="35" t="n">
        <f aca="false">IF(E25=0,0,D25/E25)</f>
        <v>375</v>
      </c>
      <c r="G25" s="36" t="n">
        <f aca="false">F25*$B$3</f>
        <v>6937.5</v>
      </c>
      <c r="H25" s="31" t="s">
        <v>191</v>
      </c>
    </row>
    <row r="26" customFormat="false" ht="15" hidden="false" customHeight="false" outlineLevel="0" collapsed="false">
      <c r="A26" s="31" t="s">
        <v>192</v>
      </c>
      <c r="B26" s="32" t="s">
        <v>186</v>
      </c>
      <c r="C26" s="32" t="s">
        <v>101</v>
      </c>
      <c r="D26" s="35" t="n">
        <f aca="false">$B$7*$B$8*(1+$B$9)</f>
        <v>371.25</v>
      </c>
      <c r="E26" s="34" t="n">
        <v>4</v>
      </c>
      <c r="F26" s="35" t="n">
        <f aca="false">IF(E26=0,0,D26/E26)</f>
        <v>92.8125</v>
      </c>
      <c r="G26" s="36" t="n">
        <f aca="false">F26*$B$3</f>
        <v>1717.03125</v>
      </c>
      <c r="H26" s="31" t="s">
        <v>175</v>
      </c>
    </row>
    <row r="27" customFormat="false" ht="15" hidden="false" customHeight="false" outlineLevel="0" collapsed="false">
      <c r="A27" s="31" t="s">
        <v>193</v>
      </c>
      <c r="B27" s="32" t="s">
        <v>186</v>
      </c>
      <c r="C27" s="32" t="s">
        <v>101</v>
      </c>
      <c r="D27" s="33" t="n">
        <v>350</v>
      </c>
      <c r="E27" s="34" t="n">
        <v>4</v>
      </c>
      <c r="F27" s="35" t="n">
        <f aca="false">IF(E27=0,0,D27/E27)</f>
        <v>87.5</v>
      </c>
      <c r="G27" s="36" t="n">
        <f aca="false">F27*$B$3</f>
        <v>1618.75</v>
      </c>
      <c r="H27" s="31" t="s">
        <v>157</v>
      </c>
    </row>
    <row r="28" customFormat="false" ht="15" hidden="false" customHeight="false" outlineLevel="0" collapsed="false">
      <c r="A28" s="31" t="s">
        <v>194</v>
      </c>
      <c r="B28" s="32" t="s">
        <v>186</v>
      </c>
      <c r="C28" s="32" t="s">
        <v>101</v>
      </c>
      <c r="D28" s="33" t="n">
        <v>70</v>
      </c>
      <c r="E28" s="34" t="n">
        <v>4</v>
      </c>
      <c r="F28" s="35" t="n">
        <f aca="false">IF(E28=0,0,D28/E28)</f>
        <v>17.5</v>
      </c>
      <c r="G28" s="36" t="n">
        <f aca="false">F28*$B$3</f>
        <v>323.75</v>
      </c>
      <c r="H28" s="31" t="s">
        <v>195</v>
      </c>
    </row>
    <row r="29" customFormat="false" ht="15" hidden="false" customHeight="false" outlineLevel="0" collapsed="false">
      <c r="A29" s="31" t="s">
        <v>196</v>
      </c>
      <c r="B29" s="32" t="s">
        <v>186</v>
      </c>
      <c r="C29" s="32" t="s">
        <v>101</v>
      </c>
      <c r="D29" s="33" t="n">
        <v>720</v>
      </c>
      <c r="E29" s="34" t="n">
        <v>4</v>
      </c>
      <c r="F29" s="35" t="n">
        <f aca="false">IF(E29=0,0,D29/E29)</f>
        <v>180</v>
      </c>
      <c r="G29" s="36" t="n">
        <f aca="false">F29*$B$3</f>
        <v>3330</v>
      </c>
      <c r="H29" s="31" t="s">
        <v>197</v>
      </c>
    </row>
    <row r="30" customFormat="false" ht="15" hidden="false" customHeight="false" outlineLevel="0" collapsed="false">
      <c r="A30" s="31" t="s">
        <v>198</v>
      </c>
      <c r="B30" s="32" t="s">
        <v>186</v>
      </c>
      <c r="C30" s="32" t="s">
        <v>101</v>
      </c>
      <c r="D30" s="33" t="n">
        <v>680</v>
      </c>
      <c r="E30" s="34" t="n">
        <v>4</v>
      </c>
      <c r="F30" s="35" t="n">
        <f aca="false">IF(E30=0,0,D30/E30)</f>
        <v>170</v>
      </c>
      <c r="G30" s="36" t="n">
        <f aca="false">F30*$B$3</f>
        <v>3145</v>
      </c>
      <c r="H30" s="31" t="s">
        <v>199</v>
      </c>
    </row>
    <row r="31" customFormat="false" ht="15" hidden="false" customHeight="false" outlineLevel="0" collapsed="false">
      <c r="A31" s="31" t="s">
        <v>200</v>
      </c>
      <c r="B31" s="32" t="s">
        <v>186</v>
      </c>
      <c r="C31" s="32" t="s">
        <v>101</v>
      </c>
      <c r="D31" s="33" t="n">
        <v>88</v>
      </c>
      <c r="E31" s="34" t="n">
        <v>4</v>
      </c>
      <c r="F31" s="35" t="n">
        <f aca="false">IF(E31=0,0,D31/E31)</f>
        <v>22</v>
      </c>
      <c r="G31" s="36" t="n">
        <f aca="false">F31*$B$3</f>
        <v>407</v>
      </c>
      <c r="H31" s="31" t="s">
        <v>201</v>
      </c>
    </row>
    <row r="32" customFormat="false" ht="15" hidden="false" customHeight="false" outlineLevel="0" collapsed="false">
      <c r="A32" s="31" t="s">
        <v>202</v>
      </c>
      <c r="B32" s="32" t="s">
        <v>186</v>
      </c>
      <c r="C32" s="32" t="s">
        <v>101</v>
      </c>
      <c r="D32" s="33" t="n">
        <v>100</v>
      </c>
      <c r="E32" s="34" t="n">
        <v>4</v>
      </c>
      <c r="F32" s="35" t="n">
        <f aca="false">IF(E32=0,0,D32/E32)</f>
        <v>25</v>
      </c>
      <c r="G32" s="36" t="n">
        <f aca="false">F32*$B$3</f>
        <v>462.5</v>
      </c>
      <c r="H32" s="31" t="s">
        <v>157</v>
      </c>
    </row>
    <row r="33" customFormat="false" ht="15" hidden="false" customHeight="false" outlineLevel="0" collapsed="false">
      <c r="A33" s="31" t="s">
        <v>203</v>
      </c>
      <c r="B33" s="32" t="s">
        <v>186</v>
      </c>
      <c r="C33" s="32" t="s">
        <v>101</v>
      </c>
      <c r="D33" s="33" t="n">
        <v>1200</v>
      </c>
      <c r="E33" s="34" t="n">
        <v>4</v>
      </c>
      <c r="F33" s="35" t="n">
        <f aca="false">IF(E33=0,0,D33/E33)</f>
        <v>300</v>
      </c>
      <c r="G33" s="36" t="n">
        <f aca="false">F33*$B$3</f>
        <v>5550</v>
      </c>
      <c r="H33" s="31" t="s">
        <v>204</v>
      </c>
    </row>
    <row r="35" customFormat="false" ht="15" hidden="false" customHeight="false" outlineLevel="0" collapsed="false">
      <c r="A35" s="37" t="s">
        <v>205</v>
      </c>
      <c r="B35" s="38"/>
      <c r="C35" s="38"/>
      <c r="D35" s="38"/>
      <c r="E35" s="38"/>
      <c r="F35" s="39" t="n">
        <f aca="false">SUMIFS(F12:F33,C12:C33,"Las 4")+SUMIFS(F12:F33,C12:C33,"2 de NOLA")</f>
        <v>2716.6125</v>
      </c>
      <c r="G35" s="40" t="n">
        <f aca="false">F35*$B$3</f>
        <v>50257.33125</v>
      </c>
      <c r="H35" s="38"/>
    </row>
    <row r="36" customFormat="false" ht="15" hidden="false" customHeight="false" outlineLevel="0" collapsed="false">
      <c r="A36" s="37" t="s">
        <v>206</v>
      </c>
      <c r="B36" s="38"/>
      <c r="C36" s="38"/>
      <c r="D36" s="38"/>
      <c r="E36" s="38"/>
      <c r="F36" s="39" t="n">
        <f aca="false">SUMIFS(F12:F33,C12:C33,"Las 4")+SUMIFS(F12:F33,C12:C33,"2 solo Orlando")</f>
        <v>1269.8125</v>
      </c>
      <c r="G36" s="40" t="n">
        <f aca="false">F36*$B$3</f>
        <v>23491.53125</v>
      </c>
      <c r="H36" s="38"/>
    </row>
    <row r="37" customFormat="false" ht="15" hidden="false" customHeight="false" outlineLevel="0" collapsed="false">
      <c r="A37" s="37" t="s">
        <v>207</v>
      </c>
      <c r="B37" s="38"/>
      <c r="C37" s="38"/>
      <c r="D37" s="39" t="n">
        <f aca="false">SUM(D12:D33)</f>
        <v>7972.85</v>
      </c>
      <c r="E37" s="38"/>
      <c r="F37" s="38"/>
      <c r="G37" s="40" t="n">
        <f aca="false">D37*$B$3</f>
        <v>147497.725</v>
      </c>
      <c r="H37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2026-10-23T21:09:28Z</dcterms:created>
  <dc:creator>openpyxl</dc:creator>
  <dc:description/>
  <dc:language>en-US</dc:language>
  <cp:lastModifiedBy/>
  <dcterms:modified xsi:type="dcterms:W3CDTF">2026-10-23T21:09:28Z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