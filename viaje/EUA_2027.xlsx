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ción A 19-28 ene" sheetId="1" state="visible" r:id="rId3"/>
    <sheet name="Opción B 26 ene-4 feb" sheetId="2" state="visible" r:id="rId4"/>
    <sheet name="Presupuest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<sst xmlns="http://schemas.openxmlformats.org/spreadsheetml/2006/main" count="343" uniqueCount="183">
  <si>
    <t xml:space="preserve">Orlando (4 personas)</t>
  </si>
  <si>
    <t xml:space="preserve">Orlando → Nueva Orleans</t>
  </si>
  <si>
    <t xml:space="preserve">Nueva Orleans (2 personas)</t>
  </si>
  <si>
    <t xml:space="preserve">Horario</t>
  </si>
  <si>
    <t xml:space="preserve">Martes 19 ene</t>
  </si>
  <si>
    <t xml:space="preserve">Miércoles 20 ene</t>
  </si>
  <si>
    <t xml:space="preserve">Jueves 21 ene</t>
  </si>
  <si>
    <t xml:space="preserve">Viernes 22 ene</t>
  </si>
  <si>
    <t xml:space="preserve">Sábado 23 ene</t>
  </si>
  <si>
    <t xml:space="preserve">Domingo 24 ene</t>
  </si>
  <si>
    <t xml:space="preserve">Lunes 25 ene</t>
  </si>
  <si>
    <t xml:space="preserve">Martes 26 ene</t>
  </si>
  <si>
    <t xml:space="preserve">Miércoles 27 ene</t>
  </si>
  <si>
    <t xml:space="preserve">Jueves 28 ene</t>
  </si>
  <si>
    <t xml:space="preserve">Ramada Gateway (hotel de Slim, el más barato) – 7470 W Irlo Bronson Memorial Hwy, Kissimmee, FL
Desde ~US$48/noche + US$18 cuota diaria + impuestos · transporte gratis a parques (horario limitado)</t>
  </si>
  <si>
    <t xml:space="preserve">Historic Mardi Gras Inn (el más barato del Marigny) – 2311 N Rampart St
Respaldo: The Frenchmen Hotel, 417 Frenchmen St
Arranque del Carnaval: precios normales</t>
  </si>
  <si>
    <t xml:space="preserve">Entregar auto en MCO</t>
  </si>
  <si>
    <t xml:space="preserve">⚠ POR DECIDIR CON EL GRUPO
OPCIÓN 1: UNIVERSAL EPIC UNIVERSE
Harry Potter: Ministerio de Magia, Super Nintendo World, How to Train Your Dragon, Dark Universe
OPCIÓN 2: ISLANDS OF ADVENTURE (más barato)
VelociCoaster, Hagrid's, Spider-Man
Llegar 45 min antes de abrir</t>
  </si>
  <si>
    <t xml:space="preserve">⚠ POR DECIDIR CON EL GRUPO
OPCIÓN 1: MAGIC KINGDOM (el clásico)
TRON, Seven Dwarfs, Space Mountain, Tiana's Bayou Adventure, Haunted Mansion, Pirates
OPCIÓN 2: EPCOT (más adulto)
Festival of the Arts: comida y bebidas por país, conciertos de Broadway incluidos
Llegar antes de abrir</t>
  </si>
  <si>
    <t xml:space="preserve">Manejo a Dunedin (~2 h)</t>
  </si>
  <si>
    <t xml:space="preserve">✈ CDMX → Orlando (MCO)
Volaris / Aeroméxico directo ~3 h
(horario y clave por reservar)</t>
  </si>
  <si>
    <t xml:space="preserve">✈ MCO → Nueva Orleans (MSY)
Southwest / Frontier directo ~1 h 53 min
✈ Los otros 2: MCO → CDMX (Volaris / Aeroméxico)</t>
  </si>
  <si>
    <t xml:space="preserve">Beignets en Café du Monde</t>
  </si>
  <si>
    <t xml:space="preserve">TOUR PANTANO + PLANTACIÓN (con transporte)
Lancha por el pantano con caimanes
Whitney Plantation (historia de la esclavitud)</t>
  </si>
  <si>
    <t xml:space="preserve">Desayuno + empacar</t>
  </si>
  <si>
    <t xml:space="preserve">Honeymoon Island State Park
(US$8 por auto)</t>
  </si>
  <si>
    <t xml:space="preserve">🎭 MARDI GRAS WORLD
Taller de carros alegóricos del Carnaval</t>
  </si>
  <si>
    <t xml:space="preserve">NATIONAL WWII MUSEUM</t>
  </si>
  <si>
    <t xml:space="preserve">🏝 CALADESI ISLAND
Ferry desde Honeymoon Island (US$20 p/p, primera salida 10:00)
Isla virgen, de las mejores playas de EUA</t>
  </si>
  <si>
    <t xml:space="preserve">FRENCH QUARTER
Jackson Square, Catedral de San Luis, Pirate's Alley, Royal Street, French Market</t>
  </si>
  <si>
    <t xml:space="preserve">Uber a MSY</t>
  </si>
  <si>
    <t xml:space="preserve">Uber al Marigny (~30 min)</t>
  </si>
  <si>
    <t xml:space="preserve">Recoger auto en MCO
Check-in hotel</t>
  </si>
  <si>
    <t xml:space="preserve">Check-in + comida (po'boy)</t>
  </si>
  <si>
    <t xml:space="preserve">Comida</t>
  </si>
  <si>
    <t xml:space="preserve">✈ Nueva Orleans (MSY) → CDMX
Con escala (Houston / Dallas / Atlanta)
(por reservar)</t>
  </si>
  <si>
    <t xml:space="preserve">🎺 Second line dominical (desfile de barrio con banda)
Ver horario en WWOZ "Take It to the Streets"</t>
  </si>
  <si>
    <t xml:space="preserve">Tranvía de St. Charles → GARDEN DISTRICT
Mansiones, Lafayette Cemetery No. 1 (tour guiado, reabrió oct 2026), Magazine Street</t>
  </si>
  <si>
    <t xml:space="preserve">Po'boy: Parkway Bakery</t>
  </si>
  <si>
    <t xml:space="preserve">Comida: Frenchy's (Clearwater)</t>
  </si>
  <si>
    <t xml:space="preserve">Paseo Marigny y Bywater: casitas de colores, murales, Crescent Park</t>
  </si>
  <si>
    <t xml:space="preserve">TREMÉ: Congo Square, Louis Armstrong Park, Backstreet Cultural Museum (trajes de Mardi Gras Indians)</t>
  </si>
  <si>
    <t xml:space="preserve">Orlando Vineland Premium Outlets
(compras)</t>
  </si>
  <si>
    <t xml:space="preserve">🏝 CLEARWATER BEACH
Arena blanca, malecón, bares de playa</t>
  </si>
  <si>
    <t xml:space="preserve">Cena: gumbo / jambalaya</t>
  </si>
  <si>
    <t xml:space="preserve">Cena: red beans &amp; rice (tradición de lunes)</t>
  </si>
  <si>
    <t xml:space="preserve">Cena</t>
  </si>
  <si>
    <t xml:space="preserve">🎭 King cake + cena: ostiones asados en Drago's</t>
  </si>
  <si>
    <t xml:space="preserve">Disney Springs: entrada y estacionamiento gratis, tiendas, bares, cena</t>
  </si>
  <si>
    <t xml:space="preserve">Atardecer en Pier 60 (festival diario al atardecer)</t>
  </si>
  <si>
    <t xml:space="preserve">🎭 KREWE DU VIEUX
Desfile satírico y adulto por el Marigny
(fecha tentativa: confirmar en dic.)</t>
  </si>
  <si>
    <t xml:space="preserve">Regreso a Kissimmee (~1.5 h)</t>
  </si>
  <si>
    <t xml:space="preserve">Bourbon Street
Lafitte's Blacksmith Shop
🏳️‍🌈 Café Lafitte in Exile, Oz, Bourbon Pub &amp; Parade</t>
  </si>
  <si>
    <t xml:space="preserve">Tour de fantasmas y vudú (French Quarter)</t>
  </si>
  <si>
    <t xml:space="preserve">Concierto en Preservation Hall</t>
  </si>
  <si>
    <t xml:space="preserve">Bacchanal Wine (Bywater): vino y música en vivo en el patio
Despedida</t>
  </si>
  <si>
    <t xml:space="preserve">Universal CityWalk: bares y cena</t>
  </si>
  <si>
    <t xml:space="preserve">Empacar</t>
  </si>
  <si>
    <t xml:space="preserve">Frenchmen Street: jazz en vivo
The Spotted Cat, d.b.a., Blue Nile
Frenchmen Art Market</t>
  </si>
  <si>
    <t xml:space="preserve">Frenchmen Street</t>
  </si>
  <si>
    <t xml:space="preserve">Bares del French Quarter</t>
  </si>
  <si>
    <t xml:space="preserve">Fuegos artificiales</t>
  </si>
  <si>
    <t xml:space="preserve">Colores</t>
  </si>
  <si>
    <t xml:space="preserve">Vuelo</t>
  </si>
  <si>
    <t xml:space="preserve">Traslado</t>
  </si>
  <si>
    <t xml:space="preserve">Parque</t>
  </si>
  <si>
    <t xml:space="preserve">Playa</t>
  </si>
  <si>
    <t xml:space="preserve">Tour / museo</t>
  </si>
  <si>
    <t xml:space="preserve">Carnaval</t>
  </si>
  <si>
    <t xml:space="preserve">Noche</t>
  </si>
  <si>
    <t xml:space="preserve">Paseo</t>
  </si>
  <si>
    <t xml:space="preserve">Borde rojo = por decidir con el grupo</t>
  </si>
  <si>
    <t xml:space="preserve">Links</t>
  </si>
  <si>
    <t xml:space="preserve">Vuelos</t>
  </si>
  <si>
    <t xml:space="preserve">Volaris</t>
  </si>
  <si>
    <t xml:space="preserve">https://www.volaris.com</t>
  </si>
  <si>
    <t xml:space="preserve">Aeroméxico</t>
  </si>
  <si>
    <t xml:space="preserve">https://www.aeromexico.com</t>
  </si>
  <si>
    <t xml:space="preserve">Southwest (MCO → MSY)</t>
  </si>
  <si>
    <t xml:space="preserve">https://www.southwest.com</t>
  </si>
  <si>
    <t xml:space="preserve">Hotel</t>
  </si>
  <si>
    <t xml:space="preserve">Ramada Gateway Kissimmee</t>
  </si>
  <si>
    <t xml:space="preserve">https://www.wyndhamhotels.com/ramada/kissimmee-florida/ramada-gateway/overview</t>
  </si>
  <si>
    <t xml:space="preserve">Historic Mardi Gras Inn (buscar en Booking / Expedia)</t>
  </si>
  <si>
    <t xml:space="preserve">https://www.booking.com</t>
  </si>
  <si>
    <t xml:space="preserve">Parques</t>
  </si>
  <si>
    <t xml:space="preserve">Walt Disney World</t>
  </si>
  <si>
    <t xml:space="preserve">https://disneyworld.disney.go.com/es-us/</t>
  </si>
  <si>
    <t xml:space="preserve">Universal Orlando / Epic Universe</t>
  </si>
  <si>
    <t xml:space="preserve">https://www.universalorlando.com</t>
  </si>
  <si>
    <t xml:space="preserve">Caladesi Island – horarios y precios</t>
  </si>
  <si>
    <t xml:space="preserve">https://www.floridastateparks.org/parks-and-trails/caladesi-island-state-park/hours-fees</t>
  </si>
  <si>
    <t xml:space="preserve">Calendario de desfiles</t>
  </si>
  <si>
    <t xml:space="preserve">https://www.mardigrasneworleans.com</t>
  </si>
  <si>
    <t xml:space="preserve">Krewe du Vieux</t>
  </si>
  <si>
    <t xml:space="preserve">https://www.kreweduvieux.org</t>
  </si>
  <si>
    <t xml:space="preserve">WWOZ – second lines de cada domingo</t>
  </si>
  <si>
    <t xml:space="preserve">https://www.wwoz.org/calendar/second-lines</t>
  </si>
  <si>
    <t xml:space="preserve">Mardi Gras World</t>
  </si>
  <si>
    <t xml:space="preserve">https://www.mardigrasworld.com</t>
  </si>
  <si>
    <t xml:space="preserve">Tour</t>
  </si>
  <si>
    <t xml:space="preserve">Whitney Plantation</t>
  </si>
  <si>
    <t xml:space="preserve">https://www.whitneyplantation.org</t>
  </si>
  <si>
    <t xml:space="preserve">Save Our Cemeteries (Lafayette No. 1)</t>
  </si>
  <si>
    <t xml:space="preserve">https://www.saveourcemeteries.org</t>
  </si>
  <si>
    <t xml:space="preserve">Música</t>
  </si>
  <si>
    <t xml:space="preserve">Preservation Hall</t>
  </si>
  <si>
    <t xml:space="preserve">https://www.preservationhall.com</t>
  </si>
  <si>
    <t xml:space="preserve">Museo</t>
  </si>
  <si>
    <t xml:space="preserve">National WWII Museum</t>
  </si>
  <si>
    <t xml:space="preserve">https://www.nationalww2museum.org</t>
  </si>
  <si>
    <t xml:space="preserve">Viernes 29 ene</t>
  </si>
  <si>
    <t xml:space="preserve">Sábado 30 ene</t>
  </si>
  <si>
    <t xml:space="preserve">Domingo 31 ene</t>
  </si>
  <si>
    <t xml:space="preserve">Lunes 1 feb</t>
  </si>
  <si>
    <t xml:space="preserve">Martes 2 feb</t>
  </si>
  <si>
    <t xml:space="preserve">Miércoles 3 feb</t>
  </si>
  <si>
    <t xml:space="preserve">Jueves 4 feb</t>
  </si>
  <si>
    <t xml:space="preserve">Historic Mardi Gras Inn (el más barato del Marigny) – 2311 N Rampart St
Respaldo: The Frenchmen Hotel, 417 Frenchmen St
⚠ Primer fin de semana grande de desfiles: el hotel sube de precio, reservar YA</t>
  </si>
  <si>
    <t xml:space="preserve">✈ Nueva Orleans (MSY) → CDMX
Con escala (Houston / Dallas / Atlanta)
(por reservar)
💡 Si se quedan al viernes 5: el jueves en la noche desfila Muses, de los más famosos (confirmar)</t>
  </si>
  <si>
    <t xml:space="preserve">🎭 DESFILES DE DOMINGO
St. Charles Ave
(si no hay, second line dominical: ver WWOZ)</t>
  </si>
  <si>
    <t xml:space="preserve">🎭 King cake</t>
  </si>
  <si>
    <t xml:space="preserve">🎭 DESFILES DE SÁBADO EN LA NOCHE
Ruta Uptown / St. Charles Ave
(primer fin de semana grande; programa oficial sale en dic–ene)</t>
  </si>
  <si>
    <t xml:space="preserve">🎭 DESFILE DE MIÉRCOLES EN LA NOCHE
St. Charles Ave (tentativo, confirmar programa)</t>
  </si>
  <si>
    <t xml:space="preserve">Bacchanal Wine (Bywater) o Frenchmen
Despedida</t>
  </si>
  <si>
    <t xml:space="preserve">Presupuesto estimado (USD)</t>
  </si>
  <si>
    <t xml:space="preserve">Texto azul = estimación editable; pon el precio real al reservar. Negro = fórmula. Amarillo = elige aquí.</t>
  </si>
  <si>
    <t xml:space="preserve">Tipo de cambio MXN/USD</t>
  </si>
  <si>
    <t xml:space="preserve">Opción de fechas (A o B)</t>
  </si>
  <si>
    <t xml:space="preserve">A</t>
  </si>
  <si>
    <t xml:space="preserve">Hotel NOLA por noche – Opción A (USD)</t>
  </si>
  <si>
    <t xml:space="preserve">Mardi Gras Inn desde ~US$74 (dato de 2025)</t>
  </si>
  <si>
    <t xml:space="preserve">Hotel NOLA por noche – Opción B (USD)</t>
  </si>
  <si>
    <t xml:space="preserve">Estimado: en semana de desfiles suben los precios</t>
  </si>
  <si>
    <t xml:space="preserve">Impuesto hotel NOLA</t>
  </si>
  <si>
    <t xml:space="preserve">Concepto</t>
  </si>
  <si>
    <t xml:space="preserve">Ciudad</t>
  </si>
  <si>
    <t xml:space="preserve">Quiénes pagan</t>
  </si>
  <si>
    <t xml:space="preserve">Costo total USD</t>
  </si>
  <si>
    <t xml:space="preserve">Personas</t>
  </si>
  <si>
    <t xml:space="preserve">Por persona USD</t>
  </si>
  <si>
    <t xml:space="preserve">Por persona MXN</t>
  </si>
  <si>
    <t xml:space="preserve">Notas</t>
  </si>
  <si>
    <t xml:space="preserve">Vuelo CDMX ↔ Orlando (redondo)</t>
  </si>
  <si>
    <t xml:space="preserve">Orlando</t>
  </si>
  <si>
    <t xml:space="preserve">Los 2 que regresan</t>
  </si>
  <si>
    <t xml:space="preserve">Volaris directo, ref. ~MXN 6,900 redondo por persona (Despegar)</t>
  </si>
  <si>
    <t xml:space="preserve">Vuelo CDMX → Orlando (sencillo)</t>
  </si>
  <si>
    <t xml:space="preserve">Los 2 de NOLA</t>
  </si>
  <si>
    <t xml:space="preserve">Estimado; comparar boleto multidestino</t>
  </si>
  <si>
    <t xml:space="preserve">Hotel Orlando 4 noches – Ramada Gateway</t>
  </si>
  <si>
    <t xml:space="preserve">Los 4</t>
  </si>
  <si>
    <t xml:space="preserve">Desde ~US$48 + US$18 cuota diaria + impuestos</t>
  </si>
  <si>
    <t xml:space="preserve">Renta de auto 4 días + gasolina + casetas</t>
  </si>
  <si>
    <t xml:space="preserve">Estimado</t>
  </si>
  <si>
    <t xml:space="preserve">Estacionamiento parques (2 días)</t>
  </si>
  <si>
    <t xml:space="preserve">~US$30–35 por día</t>
  </si>
  <si>
    <t xml:space="preserve">Parque día 1 (Epic Universe u Islands of Adventure)</t>
  </si>
  <si>
    <t xml:space="preserve">~US$180 p/p Epic; ene 2026 fue US$164–194. Islands suele ser más barato</t>
  </si>
  <si>
    <t xml:space="preserve">Parque día 2 (Magic Kingdom o EPCOT)</t>
  </si>
  <si>
    <t xml:space="preserve">~US$170 p/p, varía por fecha</t>
  </si>
  <si>
    <t xml:space="preserve">Playa: Honeymoon Island + ferry Caladesi</t>
  </si>
  <si>
    <t xml:space="preserve">US$8 por auto + US$20 p/p ferry</t>
  </si>
  <si>
    <t xml:space="preserve">Comida Orlando (4 días)</t>
  </si>
  <si>
    <t xml:space="preserve">~US$60 por persona al día</t>
  </si>
  <si>
    <t xml:space="preserve">Vuelo Orlando → Nueva Orleans</t>
  </si>
  <si>
    <t xml:space="preserve">Nueva Orleans</t>
  </si>
  <si>
    <t xml:space="preserve">Southwest desde ~US$112 + maleta</t>
  </si>
  <si>
    <t xml:space="preserve">Hotel Nueva Orleans 5 noches – Mardi Gras Inn</t>
  </si>
  <si>
    <t xml:space="preserve">Fórmula: noches × precio de la opción elegida × impuesto</t>
  </si>
  <si>
    <t xml:space="preserve">Tour pantano + Whitney Plantation</t>
  </si>
  <si>
    <t xml:space="preserve">~US$170 por persona con transporte</t>
  </si>
  <si>
    <t xml:space="preserve">Tour de fantasmas / vudú</t>
  </si>
  <si>
    <t xml:space="preserve">Tour Lafayette Cemetery No. 1</t>
  </si>
  <si>
    <t xml:space="preserve">Uber + tranvía</t>
  </si>
  <si>
    <t xml:space="preserve">Pase de tranvía de un día ~US$3</t>
  </si>
  <si>
    <t xml:space="preserve">Comida Nueva Orleans (5 días)</t>
  </si>
  <si>
    <t xml:space="preserve">~US$70 por persona al día</t>
  </si>
  <si>
    <t xml:space="preserve">Vuelo Nueva Orleans → CDMX</t>
  </si>
  <si>
    <t xml:space="preserve">Con escala, ~US$350 por persona (estimado)</t>
  </si>
  <si>
    <t xml:space="preserve">Total por persona – viaje completo (los 2 de NOLA)</t>
  </si>
  <si>
    <t xml:space="preserve">Total por persona – solo Orlando (los 2 que regresan)</t>
  </si>
  <si>
    <t xml:space="preserve">Gasto total del grupo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</si>
</sst>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h:mm"/>
    <numFmt numFmtId="166" formatCode="0.00"/>
    <numFmt numFmtId="167" formatCode="@"/>
    <numFmt numFmtId="168" formatCode="\$#,##0"/>
    <numFmt numFmtId="169" formatCode="0%"/>
    <numFmt numFmtId="170" formatCode="\$#,##0;&quot;($&quot;#,##0\);\-"/>
    <numFmt numFmtId="171" formatCode="&quot;MXN &quot;#,##0;&quot;(MXN &quot;#,##0\);\-"/>
    <numFmt numFmtId="172" formatCode="&quot;MXN &quot;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990000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B6D7A8"/>
        <bgColor rgb="FFA4E5E0"/>
      </patternFill>
    </fill>
    <fill>
      <patternFill patternType="solid">
        <fgColor rgb="FFB4A7D6"/>
        <bgColor rgb="FFD9B3FF"/>
      </patternFill>
    </fill>
    <fill>
      <patternFill patternType="solid">
        <fgColor rgb="FFD9D9D9"/>
        <bgColor rgb="FFEAD1DC"/>
      </patternFill>
    </fill>
    <fill>
      <patternFill patternType="solid">
        <fgColor rgb="FFFFE599"/>
        <bgColor rgb="FFFCE5CD"/>
      </patternFill>
    </fill>
    <fill>
      <patternFill patternType="solid">
        <fgColor rgb="FF9FC5E8"/>
        <bgColor rgb="FFA4E5E0"/>
      </patternFill>
    </fill>
    <fill>
      <patternFill patternType="solid">
        <fgColor rgb="FFFCE5CD"/>
        <bgColor rgb="FFF3F3F3"/>
      </patternFill>
    </fill>
    <fill>
      <patternFill patternType="solid">
        <fgColor rgb="FFA4E5E0"/>
        <bgColor rgb="FFB6D7A8"/>
      </patternFill>
    </fill>
    <fill>
      <patternFill patternType="solid">
        <fgColor rgb="FFD9B3FF"/>
        <bgColor rgb="FFB4A7D6"/>
      </patternFill>
    </fill>
    <fill>
      <patternFill patternType="solid">
        <fgColor rgb="FFFFFFFF"/>
        <bgColor rgb="FFF3F3F3"/>
      </patternFill>
    </fill>
    <fill>
      <patternFill patternType="solid">
        <fgColor rgb="FFEAD1DC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333300"/>
      </patternFill>
    </fill>
    <fill>
      <patternFill patternType="solid">
        <fgColor rgb="FFF3F3F3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CC0000"/>
      </left>
      <right style="medium">
        <color rgb="FFCC0000"/>
      </right>
      <top style="medium">
        <color rgb="FFCC0000"/>
      </top>
      <bottom style="medium">
        <color rgb="FFCC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B6D7A8"/>
      <rgbColor rgb="FF808080"/>
      <rgbColor rgb="FFB4A7D6"/>
      <rgbColor rgb="FF993366"/>
      <rgbColor rgb="FFF3F3F3"/>
      <rgbColor rgb="FFEAD1DC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4E5E0"/>
      <rgbColor rgb="FFFCE5CD"/>
      <rgbColor rgb="FF9FC5E8"/>
      <rgbColor rgb="FFFF99CC"/>
      <rgbColor rgb="FFD9B3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volaris.com/" TargetMode="External"/><Relationship Id="rId2" Type="http://schemas.openxmlformats.org/officeDocument/2006/relationships/hyperlink" Target="https://www.aeromexico.com/" TargetMode="External"/><Relationship Id="rId3" Type="http://schemas.openxmlformats.org/officeDocument/2006/relationships/hyperlink" Target="https://www.southwest.com/" TargetMode="External"/><Relationship Id="rId4" Type="http://schemas.openxmlformats.org/officeDocument/2006/relationships/hyperlink" Target="https://www.wyndhamhotels.com/ramada/kissimmee-florida/ramada-gateway/overview" TargetMode="External"/><Relationship Id="rId5" Type="http://schemas.openxmlformats.org/officeDocument/2006/relationships/hyperlink" Target="https://www.booking.com/" TargetMode="External"/><Relationship Id="rId6" Type="http://schemas.openxmlformats.org/officeDocument/2006/relationships/hyperlink" Target="https://disneyworld.disney.go.com/es-us/" TargetMode="External"/><Relationship Id="rId7" Type="http://schemas.openxmlformats.org/officeDocument/2006/relationships/hyperlink" Target="https://www.universalorlando.com/" TargetMode="External"/><Relationship Id="rId8" Type="http://schemas.openxmlformats.org/officeDocument/2006/relationships/hyperlink" Target="https://www.floridastateparks.org/parks-and-trails/caladesi-island-state-park/hours-fees" TargetMode="External"/><Relationship Id="rId9" Type="http://schemas.openxmlformats.org/officeDocument/2006/relationships/hyperlink" Target="https://www.mardigrasneworleans.com/" TargetMode="External"/><Relationship Id="rId10" Type="http://schemas.openxmlformats.org/officeDocument/2006/relationships/hyperlink" Target="https://www.kreweduvieux.org/" TargetMode="External"/><Relationship Id="rId11" Type="http://schemas.openxmlformats.org/officeDocument/2006/relationships/hyperlink" Target="https://www.wwoz.org/calendar/second-lines" TargetMode="External"/><Relationship Id="rId12" Type="http://schemas.openxmlformats.org/officeDocument/2006/relationships/hyperlink" Target="https://www.mardigrasworld.com/" TargetMode="External"/><Relationship Id="rId13" Type="http://schemas.openxmlformats.org/officeDocument/2006/relationships/hyperlink" Target="https://www.whitneyplantation.org/" TargetMode="External"/><Relationship Id="rId14" Type="http://schemas.openxmlformats.org/officeDocument/2006/relationships/hyperlink" Target="https://www.saveourcemeteries.org/" TargetMode="External"/><Relationship Id="rId15" Type="http://schemas.openxmlformats.org/officeDocument/2006/relationships/hyperlink" Target="https://www.preservationhall.com/" TargetMode="External"/><Relationship Id="rId16" Type="http://schemas.openxmlformats.org/officeDocument/2006/relationships/hyperlink" Target="https://www.nationalww2museum.org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volaris.com/" TargetMode="External"/><Relationship Id="rId2" Type="http://schemas.openxmlformats.org/officeDocument/2006/relationships/hyperlink" Target="https://www.aeromexico.com/" TargetMode="External"/><Relationship Id="rId3" Type="http://schemas.openxmlformats.org/officeDocument/2006/relationships/hyperlink" Target="https://www.southwest.com/" TargetMode="External"/><Relationship Id="rId4" Type="http://schemas.openxmlformats.org/officeDocument/2006/relationships/hyperlink" Target="https://www.wyndhamhotels.com/ramada/kissimmee-florida/ramada-gateway/overview" TargetMode="External"/><Relationship Id="rId5" Type="http://schemas.openxmlformats.org/officeDocument/2006/relationships/hyperlink" Target="https://www.booking.com/" TargetMode="External"/><Relationship Id="rId6" Type="http://schemas.openxmlformats.org/officeDocument/2006/relationships/hyperlink" Target="https://disneyworld.disney.go.com/es-us/" TargetMode="External"/><Relationship Id="rId7" Type="http://schemas.openxmlformats.org/officeDocument/2006/relationships/hyperlink" Target="https://www.universalorlando.com/" TargetMode="External"/><Relationship Id="rId8" Type="http://schemas.openxmlformats.org/officeDocument/2006/relationships/hyperlink" Target="https://www.floridastateparks.org/parks-and-trails/caladesi-island-state-park/hours-fees" TargetMode="External"/><Relationship Id="rId9" Type="http://schemas.openxmlformats.org/officeDocument/2006/relationships/hyperlink" Target="https://www.mardigrasneworleans.com/" TargetMode="External"/><Relationship Id="rId10" Type="http://schemas.openxmlformats.org/officeDocument/2006/relationships/hyperlink" Target="https://www.kreweduvieux.org/" TargetMode="External"/><Relationship Id="rId11" Type="http://schemas.openxmlformats.org/officeDocument/2006/relationships/hyperlink" Target="https://www.wwoz.org/calendar/second-lines" TargetMode="External"/><Relationship Id="rId12" Type="http://schemas.openxmlformats.org/officeDocument/2006/relationships/hyperlink" Target="https://www.mardigrasworld.com/" TargetMode="External"/><Relationship Id="rId13" Type="http://schemas.openxmlformats.org/officeDocument/2006/relationships/hyperlink" Target="https://www.whitneyplantation.org/" TargetMode="External"/><Relationship Id="rId14" Type="http://schemas.openxmlformats.org/officeDocument/2006/relationships/hyperlink" Target="https://www.saveourcemeteries.org/" TargetMode="External"/><Relationship Id="rId15" Type="http://schemas.openxmlformats.org/officeDocument/2006/relationships/hyperlink" Target="https://www.preservationhall.com/" TargetMode="External"/><Relationship Id="rId16" Type="http://schemas.openxmlformats.org/officeDocument/2006/relationships/hyperlink" Target="https://www.nationalww2museum.or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1" min="2" style="0" width="24"/>
  </cols>
  <sheetData>
    <row r="1" customFormat="false" ht="21.75" hidden="false" customHeight="true" outlineLevel="0" collapsed="false">
      <c r="A1" s="1"/>
      <c r="B1" s="2" t="s">
        <v>0</v>
      </c>
      <c r="C1" s="2"/>
      <c r="D1" s="2"/>
      <c r="E1" s="2"/>
      <c r="F1" s="3" t="s">
        <v>1</v>
      </c>
      <c r="G1" s="2" t="s">
        <v>2</v>
      </c>
      <c r="H1" s="2"/>
      <c r="I1" s="2"/>
      <c r="J1" s="2"/>
      <c r="K1" s="2"/>
    </row>
    <row r="2" customFormat="false" ht="19.5" hidden="false" customHeight="true" outlineLevel="0" collapsed="false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</row>
    <row r="3" customFormat="false" ht="51.75" hidden="false" customHeight="true" outlineLevel="0" collapsed="false">
      <c r="A3" s="1"/>
      <c r="B3" s="5" t="s">
        <v>14</v>
      </c>
      <c r="C3" s="5"/>
      <c r="D3" s="5"/>
      <c r="E3" s="5"/>
      <c r="F3" s="6" t="s">
        <v>15</v>
      </c>
      <c r="G3" s="6"/>
      <c r="H3" s="6"/>
      <c r="I3" s="6"/>
      <c r="J3" s="6"/>
      <c r="K3" s="6"/>
    </row>
    <row r="4" customFormat="false" ht="30" hidden="false" customHeight="true" outlineLevel="0" collapsed="false">
      <c r="A4" s="7" t="n">
        <v>0.25</v>
      </c>
      <c r="B4" s="1"/>
      <c r="C4" s="1"/>
      <c r="D4" s="1"/>
      <c r="E4" s="1"/>
      <c r="F4" s="8" t="s">
        <v>16</v>
      </c>
      <c r="G4" s="1"/>
      <c r="H4" s="1"/>
      <c r="I4" s="1"/>
      <c r="J4" s="1"/>
      <c r="K4" s="1"/>
    </row>
    <row r="5" customFormat="false" ht="30" hidden="false" customHeight="true" outlineLevel="0" collapsed="false">
      <c r="A5" s="7" t="n">
        <v>0.291666666666667</v>
      </c>
      <c r="B5" s="1"/>
      <c r="C5" s="9" t="s">
        <v>17</v>
      </c>
      <c r="D5" s="9" t="s">
        <v>18</v>
      </c>
      <c r="E5" s="8" t="s">
        <v>19</v>
      </c>
      <c r="F5" s="8"/>
      <c r="G5" s="1"/>
      <c r="H5" s="1"/>
      <c r="I5" s="1"/>
      <c r="J5" s="1"/>
      <c r="K5" s="1"/>
    </row>
    <row r="6" customFormat="false" ht="30" hidden="false" customHeight="true" outlineLevel="0" collapsed="false">
      <c r="A6" s="7" t="n">
        <v>0.333333333333333</v>
      </c>
      <c r="B6" s="10" t="s">
        <v>20</v>
      </c>
      <c r="C6" s="9"/>
      <c r="D6" s="9"/>
      <c r="E6" s="8"/>
      <c r="F6" s="10" t="s">
        <v>21</v>
      </c>
      <c r="G6" s="11" t="s">
        <v>22</v>
      </c>
      <c r="H6" s="5" t="s">
        <v>23</v>
      </c>
      <c r="I6" s="1"/>
      <c r="J6" s="1"/>
      <c r="K6" s="11" t="s">
        <v>24</v>
      </c>
    </row>
    <row r="7" customFormat="false" ht="30" hidden="false" customHeight="true" outlineLevel="0" collapsed="false">
      <c r="A7" s="7" t="n">
        <v>0.375</v>
      </c>
      <c r="B7" s="10"/>
      <c r="C7" s="9"/>
      <c r="D7" s="9"/>
      <c r="E7" s="12" t="s">
        <v>25</v>
      </c>
      <c r="F7" s="10"/>
      <c r="G7" s="11"/>
      <c r="H7" s="5"/>
      <c r="I7" s="13" t="s">
        <v>26</v>
      </c>
      <c r="J7" s="5" t="s">
        <v>27</v>
      </c>
      <c r="K7" s="11"/>
    </row>
    <row r="8" customFormat="false" ht="30" hidden="false" customHeight="true" outlineLevel="0" collapsed="false">
      <c r="A8" s="7" t="n">
        <v>0.416666666666667</v>
      </c>
      <c r="B8" s="10"/>
      <c r="C8" s="9"/>
      <c r="D8" s="9"/>
      <c r="E8" s="12" t="s">
        <v>28</v>
      </c>
      <c r="F8" s="10"/>
      <c r="G8" s="14" t="s">
        <v>29</v>
      </c>
      <c r="H8" s="5"/>
      <c r="I8" s="13"/>
      <c r="J8" s="5"/>
      <c r="K8" s="8" t="s">
        <v>30</v>
      </c>
    </row>
    <row r="9" customFormat="false" ht="30" hidden="false" customHeight="true" outlineLevel="0" collapsed="false">
      <c r="A9" s="7" t="n">
        <v>0.458333333333333</v>
      </c>
      <c r="B9" s="10"/>
      <c r="C9" s="9"/>
      <c r="D9" s="9"/>
      <c r="E9" s="12"/>
      <c r="F9" s="8" t="s">
        <v>31</v>
      </c>
      <c r="G9" s="14"/>
      <c r="H9" s="5"/>
      <c r="I9" s="13"/>
      <c r="J9" s="5"/>
      <c r="K9" s="1"/>
    </row>
    <row r="10" customFormat="false" ht="30" hidden="false" customHeight="true" outlineLevel="0" collapsed="false">
      <c r="A10" s="7" t="n">
        <v>0.5</v>
      </c>
      <c r="B10" s="8" t="s">
        <v>32</v>
      </c>
      <c r="C10" s="9"/>
      <c r="D10" s="9"/>
      <c r="E10" s="12"/>
      <c r="F10" s="11" t="s">
        <v>33</v>
      </c>
      <c r="G10" s="14"/>
      <c r="H10" s="5"/>
      <c r="I10" s="11" t="s">
        <v>34</v>
      </c>
      <c r="J10" s="5"/>
      <c r="K10" s="10" t="s">
        <v>35</v>
      </c>
    </row>
    <row r="11" customFormat="false" ht="30" hidden="false" customHeight="true" outlineLevel="0" collapsed="false">
      <c r="A11" s="7" t="n">
        <v>0.541666666666667</v>
      </c>
      <c r="B11" s="8"/>
      <c r="C11" s="9"/>
      <c r="D11" s="9"/>
      <c r="E11" s="12"/>
      <c r="F11" s="11"/>
      <c r="G11" s="13" t="s">
        <v>36</v>
      </c>
      <c r="H11" s="5"/>
      <c r="I11" s="14" t="s">
        <v>37</v>
      </c>
      <c r="J11" s="11" t="s">
        <v>38</v>
      </c>
      <c r="K11" s="10"/>
    </row>
    <row r="12" customFormat="false" ht="30" hidden="false" customHeight="true" outlineLevel="0" collapsed="false">
      <c r="A12" s="7" t="n">
        <v>0.583333333333333</v>
      </c>
      <c r="B12" s="11" t="s">
        <v>34</v>
      </c>
      <c r="C12" s="9"/>
      <c r="D12" s="9"/>
      <c r="E12" s="11" t="s">
        <v>39</v>
      </c>
      <c r="F12" s="14" t="s">
        <v>40</v>
      </c>
      <c r="G12" s="13"/>
      <c r="H12" s="5"/>
      <c r="I12" s="14"/>
      <c r="J12" s="14" t="s">
        <v>41</v>
      </c>
      <c r="K12" s="10"/>
    </row>
    <row r="13" customFormat="false" ht="30" hidden="false" customHeight="true" outlineLevel="0" collapsed="false">
      <c r="A13" s="7" t="n">
        <v>0.625</v>
      </c>
      <c r="B13" s="14" t="s">
        <v>42</v>
      </c>
      <c r="C13" s="9"/>
      <c r="D13" s="9"/>
      <c r="E13" s="12" t="s">
        <v>43</v>
      </c>
      <c r="F13" s="14"/>
      <c r="G13" s="13"/>
      <c r="H13" s="5"/>
      <c r="I13" s="14"/>
      <c r="J13" s="14"/>
      <c r="K13" s="10"/>
    </row>
    <row r="14" customFormat="false" ht="30" hidden="false" customHeight="true" outlineLevel="0" collapsed="false">
      <c r="A14" s="7" t="n">
        <v>0.666666666666667</v>
      </c>
      <c r="B14" s="14"/>
      <c r="C14" s="9"/>
      <c r="D14" s="9"/>
      <c r="E14" s="12"/>
      <c r="F14" s="14"/>
      <c r="G14" s="13"/>
      <c r="H14" s="1"/>
      <c r="I14" s="14"/>
      <c r="J14" s="14"/>
      <c r="K14" s="10"/>
    </row>
    <row r="15" customFormat="false" ht="30" hidden="false" customHeight="true" outlineLevel="0" collapsed="false">
      <c r="A15" s="7" t="n">
        <v>0.708333333333333</v>
      </c>
      <c r="B15" s="14"/>
      <c r="C15" s="9"/>
      <c r="D15" s="9"/>
      <c r="E15" s="12"/>
      <c r="F15" s="14"/>
      <c r="G15" s="11" t="s">
        <v>44</v>
      </c>
      <c r="H15" s="11" t="s">
        <v>45</v>
      </c>
      <c r="I15" s="11" t="s">
        <v>46</v>
      </c>
      <c r="J15" s="11" t="s">
        <v>47</v>
      </c>
      <c r="K15" s="10"/>
    </row>
    <row r="16" customFormat="false" ht="30" hidden="false" customHeight="true" outlineLevel="0" collapsed="false">
      <c r="A16" s="7" t="n">
        <v>0.75</v>
      </c>
      <c r="B16" s="15" t="s">
        <v>48</v>
      </c>
      <c r="C16" s="9"/>
      <c r="D16" s="9"/>
      <c r="E16" s="12" t="s">
        <v>49</v>
      </c>
      <c r="F16" s="13" t="s">
        <v>50</v>
      </c>
      <c r="G16" s="11"/>
      <c r="H16" s="11"/>
      <c r="I16" s="11"/>
      <c r="J16" s="11"/>
      <c r="K16" s="10"/>
    </row>
    <row r="17" customFormat="false" ht="30" hidden="false" customHeight="true" outlineLevel="0" collapsed="false">
      <c r="A17" s="7" t="n">
        <v>0.791666666666667</v>
      </c>
      <c r="B17" s="15"/>
      <c r="C17" s="9"/>
      <c r="D17" s="9"/>
      <c r="E17" s="8" t="s">
        <v>51</v>
      </c>
      <c r="F17" s="13"/>
      <c r="G17" s="15" t="s">
        <v>52</v>
      </c>
      <c r="H17" s="5" t="s">
        <v>53</v>
      </c>
      <c r="I17" s="15" t="s">
        <v>54</v>
      </c>
      <c r="J17" s="15" t="s">
        <v>55</v>
      </c>
      <c r="K17" s="1"/>
    </row>
    <row r="18" customFormat="false" ht="30" hidden="false" customHeight="true" outlineLevel="0" collapsed="false">
      <c r="A18" s="7" t="n">
        <v>0.833333333333333</v>
      </c>
      <c r="B18" s="15"/>
      <c r="C18" s="9"/>
      <c r="D18" s="9"/>
      <c r="E18" s="8"/>
      <c r="F18" s="13"/>
      <c r="G18" s="15"/>
      <c r="H18" s="5"/>
      <c r="I18" s="15"/>
      <c r="J18" s="15"/>
      <c r="K18" s="1"/>
    </row>
    <row r="19" customFormat="false" ht="30" hidden="false" customHeight="true" outlineLevel="0" collapsed="false">
      <c r="A19" s="7" t="n">
        <v>0.875</v>
      </c>
      <c r="B19" s="15"/>
      <c r="C19" s="15" t="s">
        <v>56</v>
      </c>
      <c r="D19" s="9"/>
      <c r="E19" s="15" t="s">
        <v>57</v>
      </c>
      <c r="F19" s="15" t="s">
        <v>58</v>
      </c>
      <c r="G19" s="15"/>
      <c r="H19" s="15" t="s">
        <v>59</v>
      </c>
      <c r="I19" s="15" t="s">
        <v>60</v>
      </c>
      <c r="J19" s="15"/>
      <c r="K19" s="1"/>
    </row>
    <row r="20" customFormat="false" ht="30" hidden="false" customHeight="true" outlineLevel="0" collapsed="false">
      <c r="A20" s="7" t="n">
        <v>0.916666666666667</v>
      </c>
      <c r="B20" s="15"/>
      <c r="C20" s="15"/>
      <c r="D20" s="16" t="s">
        <v>61</v>
      </c>
      <c r="E20" s="15"/>
      <c r="F20" s="15"/>
      <c r="G20" s="15"/>
      <c r="H20" s="15"/>
      <c r="I20" s="15"/>
      <c r="J20" s="15"/>
      <c r="K20" s="1"/>
    </row>
    <row r="21" customFormat="false" ht="30" hidden="false" customHeight="true" outlineLevel="0" collapsed="false">
      <c r="A21" s="7" t="n">
        <v>0.958333333333333</v>
      </c>
      <c r="B21" s="1"/>
      <c r="C21" s="15"/>
      <c r="D21" s="1"/>
      <c r="E21" s="15"/>
      <c r="F21" s="15"/>
      <c r="G21" s="15"/>
      <c r="H21" s="15"/>
      <c r="I21" s="15"/>
      <c r="J21" s="1"/>
      <c r="K21" s="1"/>
    </row>
    <row r="22" customFormat="false" ht="30" hidden="false" customHeight="true" outlineLevel="0" collapsed="false">
      <c r="A22" s="7" t="n">
        <v>0</v>
      </c>
      <c r="B22" s="1"/>
      <c r="C22" s="1"/>
      <c r="D22" s="1"/>
      <c r="E22" s="1"/>
      <c r="F22" s="1"/>
      <c r="G22" s="1"/>
      <c r="H22" s="1"/>
      <c r="I22" s="1"/>
      <c r="J22" s="1"/>
      <c r="K22" s="1"/>
    </row>
    <row r="24" customFormat="false" ht="15" hidden="false" customHeight="false" outlineLevel="0" collapsed="false">
      <c r="A24" s="17" t="s">
        <v>62</v>
      </c>
      <c r="B24" s="10" t="s">
        <v>63</v>
      </c>
      <c r="C24" s="8" t="s">
        <v>64</v>
      </c>
      <c r="D24" s="16" t="s">
        <v>65</v>
      </c>
      <c r="E24" s="12" t="s">
        <v>66</v>
      </c>
      <c r="F24" s="5" t="s">
        <v>67</v>
      </c>
      <c r="G24" s="13" t="s">
        <v>68</v>
      </c>
      <c r="H24" s="11" t="s">
        <v>34</v>
      </c>
      <c r="I24" s="15" t="s">
        <v>69</v>
      </c>
      <c r="J24" s="14" t="s">
        <v>70</v>
      </c>
    </row>
    <row r="25" customFormat="false" ht="15" hidden="false" customHeight="false" outlineLevel="0" collapsed="false">
      <c r="B25" s="18" t="s">
        <v>71</v>
      </c>
      <c r="C25" s="18"/>
      <c r="D25" s="18"/>
    </row>
    <row r="27" customFormat="false" ht="15" hidden="false" customHeight="false" outlineLevel="0" collapsed="false">
      <c r="A27" s="17" t="s">
        <v>72</v>
      </c>
    </row>
    <row r="28" customFormat="false" ht="15" hidden="false" customHeight="false" outlineLevel="0" collapsed="false">
      <c r="B28" s="19" t="s">
        <v>73</v>
      </c>
      <c r="C28" s="19" t="s">
        <v>74</v>
      </c>
      <c r="D28" s="20" t="s">
        <v>75</v>
      </c>
    </row>
    <row r="29" customFormat="false" ht="15" hidden="false" customHeight="false" outlineLevel="0" collapsed="false">
      <c r="B29" s="19" t="s">
        <v>73</v>
      </c>
      <c r="C29" s="19" t="s">
        <v>76</v>
      </c>
      <c r="D29" s="20" t="s">
        <v>77</v>
      </c>
    </row>
    <row r="30" customFormat="false" ht="15" hidden="false" customHeight="false" outlineLevel="0" collapsed="false">
      <c r="B30" s="19" t="s">
        <v>73</v>
      </c>
      <c r="C30" s="19" t="s">
        <v>78</v>
      </c>
      <c r="D30" s="20" t="s">
        <v>79</v>
      </c>
    </row>
    <row r="31" customFormat="false" ht="15" hidden="false" customHeight="false" outlineLevel="0" collapsed="false">
      <c r="B31" s="19" t="s">
        <v>80</v>
      </c>
      <c r="C31" s="19" t="s">
        <v>81</v>
      </c>
      <c r="D31" s="20" t="s">
        <v>82</v>
      </c>
    </row>
    <row r="32" customFormat="false" ht="15" hidden="false" customHeight="false" outlineLevel="0" collapsed="false">
      <c r="B32" s="19" t="s">
        <v>80</v>
      </c>
      <c r="C32" s="19" t="s">
        <v>83</v>
      </c>
      <c r="D32" s="20" t="s">
        <v>84</v>
      </c>
    </row>
    <row r="33" customFormat="false" ht="15" hidden="false" customHeight="false" outlineLevel="0" collapsed="false">
      <c r="B33" s="19" t="s">
        <v>85</v>
      </c>
      <c r="C33" s="19" t="s">
        <v>86</v>
      </c>
      <c r="D33" s="20" t="s">
        <v>87</v>
      </c>
    </row>
    <row r="34" customFormat="false" ht="15" hidden="false" customHeight="false" outlineLevel="0" collapsed="false">
      <c r="B34" s="19" t="s">
        <v>85</v>
      </c>
      <c r="C34" s="19" t="s">
        <v>88</v>
      </c>
      <c r="D34" s="20" t="s">
        <v>89</v>
      </c>
    </row>
    <row r="35" customFormat="false" ht="15" hidden="false" customHeight="false" outlineLevel="0" collapsed="false">
      <c r="B35" s="19" t="s">
        <v>66</v>
      </c>
      <c r="C35" s="19" t="s">
        <v>90</v>
      </c>
      <c r="D35" s="20" t="s">
        <v>91</v>
      </c>
    </row>
    <row r="36" customFormat="false" ht="15" hidden="false" customHeight="false" outlineLevel="0" collapsed="false">
      <c r="B36" s="19" t="s">
        <v>68</v>
      </c>
      <c r="C36" s="19" t="s">
        <v>92</v>
      </c>
      <c r="D36" s="20" t="s">
        <v>93</v>
      </c>
    </row>
    <row r="37" customFormat="false" ht="15" hidden="false" customHeight="false" outlineLevel="0" collapsed="false">
      <c r="B37" s="19" t="s">
        <v>68</v>
      </c>
      <c r="C37" s="19" t="s">
        <v>94</v>
      </c>
      <c r="D37" s="20" t="s">
        <v>95</v>
      </c>
    </row>
    <row r="38" customFormat="false" ht="15" hidden="false" customHeight="false" outlineLevel="0" collapsed="false">
      <c r="B38" s="19" t="s">
        <v>68</v>
      </c>
      <c r="C38" s="19" t="s">
        <v>96</v>
      </c>
      <c r="D38" s="20" t="s">
        <v>97</v>
      </c>
    </row>
    <row r="39" customFormat="false" ht="15" hidden="false" customHeight="false" outlineLevel="0" collapsed="false">
      <c r="B39" s="19" t="s">
        <v>68</v>
      </c>
      <c r="C39" s="19" t="s">
        <v>98</v>
      </c>
      <c r="D39" s="20" t="s">
        <v>99</v>
      </c>
    </row>
    <row r="40" customFormat="false" ht="15" hidden="false" customHeight="false" outlineLevel="0" collapsed="false">
      <c r="B40" s="19" t="s">
        <v>100</v>
      </c>
      <c r="C40" s="19" t="s">
        <v>101</v>
      </c>
      <c r="D40" s="20" t="s">
        <v>102</v>
      </c>
    </row>
    <row r="41" customFormat="false" ht="15" hidden="false" customHeight="false" outlineLevel="0" collapsed="false">
      <c r="B41" s="19" t="s">
        <v>100</v>
      </c>
      <c r="C41" s="19" t="s">
        <v>103</v>
      </c>
      <c r="D41" s="20" t="s">
        <v>104</v>
      </c>
    </row>
    <row r="42" customFormat="false" ht="15" hidden="false" customHeight="false" outlineLevel="0" collapsed="false">
      <c r="B42" s="19" t="s">
        <v>105</v>
      </c>
      <c r="C42" s="19" t="s">
        <v>106</v>
      </c>
      <c r="D42" s="20" t="s">
        <v>107</v>
      </c>
    </row>
    <row r="43" customFormat="false" ht="15" hidden="false" customHeight="false" outlineLevel="0" collapsed="false">
      <c r="B43" s="19" t="s">
        <v>108</v>
      </c>
      <c r="C43" s="19" t="s">
        <v>109</v>
      </c>
      <c r="D43" s="20" t="s">
        <v>110</v>
      </c>
    </row>
  </sheetData>
  <mergeCells count="43">
    <mergeCell ref="B1:E1"/>
    <mergeCell ref="G1:K1"/>
    <mergeCell ref="B3:E3"/>
    <mergeCell ref="F3:K3"/>
    <mergeCell ref="F4:F5"/>
    <mergeCell ref="C5:C18"/>
    <mergeCell ref="D5:D19"/>
    <mergeCell ref="E5:E6"/>
    <mergeCell ref="B6:B9"/>
    <mergeCell ref="F6:F8"/>
    <mergeCell ref="G6:G7"/>
    <mergeCell ref="H6:H13"/>
    <mergeCell ref="K6:K7"/>
    <mergeCell ref="I7:I9"/>
    <mergeCell ref="J7:J10"/>
    <mergeCell ref="E8:E11"/>
    <mergeCell ref="G8:G10"/>
    <mergeCell ref="B10:B11"/>
    <mergeCell ref="F10:F11"/>
    <mergeCell ref="K10:K16"/>
    <mergeCell ref="G11:G14"/>
    <mergeCell ref="I11:I14"/>
    <mergeCell ref="F12:F15"/>
    <mergeCell ref="J12:J14"/>
    <mergeCell ref="B13:B15"/>
    <mergeCell ref="E13:E15"/>
    <mergeCell ref="G15:G16"/>
    <mergeCell ref="H15:H16"/>
    <mergeCell ref="I15:I16"/>
    <mergeCell ref="J15:J16"/>
    <mergeCell ref="B16:B20"/>
    <mergeCell ref="F16:F18"/>
    <mergeCell ref="E17:E18"/>
    <mergeCell ref="G17:G21"/>
    <mergeCell ref="H17:H18"/>
    <mergeCell ref="I17:I18"/>
    <mergeCell ref="J17:J20"/>
    <mergeCell ref="C19:C21"/>
    <mergeCell ref="E19:E21"/>
    <mergeCell ref="F19:F21"/>
    <mergeCell ref="H19:H21"/>
    <mergeCell ref="I19:I21"/>
    <mergeCell ref="B25:D25"/>
  </mergeCells>
  <hyperlinks>
    <hyperlink ref="D28" r:id="rId1" display="https://www.volaris.com"/>
    <hyperlink ref="D29" r:id="rId2" display="https://www.aeromexico.com"/>
    <hyperlink ref="D30" r:id="rId3" display="https://www.southwest.com"/>
    <hyperlink ref="D31" r:id="rId4" display="https://www.wyndhamhotels.com/ramada/kissimmee-florida/ramada-gateway/overview"/>
    <hyperlink ref="D32" r:id="rId5" display="https://www.booking.com"/>
    <hyperlink ref="D33" r:id="rId6" display="https://disneyworld.disney.go.com/es-us/"/>
    <hyperlink ref="D34" r:id="rId7" display="https://www.universalorlando.com"/>
    <hyperlink ref="D35" r:id="rId8" display="https://www.floridastateparks.org/parks-and-trails/caladesi-island-state-park/hours-fees"/>
    <hyperlink ref="D36" r:id="rId9" display="https://www.mardigrasneworleans.com"/>
    <hyperlink ref="D37" r:id="rId10" display="https://www.kreweduvieux.org"/>
    <hyperlink ref="D38" r:id="rId11" display="https://www.wwoz.org/calendar/second-lines"/>
    <hyperlink ref="D39" r:id="rId12" display="https://www.mardigrasworld.com"/>
    <hyperlink ref="D40" r:id="rId13" display="https://www.whitneyplantation.org"/>
    <hyperlink ref="D41" r:id="rId14" display="https://www.saveourcemeteries.org"/>
    <hyperlink ref="D42" r:id="rId15" display="https://www.preservationhall.com"/>
    <hyperlink ref="D43" r:id="rId16" display="https://www.nationalww2museum.o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1" min="2" style="0" width="24"/>
  </cols>
  <sheetData>
    <row r="1" customFormat="false" ht="21.75" hidden="false" customHeight="true" outlineLevel="0" collapsed="false">
      <c r="A1" s="1"/>
      <c r="B1" s="2" t="s">
        <v>0</v>
      </c>
      <c r="C1" s="2"/>
      <c r="D1" s="2"/>
      <c r="E1" s="2"/>
      <c r="F1" s="3" t="s">
        <v>1</v>
      </c>
      <c r="G1" s="2" t="s">
        <v>2</v>
      </c>
      <c r="H1" s="2"/>
      <c r="I1" s="2"/>
      <c r="J1" s="2"/>
      <c r="K1" s="2"/>
    </row>
    <row r="2" customFormat="false" ht="19.5" hidden="false" customHeight="true" outlineLevel="0" collapsed="false">
      <c r="A2" s="4" t="s">
        <v>3</v>
      </c>
      <c r="B2" s="4" t="s">
        <v>11</v>
      </c>
      <c r="C2" s="4" t="s">
        <v>12</v>
      </c>
      <c r="D2" s="4" t="s">
        <v>13</v>
      </c>
      <c r="E2" s="4" t="s">
        <v>111</v>
      </c>
      <c r="F2" s="4" t="s">
        <v>112</v>
      </c>
      <c r="G2" s="4" t="s">
        <v>113</v>
      </c>
      <c r="H2" s="4" t="s">
        <v>114</v>
      </c>
      <c r="I2" s="4" t="s">
        <v>115</v>
      </c>
      <c r="J2" s="4" t="s">
        <v>116</v>
      </c>
      <c r="K2" s="4" t="s">
        <v>117</v>
      </c>
    </row>
    <row r="3" customFormat="false" ht="51.75" hidden="false" customHeight="true" outlineLevel="0" collapsed="false">
      <c r="A3" s="1"/>
      <c r="B3" s="5" t="s">
        <v>14</v>
      </c>
      <c r="C3" s="5"/>
      <c r="D3" s="5"/>
      <c r="E3" s="5"/>
      <c r="F3" s="6" t="s">
        <v>118</v>
      </c>
      <c r="G3" s="6"/>
      <c r="H3" s="6"/>
      <c r="I3" s="6"/>
      <c r="J3" s="6"/>
      <c r="K3" s="6"/>
    </row>
    <row r="4" customFormat="false" ht="30" hidden="false" customHeight="true" outlineLevel="0" collapsed="false">
      <c r="A4" s="7" t="n">
        <v>0.25</v>
      </c>
      <c r="B4" s="1"/>
      <c r="C4" s="1"/>
      <c r="D4" s="1"/>
      <c r="E4" s="1"/>
      <c r="F4" s="8" t="s">
        <v>16</v>
      </c>
      <c r="G4" s="1"/>
      <c r="H4" s="1"/>
      <c r="I4" s="1"/>
      <c r="J4" s="1"/>
      <c r="K4" s="1"/>
    </row>
    <row r="5" customFormat="false" ht="30" hidden="false" customHeight="true" outlineLevel="0" collapsed="false">
      <c r="A5" s="7" t="n">
        <v>0.291666666666667</v>
      </c>
      <c r="B5" s="1"/>
      <c r="C5" s="9" t="s">
        <v>17</v>
      </c>
      <c r="D5" s="9" t="s">
        <v>18</v>
      </c>
      <c r="E5" s="8" t="s">
        <v>19</v>
      </c>
      <c r="F5" s="8"/>
      <c r="G5" s="1"/>
      <c r="H5" s="1"/>
      <c r="I5" s="1"/>
      <c r="J5" s="1"/>
      <c r="K5" s="1"/>
    </row>
    <row r="6" customFormat="false" ht="30" hidden="false" customHeight="true" outlineLevel="0" collapsed="false">
      <c r="A6" s="7" t="n">
        <v>0.333333333333333</v>
      </c>
      <c r="B6" s="10" t="s">
        <v>20</v>
      </c>
      <c r="C6" s="9"/>
      <c r="D6" s="9"/>
      <c r="E6" s="8"/>
      <c r="F6" s="10" t="s">
        <v>21</v>
      </c>
      <c r="G6" s="11" t="s">
        <v>22</v>
      </c>
      <c r="H6" s="5" t="s">
        <v>23</v>
      </c>
      <c r="I6" s="1"/>
      <c r="J6" s="1"/>
      <c r="K6" s="11" t="s">
        <v>24</v>
      </c>
    </row>
    <row r="7" customFormat="false" ht="30" hidden="false" customHeight="true" outlineLevel="0" collapsed="false">
      <c r="A7" s="7" t="n">
        <v>0.375</v>
      </c>
      <c r="B7" s="10"/>
      <c r="C7" s="9"/>
      <c r="D7" s="9"/>
      <c r="E7" s="12" t="s">
        <v>25</v>
      </c>
      <c r="F7" s="10"/>
      <c r="G7" s="11"/>
      <c r="H7" s="5"/>
      <c r="I7" s="13" t="s">
        <v>26</v>
      </c>
      <c r="J7" s="5" t="s">
        <v>27</v>
      </c>
      <c r="K7" s="11"/>
    </row>
    <row r="8" customFormat="false" ht="30" hidden="false" customHeight="true" outlineLevel="0" collapsed="false">
      <c r="A8" s="7" t="n">
        <v>0.416666666666667</v>
      </c>
      <c r="B8" s="10"/>
      <c r="C8" s="9"/>
      <c r="D8" s="9"/>
      <c r="E8" s="12" t="s">
        <v>28</v>
      </c>
      <c r="F8" s="10"/>
      <c r="G8" s="14" t="s">
        <v>29</v>
      </c>
      <c r="H8" s="5"/>
      <c r="I8" s="13"/>
      <c r="J8" s="5"/>
      <c r="K8" s="8" t="s">
        <v>30</v>
      </c>
    </row>
    <row r="9" customFormat="false" ht="30" hidden="false" customHeight="true" outlineLevel="0" collapsed="false">
      <c r="A9" s="7" t="n">
        <v>0.458333333333333</v>
      </c>
      <c r="B9" s="10"/>
      <c r="C9" s="9"/>
      <c r="D9" s="9"/>
      <c r="E9" s="12"/>
      <c r="F9" s="8" t="s">
        <v>31</v>
      </c>
      <c r="G9" s="14"/>
      <c r="H9" s="5"/>
      <c r="I9" s="13"/>
      <c r="J9" s="5"/>
      <c r="K9" s="1"/>
    </row>
    <row r="10" customFormat="false" ht="30" hidden="false" customHeight="true" outlineLevel="0" collapsed="false">
      <c r="A10" s="7" t="n">
        <v>0.5</v>
      </c>
      <c r="B10" s="8" t="s">
        <v>32</v>
      </c>
      <c r="C10" s="9"/>
      <c r="D10" s="9"/>
      <c r="E10" s="12"/>
      <c r="F10" s="11" t="s">
        <v>33</v>
      </c>
      <c r="G10" s="14"/>
      <c r="H10" s="5"/>
      <c r="I10" s="11" t="s">
        <v>34</v>
      </c>
      <c r="J10" s="5"/>
      <c r="K10" s="10" t="s">
        <v>119</v>
      </c>
    </row>
    <row r="11" customFormat="false" ht="30" hidden="false" customHeight="true" outlineLevel="0" collapsed="false">
      <c r="A11" s="7" t="n">
        <v>0.541666666666667</v>
      </c>
      <c r="B11" s="8"/>
      <c r="C11" s="9"/>
      <c r="D11" s="9"/>
      <c r="E11" s="12"/>
      <c r="F11" s="11"/>
      <c r="G11" s="13" t="s">
        <v>120</v>
      </c>
      <c r="H11" s="5"/>
      <c r="I11" s="14" t="s">
        <v>37</v>
      </c>
      <c r="J11" s="11" t="s">
        <v>38</v>
      </c>
      <c r="K11" s="10"/>
    </row>
    <row r="12" customFormat="false" ht="30" hidden="false" customHeight="true" outlineLevel="0" collapsed="false">
      <c r="A12" s="7" t="n">
        <v>0.583333333333333</v>
      </c>
      <c r="B12" s="11" t="s">
        <v>34</v>
      </c>
      <c r="C12" s="9"/>
      <c r="D12" s="9"/>
      <c r="E12" s="11" t="s">
        <v>39</v>
      </c>
      <c r="F12" s="14" t="s">
        <v>40</v>
      </c>
      <c r="G12" s="13"/>
      <c r="H12" s="5"/>
      <c r="I12" s="14"/>
      <c r="J12" s="14" t="s">
        <v>41</v>
      </c>
      <c r="K12" s="10"/>
    </row>
    <row r="13" customFormat="false" ht="30" hidden="false" customHeight="true" outlineLevel="0" collapsed="false">
      <c r="A13" s="7" t="n">
        <v>0.625</v>
      </c>
      <c r="B13" s="14" t="s">
        <v>42</v>
      </c>
      <c r="C13" s="9"/>
      <c r="D13" s="9"/>
      <c r="E13" s="12" t="s">
        <v>43</v>
      </c>
      <c r="F13" s="14"/>
      <c r="G13" s="13"/>
      <c r="H13" s="5"/>
      <c r="I13" s="14"/>
      <c r="J13" s="14"/>
      <c r="K13" s="10"/>
    </row>
    <row r="14" customFormat="false" ht="30" hidden="false" customHeight="true" outlineLevel="0" collapsed="false">
      <c r="A14" s="7" t="n">
        <v>0.666666666666667</v>
      </c>
      <c r="B14" s="14"/>
      <c r="C14" s="9"/>
      <c r="D14" s="9"/>
      <c r="E14" s="12"/>
      <c r="F14" s="14"/>
      <c r="G14" s="13"/>
      <c r="H14" s="1"/>
      <c r="I14" s="14"/>
      <c r="J14" s="14"/>
      <c r="K14" s="10"/>
    </row>
    <row r="15" customFormat="false" ht="30" hidden="false" customHeight="true" outlineLevel="0" collapsed="false">
      <c r="A15" s="7" t="n">
        <v>0.708333333333333</v>
      </c>
      <c r="B15" s="14"/>
      <c r="C15" s="9"/>
      <c r="D15" s="9"/>
      <c r="E15" s="12"/>
      <c r="F15" s="14"/>
      <c r="G15" s="11" t="s">
        <v>44</v>
      </c>
      <c r="H15" s="11" t="s">
        <v>45</v>
      </c>
      <c r="I15" s="11" t="s">
        <v>46</v>
      </c>
      <c r="J15" s="11" t="s">
        <v>121</v>
      </c>
      <c r="K15" s="10"/>
    </row>
    <row r="16" customFormat="false" ht="30" hidden="false" customHeight="true" outlineLevel="0" collapsed="false">
      <c r="A16" s="7" t="n">
        <v>0.75</v>
      </c>
      <c r="B16" s="15" t="s">
        <v>48</v>
      </c>
      <c r="C16" s="9"/>
      <c r="D16" s="9"/>
      <c r="E16" s="12" t="s">
        <v>49</v>
      </c>
      <c r="F16" s="13" t="s">
        <v>122</v>
      </c>
      <c r="G16" s="11"/>
      <c r="H16" s="11"/>
      <c r="I16" s="11"/>
      <c r="J16" s="13" t="s">
        <v>123</v>
      </c>
      <c r="K16" s="10"/>
    </row>
    <row r="17" customFormat="false" ht="30" hidden="false" customHeight="true" outlineLevel="0" collapsed="false">
      <c r="A17" s="7" t="n">
        <v>0.791666666666667</v>
      </c>
      <c r="B17" s="15"/>
      <c r="C17" s="9"/>
      <c r="D17" s="9"/>
      <c r="E17" s="8" t="s">
        <v>51</v>
      </c>
      <c r="F17" s="13"/>
      <c r="G17" s="15" t="s">
        <v>52</v>
      </c>
      <c r="H17" s="5" t="s">
        <v>53</v>
      </c>
      <c r="I17" s="15" t="s">
        <v>54</v>
      </c>
      <c r="J17" s="13"/>
      <c r="K17" s="1"/>
    </row>
    <row r="18" customFormat="false" ht="30" hidden="false" customHeight="true" outlineLevel="0" collapsed="false">
      <c r="A18" s="7" t="n">
        <v>0.833333333333333</v>
      </c>
      <c r="B18" s="15"/>
      <c r="C18" s="9"/>
      <c r="D18" s="9"/>
      <c r="E18" s="8"/>
      <c r="F18" s="13"/>
      <c r="G18" s="15"/>
      <c r="H18" s="5"/>
      <c r="I18" s="15"/>
      <c r="J18" s="13"/>
      <c r="K18" s="1"/>
    </row>
    <row r="19" customFormat="false" ht="30" hidden="false" customHeight="true" outlineLevel="0" collapsed="false">
      <c r="A19" s="7" t="n">
        <v>0.875</v>
      </c>
      <c r="B19" s="15"/>
      <c r="C19" s="15" t="s">
        <v>56</v>
      </c>
      <c r="D19" s="9"/>
      <c r="E19" s="15" t="s">
        <v>57</v>
      </c>
      <c r="F19" s="15" t="s">
        <v>58</v>
      </c>
      <c r="G19" s="15"/>
      <c r="H19" s="15" t="s">
        <v>59</v>
      </c>
      <c r="I19" s="15" t="s">
        <v>60</v>
      </c>
      <c r="J19" s="15" t="s">
        <v>124</v>
      </c>
      <c r="K19" s="1"/>
    </row>
    <row r="20" customFormat="false" ht="30" hidden="false" customHeight="true" outlineLevel="0" collapsed="false">
      <c r="A20" s="7" t="n">
        <v>0.916666666666667</v>
      </c>
      <c r="B20" s="15"/>
      <c r="C20" s="15"/>
      <c r="D20" s="16" t="s">
        <v>61</v>
      </c>
      <c r="E20" s="15"/>
      <c r="F20" s="15"/>
      <c r="G20" s="15"/>
      <c r="H20" s="15"/>
      <c r="I20" s="15"/>
      <c r="J20" s="15"/>
      <c r="K20" s="1"/>
    </row>
    <row r="21" customFormat="false" ht="30" hidden="false" customHeight="true" outlineLevel="0" collapsed="false">
      <c r="A21" s="7" t="n">
        <v>0.958333333333333</v>
      </c>
      <c r="B21" s="1"/>
      <c r="C21" s="15"/>
      <c r="D21" s="1"/>
      <c r="E21" s="15"/>
      <c r="F21" s="15"/>
      <c r="G21" s="15"/>
      <c r="H21" s="15"/>
      <c r="I21" s="15"/>
      <c r="J21" s="15"/>
      <c r="K21" s="1"/>
    </row>
    <row r="22" customFormat="false" ht="30" hidden="false" customHeight="true" outlineLevel="0" collapsed="false">
      <c r="A22" s="7" t="n">
        <v>0</v>
      </c>
      <c r="B22" s="1"/>
      <c r="C22" s="1"/>
      <c r="D22" s="1"/>
      <c r="E22" s="1"/>
      <c r="F22" s="1"/>
      <c r="G22" s="1"/>
      <c r="H22" s="1"/>
      <c r="I22" s="1"/>
      <c r="J22" s="1"/>
      <c r="K22" s="1"/>
    </row>
    <row r="24" customFormat="false" ht="15" hidden="false" customHeight="false" outlineLevel="0" collapsed="false">
      <c r="A24" s="17" t="s">
        <v>62</v>
      </c>
      <c r="B24" s="10" t="s">
        <v>63</v>
      </c>
      <c r="C24" s="8" t="s">
        <v>64</v>
      </c>
      <c r="D24" s="16" t="s">
        <v>65</v>
      </c>
      <c r="E24" s="12" t="s">
        <v>66</v>
      </c>
      <c r="F24" s="5" t="s">
        <v>67</v>
      </c>
      <c r="G24" s="13" t="s">
        <v>68</v>
      </c>
      <c r="H24" s="11" t="s">
        <v>34</v>
      </c>
      <c r="I24" s="15" t="s">
        <v>69</v>
      </c>
      <c r="J24" s="14" t="s">
        <v>70</v>
      </c>
    </row>
    <row r="25" customFormat="false" ht="15" hidden="false" customHeight="false" outlineLevel="0" collapsed="false">
      <c r="B25" s="18" t="s">
        <v>71</v>
      </c>
      <c r="C25" s="18"/>
      <c r="D25" s="18"/>
    </row>
    <row r="27" customFormat="false" ht="15" hidden="false" customHeight="false" outlineLevel="0" collapsed="false">
      <c r="A27" s="17" t="s">
        <v>72</v>
      </c>
    </row>
    <row r="28" customFormat="false" ht="15" hidden="false" customHeight="false" outlineLevel="0" collapsed="false">
      <c r="B28" s="19" t="s">
        <v>73</v>
      </c>
      <c r="C28" s="19" t="s">
        <v>74</v>
      </c>
      <c r="D28" s="20" t="s">
        <v>75</v>
      </c>
    </row>
    <row r="29" customFormat="false" ht="15" hidden="false" customHeight="false" outlineLevel="0" collapsed="false">
      <c r="B29" s="19" t="s">
        <v>73</v>
      </c>
      <c r="C29" s="19" t="s">
        <v>76</v>
      </c>
      <c r="D29" s="20" t="s">
        <v>77</v>
      </c>
    </row>
    <row r="30" customFormat="false" ht="15" hidden="false" customHeight="false" outlineLevel="0" collapsed="false">
      <c r="B30" s="19" t="s">
        <v>73</v>
      </c>
      <c r="C30" s="19" t="s">
        <v>78</v>
      </c>
      <c r="D30" s="20" t="s">
        <v>79</v>
      </c>
    </row>
    <row r="31" customFormat="false" ht="15" hidden="false" customHeight="false" outlineLevel="0" collapsed="false">
      <c r="B31" s="19" t="s">
        <v>80</v>
      </c>
      <c r="C31" s="19" t="s">
        <v>81</v>
      </c>
      <c r="D31" s="20" t="s">
        <v>82</v>
      </c>
    </row>
    <row r="32" customFormat="false" ht="15" hidden="false" customHeight="false" outlineLevel="0" collapsed="false">
      <c r="B32" s="19" t="s">
        <v>80</v>
      </c>
      <c r="C32" s="19" t="s">
        <v>83</v>
      </c>
      <c r="D32" s="20" t="s">
        <v>84</v>
      </c>
    </row>
    <row r="33" customFormat="false" ht="15" hidden="false" customHeight="false" outlineLevel="0" collapsed="false">
      <c r="B33" s="19" t="s">
        <v>85</v>
      </c>
      <c r="C33" s="19" t="s">
        <v>86</v>
      </c>
      <c r="D33" s="20" t="s">
        <v>87</v>
      </c>
    </row>
    <row r="34" customFormat="false" ht="15" hidden="false" customHeight="false" outlineLevel="0" collapsed="false">
      <c r="B34" s="19" t="s">
        <v>85</v>
      </c>
      <c r="C34" s="19" t="s">
        <v>88</v>
      </c>
      <c r="D34" s="20" t="s">
        <v>89</v>
      </c>
    </row>
    <row r="35" customFormat="false" ht="15" hidden="false" customHeight="false" outlineLevel="0" collapsed="false">
      <c r="B35" s="19" t="s">
        <v>66</v>
      </c>
      <c r="C35" s="19" t="s">
        <v>90</v>
      </c>
      <c r="D35" s="20" t="s">
        <v>91</v>
      </c>
    </row>
    <row r="36" customFormat="false" ht="15" hidden="false" customHeight="false" outlineLevel="0" collapsed="false">
      <c r="B36" s="19" t="s">
        <v>68</v>
      </c>
      <c r="C36" s="19" t="s">
        <v>92</v>
      </c>
      <c r="D36" s="20" t="s">
        <v>93</v>
      </c>
    </row>
    <row r="37" customFormat="false" ht="15" hidden="false" customHeight="false" outlineLevel="0" collapsed="false">
      <c r="B37" s="19" t="s">
        <v>68</v>
      </c>
      <c r="C37" s="19" t="s">
        <v>94</v>
      </c>
      <c r="D37" s="20" t="s">
        <v>95</v>
      </c>
    </row>
    <row r="38" customFormat="false" ht="15" hidden="false" customHeight="false" outlineLevel="0" collapsed="false">
      <c r="B38" s="19" t="s">
        <v>68</v>
      </c>
      <c r="C38" s="19" t="s">
        <v>96</v>
      </c>
      <c r="D38" s="20" t="s">
        <v>97</v>
      </c>
    </row>
    <row r="39" customFormat="false" ht="15" hidden="false" customHeight="false" outlineLevel="0" collapsed="false">
      <c r="B39" s="19" t="s">
        <v>68</v>
      </c>
      <c r="C39" s="19" t="s">
        <v>98</v>
      </c>
      <c r="D39" s="20" t="s">
        <v>99</v>
      </c>
    </row>
    <row r="40" customFormat="false" ht="15" hidden="false" customHeight="false" outlineLevel="0" collapsed="false">
      <c r="B40" s="19" t="s">
        <v>100</v>
      </c>
      <c r="C40" s="19" t="s">
        <v>101</v>
      </c>
      <c r="D40" s="20" t="s">
        <v>102</v>
      </c>
    </row>
    <row r="41" customFormat="false" ht="15" hidden="false" customHeight="false" outlineLevel="0" collapsed="false">
      <c r="B41" s="19" t="s">
        <v>100</v>
      </c>
      <c r="C41" s="19" t="s">
        <v>103</v>
      </c>
      <c r="D41" s="20" t="s">
        <v>104</v>
      </c>
    </row>
    <row r="42" customFormat="false" ht="15" hidden="false" customHeight="false" outlineLevel="0" collapsed="false">
      <c r="B42" s="19" t="s">
        <v>105</v>
      </c>
      <c r="C42" s="19" t="s">
        <v>106</v>
      </c>
      <c r="D42" s="20" t="s">
        <v>107</v>
      </c>
    </row>
    <row r="43" customFormat="false" ht="15" hidden="false" customHeight="false" outlineLevel="0" collapsed="false">
      <c r="B43" s="19" t="s">
        <v>108</v>
      </c>
      <c r="C43" s="19" t="s">
        <v>109</v>
      </c>
      <c r="D43" s="20" t="s">
        <v>110</v>
      </c>
    </row>
  </sheetData>
  <mergeCells count="43">
    <mergeCell ref="B1:E1"/>
    <mergeCell ref="G1:K1"/>
    <mergeCell ref="B3:E3"/>
    <mergeCell ref="F3:K3"/>
    <mergeCell ref="F4:F5"/>
    <mergeCell ref="C5:C18"/>
    <mergeCell ref="D5:D19"/>
    <mergeCell ref="E5:E6"/>
    <mergeCell ref="B6:B9"/>
    <mergeCell ref="F6:F8"/>
    <mergeCell ref="G6:G7"/>
    <mergeCell ref="H6:H13"/>
    <mergeCell ref="K6:K7"/>
    <mergeCell ref="I7:I9"/>
    <mergeCell ref="J7:J10"/>
    <mergeCell ref="E8:E11"/>
    <mergeCell ref="G8:G10"/>
    <mergeCell ref="B10:B11"/>
    <mergeCell ref="F10:F11"/>
    <mergeCell ref="K10:K16"/>
    <mergeCell ref="G11:G14"/>
    <mergeCell ref="I11:I14"/>
    <mergeCell ref="F12:F15"/>
    <mergeCell ref="J12:J14"/>
    <mergeCell ref="B13:B15"/>
    <mergeCell ref="E13:E15"/>
    <mergeCell ref="G15:G16"/>
    <mergeCell ref="H15:H16"/>
    <mergeCell ref="I15:I16"/>
    <mergeCell ref="B16:B20"/>
    <mergeCell ref="F16:F18"/>
    <mergeCell ref="J16:J18"/>
    <mergeCell ref="E17:E18"/>
    <mergeCell ref="G17:G21"/>
    <mergeCell ref="H17:H18"/>
    <mergeCell ref="I17:I18"/>
    <mergeCell ref="C19:C21"/>
    <mergeCell ref="E19:E21"/>
    <mergeCell ref="F19:F21"/>
    <mergeCell ref="H19:H21"/>
    <mergeCell ref="I19:I21"/>
    <mergeCell ref="J19:J21"/>
    <mergeCell ref="B25:D25"/>
  </mergeCells>
  <hyperlinks>
    <hyperlink ref="D28" r:id="rId1" display="https://www.volaris.com"/>
    <hyperlink ref="D29" r:id="rId2" display="https://www.aeromexico.com"/>
    <hyperlink ref="D30" r:id="rId3" display="https://www.southwest.com"/>
    <hyperlink ref="D31" r:id="rId4" display="https://www.wyndhamhotels.com/ramada/kissimmee-florida/ramada-gateway/overview"/>
    <hyperlink ref="D32" r:id="rId5" display="https://www.booking.com"/>
    <hyperlink ref="D33" r:id="rId6" display="https://disneyworld.disney.go.com/es-us/"/>
    <hyperlink ref="D34" r:id="rId7" display="https://www.universalorlando.com"/>
    <hyperlink ref="D35" r:id="rId8" display="https://www.floridastateparks.org/parks-and-trails/caladesi-island-state-park/hours-fees"/>
    <hyperlink ref="D36" r:id="rId9" display="https://www.mardigrasneworleans.com"/>
    <hyperlink ref="D37" r:id="rId10" display="https://www.kreweduvieux.org"/>
    <hyperlink ref="D38" r:id="rId11" display="https://www.wwoz.org/calendar/second-lines"/>
    <hyperlink ref="D39" r:id="rId12" display="https://www.mardigrasworld.com"/>
    <hyperlink ref="D40" r:id="rId13" display="https://www.whitneyplantation.org"/>
    <hyperlink ref="D41" r:id="rId14" display="https://www.saveourcemeteries.org"/>
    <hyperlink ref="D42" r:id="rId15" display="https://www.preservationhall.com"/>
    <hyperlink ref="D43" r:id="rId16" display="https://www.nationalww2museum.o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6.15" hidden="false" customHeight="false" outlineLevel="0" collapsed="false">
      <c r="A1" s="21" t="s">
        <v>125</v>
      </c>
    </row>
    <row r="2" customFormat="false" ht="15" hidden="false" customHeight="false" outlineLevel="0" collapsed="false">
      <c r="A2" s="22" t="s">
        <v>126</v>
      </c>
    </row>
    <row r="3" customFormat="false" ht="15" hidden="false" customHeight="false" outlineLevel="0" collapsed="false">
      <c r="A3" s="23" t="s">
        <v>127</v>
      </c>
      <c r="B3" s="24" t="n">
        <v>18.5</v>
      </c>
    </row>
    <row r="4" customFormat="false" ht="15" hidden="false" customHeight="false" outlineLevel="0" collapsed="false">
      <c r="A4" s="23" t="s">
        <v>128</v>
      </c>
      <c r="B4" s="25" t="s">
        <v>129</v>
      </c>
    </row>
    <row r="5" customFormat="false" ht="15" hidden="false" customHeight="false" outlineLevel="0" collapsed="false">
      <c r="A5" s="23" t="s">
        <v>130</v>
      </c>
      <c r="B5" s="26" t="n">
        <v>85</v>
      </c>
      <c r="C5" s="22" t="s">
        <v>131</v>
      </c>
    </row>
    <row r="6" customFormat="false" ht="15" hidden="false" customHeight="false" outlineLevel="0" collapsed="false">
      <c r="A6" s="23" t="s">
        <v>132</v>
      </c>
      <c r="B6" s="26" t="n">
        <v>150</v>
      </c>
      <c r="C6" s="22" t="s">
        <v>133</v>
      </c>
    </row>
    <row r="7" customFormat="false" ht="15" hidden="false" customHeight="false" outlineLevel="0" collapsed="false">
      <c r="A7" s="23" t="s">
        <v>134</v>
      </c>
      <c r="B7" s="27" t="n">
        <v>0.16</v>
      </c>
    </row>
    <row r="9" customFormat="false" ht="15" hidden="false" customHeight="false" outlineLevel="0" collapsed="false">
      <c r="A9" s="28" t="s">
        <v>135</v>
      </c>
      <c r="B9" s="28" t="s">
        <v>136</v>
      </c>
      <c r="C9" s="28" t="s">
        <v>137</v>
      </c>
      <c r="D9" s="28" t="s">
        <v>138</v>
      </c>
      <c r="E9" s="28" t="s">
        <v>139</v>
      </c>
      <c r="F9" s="28" t="s">
        <v>140</v>
      </c>
      <c r="G9" s="28" t="s">
        <v>141</v>
      </c>
      <c r="H9" s="28" t="s">
        <v>142</v>
      </c>
    </row>
    <row r="10" customFormat="false" ht="15" hidden="false" customHeight="false" outlineLevel="0" collapsed="false">
      <c r="A10" s="29" t="s">
        <v>143</v>
      </c>
      <c r="B10" s="30" t="s">
        <v>144</v>
      </c>
      <c r="C10" s="30" t="s">
        <v>145</v>
      </c>
      <c r="D10" s="31" t="n">
        <v>750</v>
      </c>
      <c r="E10" s="32" t="n">
        <v>2</v>
      </c>
      <c r="F10" s="33" t="n">
        <f aca="false">IF(E10=0,0,D10/E10)</f>
        <v>375</v>
      </c>
      <c r="G10" s="34" t="n">
        <f aca="false">F10*$B$3</f>
        <v>6937.5</v>
      </c>
      <c r="H10" s="29" t="s">
        <v>146</v>
      </c>
    </row>
    <row r="11" customFormat="false" ht="15" hidden="false" customHeight="false" outlineLevel="0" collapsed="false">
      <c r="A11" s="29" t="s">
        <v>147</v>
      </c>
      <c r="B11" s="30" t="s">
        <v>144</v>
      </c>
      <c r="C11" s="30" t="s">
        <v>148</v>
      </c>
      <c r="D11" s="31" t="n">
        <v>440</v>
      </c>
      <c r="E11" s="32" t="n">
        <v>2</v>
      </c>
      <c r="F11" s="33" t="n">
        <f aca="false">IF(E11=0,0,D11/E11)</f>
        <v>220</v>
      </c>
      <c r="G11" s="34" t="n">
        <f aca="false">F11*$B$3</f>
        <v>4070</v>
      </c>
      <c r="H11" s="29" t="s">
        <v>149</v>
      </c>
    </row>
    <row r="12" customFormat="false" ht="15" hidden="false" customHeight="false" outlineLevel="0" collapsed="false">
      <c r="A12" s="29" t="s">
        <v>150</v>
      </c>
      <c r="B12" s="30" t="s">
        <v>144</v>
      </c>
      <c r="C12" s="30" t="s">
        <v>151</v>
      </c>
      <c r="D12" s="31" t="n">
        <v>300</v>
      </c>
      <c r="E12" s="32" t="n">
        <v>4</v>
      </c>
      <c r="F12" s="33" t="n">
        <f aca="false">IF(E12=0,0,D12/E12)</f>
        <v>75</v>
      </c>
      <c r="G12" s="34" t="n">
        <f aca="false">F12*$B$3</f>
        <v>1387.5</v>
      </c>
      <c r="H12" s="29" t="s">
        <v>152</v>
      </c>
    </row>
    <row r="13" customFormat="false" ht="15" hidden="false" customHeight="false" outlineLevel="0" collapsed="false">
      <c r="A13" s="29" t="s">
        <v>153</v>
      </c>
      <c r="B13" s="30" t="s">
        <v>144</v>
      </c>
      <c r="C13" s="30" t="s">
        <v>151</v>
      </c>
      <c r="D13" s="31" t="n">
        <v>300</v>
      </c>
      <c r="E13" s="32" t="n">
        <v>4</v>
      </c>
      <c r="F13" s="33" t="n">
        <f aca="false">IF(E13=0,0,D13/E13)</f>
        <v>75</v>
      </c>
      <c r="G13" s="34" t="n">
        <f aca="false">F13*$B$3</f>
        <v>1387.5</v>
      </c>
      <c r="H13" s="29" t="s">
        <v>154</v>
      </c>
    </row>
    <row r="14" customFormat="false" ht="15" hidden="false" customHeight="false" outlineLevel="0" collapsed="false">
      <c r="A14" s="29" t="s">
        <v>155</v>
      </c>
      <c r="B14" s="30" t="s">
        <v>144</v>
      </c>
      <c r="C14" s="30" t="s">
        <v>151</v>
      </c>
      <c r="D14" s="31" t="n">
        <v>70</v>
      </c>
      <c r="E14" s="32" t="n">
        <v>4</v>
      </c>
      <c r="F14" s="33" t="n">
        <f aca="false">IF(E14=0,0,D14/E14)</f>
        <v>17.5</v>
      </c>
      <c r="G14" s="34" t="n">
        <f aca="false">F14*$B$3</f>
        <v>323.75</v>
      </c>
      <c r="H14" s="29" t="s">
        <v>156</v>
      </c>
    </row>
    <row r="15" customFormat="false" ht="23.85" hidden="false" customHeight="false" outlineLevel="0" collapsed="false">
      <c r="A15" s="29" t="s">
        <v>157</v>
      </c>
      <c r="B15" s="30" t="s">
        <v>144</v>
      </c>
      <c r="C15" s="30" t="s">
        <v>151</v>
      </c>
      <c r="D15" s="31" t="n">
        <v>720</v>
      </c>
      <c r="E15" s="32" t="n">
        <v>4</v>
      </c>
      <c r="F15" s="33" t="n">
        <f aca="false">IF(E15=0,0,D15/E15)</f>
        <v>180</v>
      </c>
      <c r="G15" s="34" t="n">
        <f aca="false">F15*$B$3</f>
        <v>3330</v>
      </c>
      <c r="H15" s="29" t="s">
        <v>158</v>
      </c>
    </row>
    <row r="16" customFormat="false" ht="15" hidden="false" customHeight="false" outlineLevel="0" collapsed="false">
      <c r="A16" s="29" t="s">
        <v>159</v>
      </c>
      <c r="B16" s="30" t="s">
        <v>144</v>
      </c>
      <c r="C16" s="30" t="s">
        <v>151</v>
      </c>
      <c r="D16" s="31" t="n">
        <v>680</v>
      </c>
      <c r="E16" s="32" t="n">
        <v>4</v>
      </c>
      <c r="F16" s="33" t="n">
        <f aca="false">IF(E16=0,0,D16/E16)</f>
        <v>170</v>
      </c>
      <c r="G16" s="34" t="n">
        <f aca="false">F16*$B$3</f>
        <v>3145</v>
      </c>
      <c r="H16" s="29" t="s">
        <v>160</v>
      </c>
    </row>
    <row r="17" customFormat="false" ht="15" hidden="false" customHeight="false" outlineLevel="0" collapsed="false">
      <c r="A17" s="29" t="s">
        <v>161</v>
      </c>
      <c r="B17" s="30" t="s">
        <v>144</v>
      </c>
      <c r="C17" s="30" t="s">
        <v>151</v>
      </c>
      <c r="D17" s="31" t="n">
        <v>88</v>
      </c>
      <c r="E17" s="32" t="n">
        <v>4</v>
      </c>
      <c r="F17" s="33" t="n">
        <f aca="false">IF(E17=0,0,D17/E17)</f>
        <v>22</v>
      </c>
      <c r="G17" s="34" t="n">
        <f aca="false">F17*$B$3</f>
        <v>407</v>
      </c>
      <c r="H17" s="29" t="s">
        <v>162</v>
      </c>
    </row>
    <row r="18" customFormat="false" ht="15" hidden="false" customHeight="false" outlineLevel="0" collapsed="false">
      <c r="A18" s="29" t="s">
        <v>163</v>
      </c>
      <c r="B18" s="30" t="s">
        <v>144</v>
      </c>
      <c r="C18" s="30" t="s">
        <v>151</v>
      </c>
      <c r="D18" s="31" t="n">
        <v>960</v>
      </c>
      <c r="E18" s="32" t="n">
        <v>4</v>
      </c>
      <c r="F18" s="33" t="n">
        <f aca="false">IF(E18=0,0,D18/E18)</f>
        <v>240</v>
      </c>
      <c r="G18" s="34" t="n">
        <f aca="false">F18*$B$3</f>
        <v>4440</v>
      </c>
      <c r="H18" s="29" t="s">
        <v>164</v>
      </c>
    </row>
    <row r="19" customFormat="false" ht="15" hidden="false" customHeight="false" outlineLevel="0" collapsed="false">
      <c r="A19" s="29" t="s">
        <v>165</v>
      </c>
      <c r="B19" s="30" t="s">
        <v>166</v>
      </c>
      <c r="C19" s="30" t="s">
        <v>148</v>
      </c>
      <c r="D19" s="31" t="n">
        <v>260</v>
      </c>
      <c r="E19" s="32" t="n">
        <v>2</v>
      </c>
      <c r="F19" s="33" t="n">
        <f aca="false">IF(E19=0,0,D19/E19)</f>
        <v>130</v>
      </c>
      <c r="G19" s="34" t="n">
        <f aca="false">F19*$B$3</f>
        <v>2405</v>
      </c>
      <c r="H19" s="29" t="s">
        <v>167</v>
      </c>
    </row>
    <row r="20" customFormat="false" ht="15" hidden="false" customHeight="false" outlineLevel="0" collapsed="false">
      <c r="A20" s="29" t="s">
        <v>168</v>
      </c>
      <c r="B20" s="30" t="s">
        <v>166</v>
      </c>
      <c r="C20" s="30" t="s">
        <v>148</v>
      </c>
      <c r="D20" s="33" t="n">
        <f aca="false">5*IF(UPPER($B$4)="B",$B$6,$B$5)*(1+$B$7)</f>
        <v>493</v>
      </c>
      <c r="E20" s="32" t="n">
        <v>2</v>
      </c>
      <c r="F20" s="33" t="n">
        <f aca="false">IF(E20=0,0,D20/E20)</f>
        <v>246.5</v>
      </c>
      <c r="G20" s="34" t="n">
        <f aca="false">F20*$B$3</f>
        <v>4560.25</v>
      </c>
      <c r="H20" s="29" t="s">
        <v>169</v>
      </c>
    </row>
    <row r="21" customFormat="false" ht="15" hidden="false" customHeight="false" outlineLevel="0" collapsed="false">
      <c r="A21" s="29" t="s">
        <v>170</v>
      </c>
      <c r="B21" s="30" t="s">
        <v>166</v>
      </c>
      <c r="C21" s="30" t="s">
        <v>148</v>
      </c>
      <c r="D21" s="31" t="n">
        <v>340</v>
      </c>
      <c r="E21" s="32" t="n">
        <v>2</v>
      </c>
      <c r="F21" s="33" t="n">
        <f aca="false">IF(E21=0,0,D21/E21)</f>
        <v>170</v>
      </c>
      <c r="G21" s="34" t="n">
        <f aca="false">F21*$B$3</f>
        <v>3145</v>
      </c>
      <c r="H21" s="29" t="s">
        <v>171</v>
      </c>
    </row>
    <row r="22" customFormat="false" ht="15" hidden="false" customHeight="false" outlineLevel="0" collapsed="false">
      <c r="A22" s="29" t="s">
        <v>98</v>
      </c>
      <c r="B22" s="30" t="s">
        <v>166</v>
      </c>
      <c r="C22" s="30" t="s">
        <v>148</v>
      </c>
      <c r="D22" s="31" t="n">
        <v>50</v>
      </c>
      <c r="E22" s="32" t="n">
        <v>2</v>
      </c>
      <c r="F22" s="33" t="n">
        <f aca="false">IF(E22=0,0,D22/E22)</f>
        <v>25</v>
      </c>
      <c r="G22" s="34" t="n">
        <f aca="false">F22*$B$3</f>
        <v>462.5</v>
      </c>
      <c r="H22" s="29"/>
    </row>
    <row r="23" customFormat="false" ht="15" hidden="false" customHeight="false" outlineLevel="0" collapsed="false">
      <c r="A23" s="29" t="s">
        <v>109</v>
      </c>
      <c r="B23" s="30" t="s">
        <v>166</v>
      </c>
      <c r="C23" s="30" t="s">
        <v>148</v>
      </c>
      <c r="D23" s="31" t="n">
        <v>72</v>
      </c>
      <c r="E23" s="32" t="n">
        <v>2</v>
      </c>
      <c r="F23" s="33" t="n">
        <f aca="false">IF(E23=0,0,D23/E23)</f>
        <v>36</v>
      </c>
      <c r="G23" s="34" t="n">
        <f aca="false">F23*$B$3</f>
        <v>666</v>
      </c>
      <c r="H23" s="29"/>
    </row>
    <row r="24" customFormat="false" ht="15" hidden="false" customHeight="false" outlineLevel="0" collapsed="false">
      <c r="A24" s="29" t="s">
        <v>106</v>
      </c>
      <c r="B24" s="30" t="s">
        <v>166</v>
      </c>
      <c r="C24" s="30" t="s">
        <v>148</v>
      </c>
      <c r="D24" s="31" t="n">
        <v>70</v>
      </c>
      <c r="E24" s="32" t="n">
        <v>2</v>
      </c>
      <c r="F24" s="33" t="n">
        <f aca="false">IF(E24=0,0,D24/E24)</f>
        <v>35</v>
      </c>
      <c r="G24" s="34" t="n">
        <f aca="false">F24*$B$3</f>
        <v>647.5</v>
      </c>
      <c r="H24" s="29"/>
    </row>
    <row r="25" customFormat="false" ht="15" hidden="false" customHeight="false" outlineLevel="0" collapsed="false">
      <c r="A25" s="29" t="s">
        <v>172</v>
      </c>
      <c r="B25" s="30" t="s">
        <v>166</v>
      </c>
      <c r="C25" s="30" t="s">
        <v>148</v>
      </c>
      <c r="D25" s="31" t="n">
        <v>60</v>
      </c>
      <c r="E25" s="32" t="n">
        <v>2</v>
      </c>
      <c r="F25" s="33" t="n">
        <f aca="false">IF(E25=0,0,D25/E25)</f>
        <v>30</v>
      </c>
      <c r="G25" s="34" t="n">
        <f aca="false">F25*$B$3</f>
        <v>555</v>
      </c>
      <c r="H25" s="29"/>
    </row>
    <row r="26" customFormat="false" ht="15" hidden="false" customHeight="false" outlineLevel="0" collapsed="false">
      <c r="A26" s="29" t="s">
        <v>173</v>
      </c>
      <c r="B26" s="30" t="s">
        <v>166</v>
      </c>
      <c r="C26" s="30" t="s">
        <v>148</v>
      </c>
      <c r="D26" s="31" t="n">
        <v>50</v>
      </c>
      <c r="E26" s="32" t="n">
        <v>2</v>
      </c>
      <c r="F26" s="33" t="n">
        <f aca="false">IF(E26=0,0,D26/E26)</f>
        <v>25</v>
      </c>
      <c r="G26" s="34" t="n">
        <f aca="false">F26*$B$3</f>
        <v>462.5</v>
      </c>
      <c r="H26" s="29"/>
    </row>
    <row r="27" customFormat="false" ht="15" hidden="false" customHeight="false" outlineLevel="0" collapsed="false">
      <c r="A27" s="29" t="s">
        <v>174</v>
      </c>
      <c r="B27" s="30" t="s">
        <v>166</v>
      </c>
      <c r="C27" s="30" t="s">
        <v>148</v>
      </c>
      <c r="D27" s="31" t="n">
        <v>150</v>
      </c>
      <c r="E27" s="32" t="n">
        <v>2</v>
      </c>
      <c r="F27" s="33" t="n">
        <f aca="false">IF(E27=0,0,D27/E27)</f>
        <v>75</v>
      </c>
      <c r="G27" s="34" t="n">
        <f aca="false">F27*$B$3</f>
        <v>1387.5</v>
      </c>
      <c r="H27" s="29" t="s">
        <v>175</v>
      </c>
    </row>
    <row r="28" customFormat="false" ht="15" hidden="false" customHeight="false" outlineLevel="0" collapsed="false">
      <c r="A28" s="29" t="s">
        <v>176</v>
      </c>
      <c r="B28" s="30" t="s">
        <v>166</v>
      </c>
      <c r="C28" s="30" t="s">
        <v>148</v>
      </c>
      <c r="D28" s="31" t="n">
        <v>700</v>
      </c>
      <c r="E28" s="32" t="n">
        <v>2</v>
      </c>
      <c r="F28" s="33" t="n">
        <f aca="false">IF(E28=0,0,D28/E28)</f>
        <v>350</v>
      </c>
      <c r="G28" s="34" t="n">
        <f aca="false">F28*$B$3</f>
        <v>6475</v>
      </c>
      <c r="H28" s="29" t="s">
        <v>177</v>
      </c>
    </row>
    <row r="29" customFormat="false" ht="15" hidden="false" customHeight="false" outlineLevel="0" collapsed="false">
      <c r="A29" s="29" t="s">
        <v>178</v>
      </c>
      <c r="B29" s="30" t="s">
        <v>166</v>
      </c>
      <c r="C29" s="30" t="s">
        <v>148</v>
      </c>
      <c r="D29" s="31" t="n">
        <v>700</v>
      </c>
      <c r="E29" s="32" t="n">
        <v>2</v>
      </c>
      <c r="F29" s="33" t="n">
        <f aca="false">IF(E29=0,0,D29/E29)</f>
        <v>350</v>
      </c>
      <c r="G29" s="34" t="n">
        <f aca="false">F29*$B$3</f>
        <v>6475</v>
      </c>
      <c r="H29" s="29" t="s">
        <v>179</v>
      </c>
    </row>
    <row r="31" customFormat="false" ht="15" hidden="false" customHeight="false" outlineLevel="0" collapsed="false">
      <c r="A31" s="35" t="s">
        <v>180</v>
      </c>
      <c r="B31" s="36"/>
      <c r="C31" s="36"/>
      <c r="D31" s="36"/>
      <c r="E31" s="36"/>
      <c r="F31" s="37" t="n">
        <f aca="false">SUMIFS(F10:F29,C10:C29,"Los 4")+SUMIFS(F10:F29,C10:C29,"Los 2 de NOLA")</f>
        <v>2472</v>
      </c>
      <c r="G31" s="38" t="n">
        <f aca="false">F31*$B$3</f>
        <v>45732</v>
      </c>
      <c r="H31" s="36"/>
    </row>
    <row r="32" customFormat="false" ht="15" hidden="false" customHeight="false" outlineLevel="0" collapsed="false">
      <c r="A32" s="35" t="s">
        <v>181</v>
      </c>
      <c r="B32" s="36"/>
      <c r="C32" s="36"/>
      <c r="D32" s="36"/>
      <c r="E32" s="36"/>
      <c r="F32" s="37" t="n">
        <f aca="false">SUMIFS(F10:F29,C10:C29,"Los 4")+SUMIFS(F10:F29,C10:C29,"Los 2 que regresan")</f>
        <v>1154.5</v>
      </c>
      <c r="G32" s="38" t="n">
        <f aca="false">F32*$B$3</f>
        <v>21358.25</v>
      </c>
      <c r="H32" s="36"/>
    </row>
    <row r="33" customFormat="false" ht="15" hidden="false" customHeight="false" outlineLevel="0" collapsed="false">
      <c r="A33" s="35" t="s">
        <v>182</v>
      </c>
      <c r="B33" s="36"/>
      <c r="C33" s="36"/>
      <c r="D33" s="37" t="n">
        <f aca="false">SUM(D10:D29)</f>
        <v>7253</v>
      </c>
      <c r="E33" s="36"/>
      <c r="F33" s="36"/>
      <c r="G33" s="38" t="n">
        <f aca="false">D33*$B$3</f>
        <v>134180.5</v>
      </c>
      <c r="H33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2026-10-23T20:44:51Z</dcterms:created>
  <dc:creator>openpyxl</dc:creator>
  <dc:description/>
  <dc:language>en-US</dc:language>
  <cp:lastModifiedBy/>
  <dcterms:modified xsi:type="dcterms:W3CDTF">2026-10-23T20:44:52Z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