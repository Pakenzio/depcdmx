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valuacion" sheetId="2" state="visible" r:id="rId4"/>
    <sheet name="Temas" sheetId="3" state="visible" r:id="rId5"/>
    <sheet name="Crite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Alineación con art. 4 y política climática</t>
        </r>
      </text>
    </comment>
    <comment ref="J4" authorId="0">
      <text>
        <r>
          <rPr>
            <sz val="10"/>
            <rFont val="Arial"/>
            <family val="2"/>
          </rPr>
          <t xml:space="preserve">Proponente elegible con personalidad jurídica</t>
        </r>
      </text>
    </comment>
    <comment ref="K4" authorId="0">
      <text>
        <r>
          <rPr>
            <sz val="10"/>
            <rFont val="Arial"/>
            <family val="2"/>
          </rPr>
          <t xml:space="preserve">Ejecución en BCS, área delimitada</t>
        </r>
      </text>
    </comment>
    <comment ref="L4" authorId="0">
      <text>
        <r>
          <rPr>
            <sz val="10"/>
            <rFont val="Arial"/>
            <family val="2"/>
          </rPr>
          <t xml:space="preserve">Objeto, objetivos y metas medibles</t>
        </r>
      </text>
    </comment>
    <comment ref="M4" authorId="0">
      <text>
        <r>
          <rPr>
            <sz val="10"/>
            <rFont val="Arial"/>
            <family val="2"/>
          </rPr>
          <t xml:space="preserve">Apartado técnico-financiero y costo-beneficio</t>
        </r>
      </text>
    </comment>
    <comment ref="N4" authorId="0">
      <text>
        <r>
          <rPr>
            <sz val="10"/>
            <rFont val="Arial"/>
            <family val="2"/>
          </rPr>
          <t xml:space="preserve">Plan de trabajo y cronograma</t>
        </r>
      </text>
    </comment>
    <comment ref="O4" authorId="0">
      <text>
        <r>
          <rPr>
            <sz val="10"/>
            <rFont val="Arial"/>
            <family val="2"/>
          </rPr>
          <t xml:space="preserve">Riesgos y contingencias</t>
        </r>
      </text>
    </comment>
    <comment ref="P4" authorId="0">
      <text>
        <r>
          <rPr>
            <sz val="10"/>
            <rFont val="Arial"/>
            <family val="2"/>
          </rPr>
          <t xml:space="preserve">Informes trimestrales y publicidad</t>
        </r>
      </text>
    </comment>
    <comment ref="Q4" authorId="0">
      <text>
        <r>
          <rPr>
            <sz val="10"/>
            <rFont val="Arial"/>
            <family val="2"/>
          </rPr>
          <t xml:space="preserve">Permisos o ruta para obtenerlos</t>
        </r>
      </text>
    </comment>
    <comment ref="R4" authorId="0">
      <text>
        <r>
          <rPr>
            <sz val="10"/>
            <rFont val="Arial"/>
            <family val="2"/>
          </rPr>
          <t xml:space="preserve">Sin duplicidad; trazabilidad por fuente</t>
        </r>
      </text>
    </comment>
    <comment ref="S4" authorId="0">
      <text>
        <r>
          <rPr>
            <sz val="10"/>
            <rFont val="Arial"/>
            <family val="2"/>
          </rPr>
          <t xml:space="preserve">Sin daño significativo</t>
        </r>
      </text>
    </comment>
    <comment ref="T4" authorId="0">
      <text>
        <r>
          <rPr>
            <sz val="10"/>
            <rFont val="Arial"/>
            <family val="2"/>
          </rPr>
          <t xml:space="preserve">Soporte documental completo</t>
        </r>
      </text>
    </comment>
    <comment ref="U4" authorId="0">
      <text>
        <r>
          <rPr>
            <sz val="10"/>
            <rFont val="Arial"/>
            <family val="2"/>
          </rPr>
          <t xml:space="preserve">Requisito específico de la fracción principal (hoja Temas)</t>
        </r>
      </text>
    </comment>
    <comment ref="W4" authorId="0">
      <text>
        <r>
          <rPr>
            <sz val="10"/>
            <rFont val="Arial"/>
            <family val="2"/>
          </rPr>
          <t xml:space="preserve">Impacto climático y ambiental</t>
        </r>
      </text>
    </comment>
    <comment ref="X4" authorId="0">
      <text>
        <r>
          <rPr>
            <sz val="10"/>
            <rFont val="Arial"/>
            <family val="2"/>
          </rPr>
          <t xml:space="preserve">Atención a población y territorios vulnerables</t>
        </r>
      </text>
    </comment>
    <comment ref="Y4" authorId="0">
      <text>
        <r>
          <rPr>
            <sz val="10"/>
            <rFont val="Arial"/>
            <family val="2"/>
          </rPr>
          <t xml:space="preserve">Viabilidad técnica</t>
        </r>
      </text>
    </comment>
    <comment ref="Z4" authorId="0">
      <text>
        <r>
          <rPr>
            <sz val="10"/>
            <rFont val="Arial"/>
            <family val="2"/>
          </rPr>
          <t xml:space="preserve">Viabilidad financiera y costo-efectividad</t>
        </r>
      </text>
    </comment>
    <comment ref="AA4" authorId="0">
      <text>
        <r>
          <rPr>
            <sz val="10"/>
            <rFont val="Arial"/>
            <family val="2"/>
          </rPr>
          <t xml:space="preserve">Viabilidad legal, administrativa y capacidad del proponente</t>
        </r>
      </text>
    </comment>
    <comment ref="AB4" authorId="0">
      <text>
        <r>
          <rPr>
            <sz val="10"/>
            <rFont val="Arial"/>
            <family val="2"/>
          </rPr>
          <t xml:space="preserve">Sostenibilidad y permanencia</t>
        </r>
      </text>
    </comment>
    <comment ref="AC4" authorId="0">
      <text>
        <r>
          <rPr>
            <sz val="10"/>
            <rFont val="Arial"/>
            <family val="2"/>
          </rPr>
          <t xml:space="preserve">Cobeneficios y transversalidad</t>
        </r>
      </text>
    </comment>
    <comment ref="AD4" authorId="0">
      <text>
        <r>
          <rPr>
            <sz val="10"/>
            <rFont val="Arial"/>
            <family val="2"/>
          </rPr>
          <t xml:space="preserve">Participación social, género e inclusión</t>
        </r>
      </text>
    </comment>
  </commentList>
</comments>
</file>

<file path=xl/sharedStrings.xml><?xml version="1.0" encoding="utf-8"?>
<sst xmlns="http://schemas.openxmlformats.org/spreadsheetml/2006/main" count="201" uniqueCount="169">
  <si>
    <t xml:space="preserve">Matriz de elegibilidad y evaluación de proyectos – FEAC BCS</t>
  </si>
  <si>
    <t xml:space="preserve">Aplica los criterios del documento metodológico «Criterios de elegibilidad y selección de proyectos – FEAC BCS».</t>
  </si>
  <si>
    <t xml:space="preserve">Cómo usarla</t>
  </si>
  <si>
    <t xml:space="preserve">1. En la hoja «Evaluacion», llene una fila por proyecto. Solo se editan las celdas amarillas; las blancas calculan solas.</t>
  </si>
  <si>
    <t xml:space="preserve">2. Columnas E1–E12 y «Req. específico»: elija Sí o No. Un solo No vuelve al proyecto «No elegible».</t>
  </si>
  <si>
    <t xml:space="preserve">3. Columnas C1–C8: califique de 0 a 4 (ver escala en «Criterios»). Solo se puntúan proyectos elegibles.</t>
  </si>
  <si>
    <t xml:space="preserve">4. El puntaje (0–100), el resultado y la prelación se calculan solos.</t>
  </si>
  <si>
    <t xml:space="preserve">5. Pesos, umbral y mínimos se cambian en la hoja «Criterios» (celdas amarillas); todas las fórmulas los leen de ahí.</t>
  </si>
  <si>
    <t xml:space="preserve">Reglas de decisión</t>
  </si>
  <si>
    <t xml:space="preserve">• Elegible = cumple E1 a E12 y el requisito específico de su fracción.</t>
  </si>
  <si>
    <t xml:space="preserve">• Aprobable = elegible, puntaje ≥ umbral (60) y calificación ≥ 2 en C1 (impacto) y C3 (viabilidad técnica).</t>
  </si>
  <si>
    <t xml:space="preserve">• Prelación: orden por puntaje entre los aprobables. Desempate: C2, luego C1, luego % de cofinanciamiento (manual).</t>
  </si>
  <si>
    <t xml:space="preserve">La fila 5 de «Evaluacion» es un ejemplo ilustrativo; bórrela o sobrescríbala.</t>
  </si>
  <si>
    <t xml:space="preserve">Fuente: Propuesta de Decreto FEAC BCS (versión 1), arts. 3, 4, 5, 9, 14, 16 y 17.</t>
  </si>
  <si>
    <t xml:space="preserve">Matriz de elegibilidad y evaluación</t>
  </si>
  <si>
    <t xml:space="preserve">Celdas amarillas = captura. Blancas = fórmulas, no editar.</t>
  </si>
  <si>
    <t xml:space="preserve">Criterios generales de elegibilidad (Sí/No)</t>
  </si>
  <si>
    <t xml:space="preserve">Calificación 0–4</t>
  </si>
  <si>
    <t xml:space="preserve">ID</t>
  </si>
  <si>
    <t xml:space="preserve">Proyecto</t>
  </si>
  <si>
    <t xml:space="preserve">Proponente</t>
  </si>
  <si>
    <t xml:space="preserve">Tipo de proponente</t>
  </si>
  <si>
    <t xml:space="preserve">Fracción (art. 4)</t>
  </si>
  <si>
    <t xml:space="preserve">Línea temática</t>
  </si>
  <si>
    <t xml:space="preserve">Monto solicitado (MXN)</t>
  </si>
  <si>
    <t xml:space="preserve">Cofinanciamiento (%)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</si>
  <si>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</si>
  <si>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</si>
  <si>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</si>
  <si>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</si>
  <si>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</si>
  <si>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</si>
  <si>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</si>
  <si>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</si>
  <si>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</si>
  <si>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</si>
  <si>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</si>
  <si>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</si>
  <si>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Req. específico</t>
  </si>
  <si>
    <t xml:space="preserve">Elegibilidad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</si>
  <si>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</si>
  <si>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</si>
  <si>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</si>
  <si>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</si>
  <si>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</si>
  <si>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</si>
  <si>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</si>
  <si>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</si>
  <si>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Puntaje (0-100)</t>
  </si>
  <si>
    <t xml:space="preserve">Mínimos C1 y C3</t>
  </si>
  <si>
    <t xml:space="preserve">Resultado</t>
  </si>
  <si>
    <t xml:space="preserve">Prelación</t>
  </si>
  <si>
    <t xml:space="preserve">Observaciones</t>
  </si>
  <si>
    <t xml:space="preserve">EJ-01</t>
  </si>
  <si>
    <t xml:space="preserve">Restauración de manglar en laguna costera (ejemplo)</t>
  </si>
  <si>
    <t xml:space="preserve">OSC ejemplo</t>
  </si>
  <si>
    <t xml:space="preserve">Privado - OSC</t>
  </si>
  <si>
    <t xml:space="preserve">IV</t>
  </si>
  <si>
    <t xml:space="preserve">Sí</t>
  </si>
  <si>
    <t xml:space="preserve">Fila de ejemplo: bórrela antes de usar</t>
  </si>
  <si>
    <t xml:space="preserve">Temas financiables (art. 4 del Decreto) y criterios específicos</t>
  </si>
  <si>
    <t xml:space="preserve">Fracción</t>
  </si>
  <si>
    <t xml:space="preserve">Tema</t>
  </si>
  <si>
    <t xml:space="preserve">Requisito específico de elegibilidad</t>
  </si>
  <si>
    <t xml:space="preserve">Indicador de impacto (C1)</t>
  </si>
  <si>
    <t xml:space="preserve">I</t>
  </si>
  <si>
    <t xml:space="preserve">A. Adaptación y resiliencia</t>
  </si>
  <si>
    <t xml:space="preserve">Adaptación y reducción de vulnerabilidad</t>
  </si>
  <si>
    <t xml:space="preserve">Se ubica en comunidad rural, costera o zona de alto riesgo, o atiende a un grupo vulnerable; parte de un diagnóstico de vulnerabilidad o atlas de riesgos</t>
  </si>
  <si>
    <t xml:space="preserve">Personas u hogares con vulnerabilidad reducida</t>
  </si>
  <si>
    <t xml:space="preserve">II</t>
  </si>
  <si>
    <t xml:space="preserve">C. Mitigación y transición energética</t>
  </si>
  <si>
    <t xml:space="preserve">Mitigación de emisiones</t>
  </si>
  <si>
    <t xml:space="preserve">Presenta línea base de emisiones y método de cálculo de la reducción</t>
  </si>
  <si>
    <t xml:space="preserve">tCO2e reducidas o evitadas por año</t>
  </si>
  <si>
    <t xml:space="preserve">III</t>
  </si>
  <si>
    <t xml:space="preserve">Resiliencia territorial e infraestructura resiliente</t>
  </si>
  <si>
    <t xml:space="preserve">Incorpora escenarios climáticos o de riesgo en el diseño; si es obra, tiene proyecto ejecutivo o ruta para obtenerlo</t>
  </si>
  <si>
    <t xml:space="preserve">Población y activos protegidos</t>
  </si>
  <si>
    <t xml:space="preserve">B. Capital natural y biodiversidad</t>
  </si>
  <si>
    <t xml:space="preserve">Conservación y restauración de capital natural</t>
  </si>
  <si>
    <t xml:space="preserve">Superficie delimitada, tenencia acreditada y acuerdo con propietarios o núcleos agrarios; en un área natural protegida, alineado a su programa de manejo</t>
  </si>
  <si>
    <t xml:space="preserve">Hectáreas conservadas o restauradas</t>
  </si>
  <si>
    <t xml:space="preserve">V</t>
  </si>
  <si>
    <t xml:space="preserve">Restauración ecológica, reforestación y corredores</t>
  </si>
  <si>
    <t xml:space="preserve">Usa especies nativas e incluye mantenimiento y monitoreo de sobrevivencia por al menos 3 años</t>
  </si>
  <si>
    <t xml:space="preserve">Hectáreas restauradas, % de sobrevivencia, km de corredor</t>
  </si>
  <si>
    <t xml:space="preserve">VI</t>
  </si>
  <si>
    <t xml:space="preserve">Transición energética</t>
  </si>
  <si>
    <t xml:space="preserve">Diagnóstico energético o estudio de recurso; cumple la normatividad de interconexión cuando aplica</t>
  </si>
  <si>
    <t xml:space="preserve">MWh ahorrados o generados por año; hogares electrificados</t>
  </si>
  <si>
    <t xml:space="preserve">VII</t>
  </si>
  <si>
    <t xml:space="preserve">Electromovilidad y tecnologías limpias</t>
  </si>
  <si>
    <t xml:space="preserve">Beneficio público (transporte público, escuelas, hospitales, edificios públicos o vivienda social) y análisis de costo total de propiedad</t>
  </si>
  <si>
    <t xml:space="preserve">tCO2e evitadas; unidades o inmuebles intervenidos</t>
  </si>
  <si>
    <t xml:space="preserve">VIII</t>
  </si>
  <si>
    <t xml:space="preserve">D. Calidad ambiental urbana y residuos</t>
  </si>
  <si>
    <t xml:space="preserve">Calidad del aire y movilidad sustentable</t>
  </si>
  <si>
    <t xml:space="preserve">Se basa en datos de calidad del aire o diagnóstico de movilidad; los equipos de monitoreo cumplen la NOM aplicable</t>
  </si>
  <si>
    <t xml:space="preserve">Contaminantes criterio reducidos; estaciones o km de infraestructura</t>
  </si>
  <si>
    <t xml:space="preserve">IX</t>
  </si>
  <si>
    <t xml:space="preserve">Residuos y economía circular</t>
  </si>
  <si>
    <t xml:space="preserve">Es congruente con el programa municipal o estatal de residuos y tiene destino final autorizado</t>
  </si>
  <si>
    <t xml:space="preserve">Toneladas desviadas de disposición final por año</t>
  </si>
  <si>
    <t xml:space="preserve">X</t>
  </si>
  <si>
    <t xml:space="preserve">E. Conocimiento, educación e instituciones</t>
  </si>
  <si>
    <t xml:space="preserve">Educación ambiental y cultura climática</t>
  </si>
  <si>
    <t xml:space="preserve">Define población objetivo, contenidos y una evaluación antes y después</t>
  </si>
  <si>
    <t xml:space="preserve">Personas con aprendizaje verificado</t>
  </si>
  <si>
    <t xml:space="preserve">XI</t>
  </si>
  <si>
    <t xml:space="preserve">Investigación, innovación y tecnología</t>
  </si>
  <si>
    <t xml:space="preserve">La ejecuta una institución de investigación o una alianza con ella; muestra la ruta de aplicación en BCS</t>
  </si>
  <si>
    <t xml:space="preserve">Tecnologías transferidas, prototipos o productos aplicados</t>
  </si>
  <si>
    <t xml:space="preserve">XII</t>
  </si>
  <si>
    <t xml:space="preserve">Infraestructura verde y soluciones basadas en la naturaleza</t>
  </si>
  <si>
    <t xml:space="preserve">Estudio hidrológico o de sitio y plan de mantenimiento con responsable</t>
  </si>
  <si>
    <t xml:space="preserve">m3 captados o infiltrados por año; m2 intervenidos</t>
  </si>
  <si>
    <t xml:space="preserve">XIII</t>
  </si>
  <si>
    <t xml:space="preserve">Ordenamiento ecológico y territorial</t>
  </si>
  <si>
    <t xml:space="preserve">Promovido o avalado por la autoridad competente, con ruta de consulta pública y publicación</t>
  </si>
  <si>
    <t xml:space="preserve">Hectáreas ordenadas; instrumentos publicados</t>
  </si>
  <si>
    <t xml:space="preserve">XIV</t>
  </si>
  <si>
    <t xml:space="preserve">Inspección, vigilancia y cumplimiento ambiental</t>
  </si>
  <si>
    <t xml:space="preserve">Solo dependencias estatales o municipales con atribuciones de inspección, con programa operativo</t>
  </si>
  <si>
    <t xml:space="preserve">Inspecciones realizadas; superficie vigilada</t>
  </si>
  <si>
    <t xml:space="preserve">XV</t>
  </si>
  <si>
    <t xml:space="preserve">Especies nativas, invasoras y bienestar animal</t>
  </si>
  <si>
    <t xml:space="preserve">Diagnóstico o listado oficial de especies; demuestra contribución a la estabilidad ecológica</t>
  </si>
  <si>
    <t xml:space="preserve">Hábitat restaurado; poblaciones invasoras controladas</t>
  </si>
  <si>
    <t xml:space="preserve">XVI</t>
  </si>
  <si>
    <t xml:space="preserve">F. Acciones estratégicas</t>
  </si>
  <si>
    <t xml:space="preserve">Acciones estratégicas</t>
  </si>
  <si>
    <t xml:space="preserve">Acuerdo de la Comisión Intersectorial de Cambio Climático que la determine</t>
  </si>
  <si>
    <t xml:space="preserve">El que fije el acuerdo</t>
  </si>
  <si>
    <t xml:space="preserve">Criterios de evaluación, pesos y parámetros</t>
  </si>
  <si>
    <t xml:space="preserve">Clave</t>
  </si>
  <si>
    <t xml:space="preserve">Criterio</t>
  </si>
  <si>
    <t xml:space="preserve">Peso (pts)</t>
  </si>
  <si>
    <t xml:space="preserve">Qué se califica</t>
  </si>
  <si>
    <t xml:space="preserve">Impacto climático y ambiental</t>
  </si>
  <si>
    <t xml:space="preserve">Magnitud del resultado en el indicador de la fracción, con línea base y meta</t>
  </si>
  <si>
    <t xml:space="preserve">Atención a población y territorios vulnerables</t>
  </si>
  <si>
    <t xml:space="preserve">Comunidades rurales, costeras o de alto riesgo; pueblos indígenas, mujeres, niñas, niños, personas con discapacidad</t>
  </si>
  <si>
    <t xml:space="preserve">Viabilidad técnica</t>
  </si>
  <si>
    <t xml:space="preserve">Solidez del diseño, metodología, cronograma y riesgos</t>
  </si>
  <si>
    <t xml:space="preserve">Viabilidad financiera y costo-efectividad</t>
  </si>
  <si>
    <t xml:space="preserve">Costo por unidad de resultado, costo-beneficio y cofinanciamiento</t>
  </si>
  <si>
    <t xml:space="preserve">Viabilidad legal, administrativa y capacidad del proponente</t>
  </si>
  <si>
    <t xml:space="preserve">Permisos, experiencia previa y equipo</t>
  </si>
  <si>
    <t xml:space="preserve">Sostenibilidad y permanencia</t>
  </si>
  <si>
    <t xml:space="preserve">Quién opera y paga el mantenimiento al terminar el apoyo</t>
  </si>
  <si>
    <t xml:space="preserve">Cobeneficios y transversalidad</t>
  </si>
  <si>
    <t xml:space="preserve">Efecto simultáneo en adaptación, mitigación o capital natural; aporte a la Agenda 2030</t>
  </si>
  <si>
    <t xml:space="preserve">Participación social, género e inclusión</t>
  </si>
  <si>
    <t xml:space="preserve">Participación de la comunidad en diseño y ejecución; enfoque de género</t>
  </si>
  <si>
    <t xml:space="preserve">Total (debe sumar 100)</t>
  </si>
  <si>
    <t xml:space="preserve">Parámetros de decisión</t>
  </si>
  <si>
    <t xml:space="preserve">Puntaje mínimo para ser aprobable</t>
  </si>
  <si>
    <t xml:space="preserve">Calificación mínima en C1 (impacto)</t>
  </si>
  <si>
    <t xml:space="preserve">Calificación mínima en C3 (viabilidad técnica)</t>
  </si>
  <si>
    <t xml:space="preserve">Calificación máxima de la escala</t>
  </si>
  <si>
    <t xml:space="preserve">Escala de calificación</t>
  </si>
  <si>
    <t xml:space="preserve">Nivel</t>
  </si>
  <si>
    <t xml:space="preserve">Significado</t>
  </si>
  <si>
    <t xml:space="preserve">No presenta información o no cumple</t>
  </si>
  <si>
    <t xml:space="preserve">Insuficiente: información parcial o sin sustento</t>
  </si>
  <si>
    <t xml:space="preserve">Básico: cumple lo mínimo, con supuestos razonables</t>
  </si>
  <si>
    <t xml:space="preserve">Bueno: sustento sólido y metas cuantificadas</t>
  </si>
  <si>
    <t xml:space="preserve">Sobresaliente: evidencia sólida, metas ambiciosas y verificables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</si>
</sst>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%"/>
    <numFmt numFmtId="167" formatCode="0.0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2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21" min="9" style="0" width="6"/>
    <col collapsed="false" customWidth="true" hidden="false" outlineLevel="0" max="22" min="22" style="0" width="13"/>
    <col collapsed="false" customWidth="true" hidden="false" outlineLevel="0" max="30" min="23" style="0" width="6"/>
    <col collapsed="false" customWidth="true" hidden="false" outlineLevel="0" max="31" min="31" style="0" width="10"/>
    <col collapsed="false" customWidth="true" hidden="false" outlineLevel="0" max="32" min="32" style="0" width="12"/>
    <col collapsed="false" customWidth="true" hidden="false" outlineLevel="0" max="33" min="33" style="0" width="20"/>
    <col collapsed="false" customWidth="true" hidden="false" outlineLevel="0" max="34" min="34" style="0" width="10"/>
    <col collapsed="false" customWidth="true" hidden="false" outlineLevel="0" max="35" min="35" style="0" width="4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5" t="s">
        <v>15</v>
      </c>
    </row>
    <row r="3" customFormat="false" ht="15" hidden="false" customHeight="false" outlineLevel="0" collapsed="false">
      <c r="I3" s="3" t="s">
        <v>16</v>
      </c>
      <c r="W3" s="3" t="s">
        <v>17</v>
      </c>
    </row>
    <row r="4" customFormat="false" ht="45" hidden="false" customHeight="tru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  <c r="S4" s="6" t="s">
        <v>36</v>
      </c>
      <c r="T4" s="6" t="s">
        <v>37</v>
      </c>
      <c r="U4" s="6" t="s">
        <v>38</v>
      </c>
      <c r="V4" s="6" t="s">
        <v>39</v>
      </c>
      <c r="W4" s="6" t="s">
        <v>40</v>
      </c>
      <c r="X4" s="6" t="s">
        <v>41</v>
      </c>
      <c r="Y4" s="6" t="s">
        <v>42</v>
      </c>
      <c r="Z4" s="6" t="s">
        <v>43</v>
      </c>
      <c r="AA4" s="6" t="s">
        <v>44</v>
      </c>
      <c r="AB4" s="6" t="s">
        <v>45</v>
      </c>
      <c r="AC4" s="6" t="s">
        <v>46</v>
      </c>
      <c r="AD4" s="6" t="s">
        <v>47</v>
      </c>
      <c r="AE4" s="6" t="s">
        <v>48</v>
      </c>
      <c r="AF4" s="6" t="s">
        <v>49</v>
      </c>
      <c r="AG4" s="6" t="s">
        <v>50</v>
      </c>
      <c r="AH4" s="6" t="s">
        <v>51</v>
      </c>
      <c r="AI4" s="6" t="s">
        <v>52</v>
      </c>
    </row>
    <row r="5" customFormat="false" ht="15" hidden="false" customHeight="false" outlineLevel="0" collapsed="false">
      <c r="A5" s="7" t="s">
        <v>53</v>
      </c>
      <c r="B5" s="7" t="s">
        <v>54</v>
      </c>
      <c r="C5" s="7" t="s">
        <v>55</v>
      </c>
      <c r="D5" s="7" t="s">
        <v>56</v>
      </c>
      <c r="E5" s="7" t="s">
        <v>57</v>
      </c>
      <c r="F5" s="8" t="str">
        <f aca="false">IF(E5="","",IFERROR(INDEX(Temas!$B$4:$B$19,MATCH(E5,Temas!$A$4:$A$19,0)),"Fracción no válida"))</f>
        <v>B. Capital natural y biodiversidad</v>
      </c>
      <c r="G5" s="9" t="n">
        <v>2500000</v>
      </c>
      <c r="H5" s="10" t="n">
        <v>0.3</v>
      </c>
      <c r="I5" s="7" t="s">
        <v>58</v>
      </c>
      <c r="J5" s="7" t="s">
        <v>58</v>
      </c>
      <c r="K5" s="7" t="s">
        <v>58</v>
      </c>
      <c r="L5" s="7" t="s">
        <v>58</v>
      </c>
      <c r="M5" s="7" t="s">
        <v>58</v>
      </c>
      <c r="N5" s="7" t="s">
        <v>58</v>
      </c>
      <c r="O5" s="7" t="s">
        <v>58</v>
      </c>
      <c r="P5" s="7" t="s">
        <v>58</v>
      </c>
      <c r="Q5" s="7" t="s">
        <v>58</v>
      </c>
      <c r="R5" s="7" t="s">
        <v>58</v>
      </c>
      <c r="S5" s="7" t="s">
        <v>58</v>
      </c>
      <c r="T5" s="7" t="s">
        <v>58</v>
      </c>
      <c r="U5" s="7" t="s">
        <v>58</v>
      </c>
      <c r="V5" s="8" t="str">
        <f aca="false">IF(COUNTA(I5:U5)=0,"",IF(COUNTIF(I5:U5,"Sí")=13,"Elegible",IF(COUNTA(I5:U5)&lt;13,"Incompleto","No elegible")))</f>
        <v>Elegible</v>
      </c>
      <c r="W5" s="7" t="n">
        <v>3</v>
      </c>
      <c r="X5" s="7" t="n">
        <v>3</v>
      </c>
      <c r="Y5" s="7" t="n">
        <v>3</v>
      </c>
      <c r="Z5" s="7" t="n">
        <v>2</v>
      </c>
      <c r="AA5" s="7" t="n">
        <v>3</v>
      </c>
      <c r="AB5" s="7" t="n">
        <v>2</v>
      </c>
      <c r="AC5" s="7" t="n">
        <v>4</v>
      </c>
      <c r="AD5" s="7" t="n">
        <v>3</v>
      </c>
      <c r="AE5" s="11" t="n">
        <f aca="false">IF(AND(V5="Elegible",COUNT(W5:AD5)=8),ROUND(N(W5)/Criterios!$C$18*Criterios!$C$4+N(X5)/Criterios!$C$18*Criterios!$C$5+N(Y5)/Criterios!$C$18*Criterios!$C$6+N(Z5)/Criterios!$C$18*Criterios!$C$7+N(AA5)/Criterios!$C$18*Criterios!$C$8+N(AB5)/Criterios!$C$18*Criterios!$C$9+N(AC5)/Criterios!$C$18*Criterios!$C$10+N(AD5)/Criterios!$C$18*Criterios!$C$11,1),"")</f>
        <v>70</v>
      </c>
      <c r="AF5" s="8" t="str">
        <f aca="false">IF(AE5="","",IF(AND(W5&gt;=Criterios!$C$16,Y5&gt;=Criterios!$C$17),"Cumple","No cumple"))</f>
        <v>Cumple</v>
      </c>
      <c r="AG5" s="8" t="str">
        <f aca="false">IF(V5="","",IF(V5&lt;&gt;"Elegible",V5,IF(AE5="","Pendiente de calificar",IF(AND(AE5&gt;=Criterios!$C$15,AF5="Cumple"),"Aprobable","No aprobable"))))</f>
        <v>Aprobable</v>
      </c>
      <c r="AH5" s="8" t="n">
        <f aca="false">IF(AG5="Aprobable",COUNTIFS($AG$5:$AG$54,"Aprobable",$AE$5:$AE$54,"&gt;"&amp;AE5)+1,"")</f>
        <v>1</v>
      </c>
      <c r="AI5" s="7" t="s">
        <v>59</v>
      </c>
    </row>
    <row r="6" customFormat="false" ht="15" hidden="false" customHeight="false" outlineLevel="0" collapsed="false">
      <c r="A6" s="12"/>
      <c r="B6" s="12"/>
      <c r="C6" s="12"/>
      <c r="D6" s="12"/>
      <c r="E6" s="12"/>
      <c r="F6" s="8" t="str">
        <f aca="false">IF(E6="","",IFERROR(INDEX(Temas!$B$4:$B$19,MATCH(E6,Temas!$A$4:$A$19,0)),"Fracción no válida"))</f>
        <v/>
      </c>
      <c r="G6" s="13"/>
      <c r="H6" s="1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8" t="str">
        <f aca="false">IF(COUNTA(I6:U6)=0,"",IF(COUNTIF(I6:U6,"Sí")=13,"Elegible",IF(COUNTA(I6:U6)&lt;13,"Incompleto","No elegible")))</f>
        <v/>
      </c>
      <c r="W6" s="12"/>
      <c r="X6" s="12"/>
      <c r="Y6" s="12"/>
      <c r="Z6" s="12"/>
      <c r="AA6" s="12"/>
      <c r="AB6" s="12"/>
      <c r="AC6" s="12"/>
      <c r="AD6" s="12"/>
      <c r="AE6" s="11" t="str">
        <f aca="false">IF(AND(V6="Elegible",COUNT(W6:AD6)=8),ROUND(N(W6)/Criterios!$C$18*Criterios!$C$4+N(X6)/Criterios!$C$18*Criterios!$C$5+N(Y6)/Criterios!$C$18*Criterios!$C$6+N(Z6)/Criterios!$C$18*Criterios!$C$7+N(AA6)/Criterios!$C$18*Criterios!$C$8+N(AB6)/Criterios!$C$18*Criterios!$C$9+N(AC6)/Criterios!$C$18*Criterios!$C$10+N(AD6)/Criterios!$C$18*Criterios!$C$11,1),"")</f>
        <v/>
      </c>
      <c r="AF6" s="8" t="str">
        <f aca="false">IF(AE6="","",IF(AND(W6&gt;=Criterios!$C$16,Y6&gt;=Criterios!$C$17),"Cumple","No cumple"))</f>
        <v/>
      </c>
      <c r="AG6" s="8" t="str">
        <f aca="false">IF(V6="","",IF(V6&lt;&gt;"Elegible",V6,IF(AE6="","Pendiente de calificar",IF(AND(AE6&gt;=Criterios!$C$15,AF6="Cumple"),"Aprobable","No aprobable"))))</f>
        <v/>
      </c>
      <c r="AH6" s="8" t="str">
        <f aca="false">IF(AG6="Aprobable",COUNTIFS($AG$5:$AG$54,"Aprobable",$AE$5:$AE$54,"&gt;"&amp;AE6)+1,"")</f>
        <v/>
      </c>
      <c r="AI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8" t="str">
        <f aca="false">IF(E7="","",IFERROR(INDEX(Temas!$B$4:$B$19,MATCH(E7,Temas!$A$4:$A$19,0)),"Fracción no válida"))</f>
        <v/>
      </c>
      <c r="G7" s="13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8" t="str">
        <f aca="false">IF(COUNTA(I7:U7)=0,"",IF(COUNTIF(I7:U7,"Sí")=13,"Elegible",IF(COUNTA(I7:U7)&lt;13,"Incompleto","No elegible")))</f>
        <v/>
      </c>
      <c r="W7" s="12"/>
      <c r="X7" s="12"/>
      <c r="Y7" s="12"/>
      <c r="Z7" s="12"/>
      <c r="AA7" s="12"/>
      <c r="AB7" s="12"/>
      <c r="AC7" s="12"/>
      <c r="AD7" s="12"/>
      <c r="AE7" s="11" t="str">
        <f aca="false">IF(AND(V7="Elegible",COUNT(W7:AD7)=8),ROUND(N(W7)/Criterios!$C$18*Criterios!$C$4+N(X7)/Criterios!$C$18*Criterios!$C$5+N(Y7)/Criterios!$C$18*Criterios!$C$6+N(Z7)/Criterios!$C$18*Criterios!$C$7+N(AA7)/Criterios!$C$18*Criterios!$C$8+N(AB7)/Criterios!$C$18*Criterios!$C$9+N(AC7)/Criterios!$C$18*Criterios!$C$10+N(AD7)/Criterios!$C$18*Criterios!$C$11,1),"")</f>
        <v/>
      </c>
      <c r="AF7" s="8" t="str">
        <f aca="false">IF(AE7="","",IF(AND(W7&gt;=Criterios!$C$16,Y7&gt;=Criterios!$C$17),"Cumple","No cumple"))</f>
        <v/>
      </c>
      <c r="AG7" s="8" t="str">
        <f aca="false">IF(V7="","",IF(V7&lt;&gt;"Elegible",V7,IF(AE7="","Pendiente de calificar",IF(AND(AE7&gt;=Criterios!$C$15,AF7="Cumple"),"Aprobable","No aprobable"))))</f>
        <v/>
      </c>
      <c r="AH7" s="8" t="str">
        <f aca="false">IF(AG7="Aprobable",COUNTIFS($AG$5:$AG$54,"Aprobable",$AE$5:$AE$54,"&gt;"&amp;AE7)+1,"")</f>
        <v/>
      </c>
      <c r="AI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8" t="str">
        <f aca="false">IF(E8="","",IFERROR(INDEX(Temas!$B$4:$B$19,MATCH(E8,Temas!$A$4:$A$19,0)),"Fracción no válida"))</f>
        <v/>
      </c>
      <c r="G8" s="13"/>
      <c r="H8" s="1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8" t="str">
        <f aca="false">IF(COUNTA(I8:U8)=0,"",IF(COUNTIF(I8:U8,"Sí")=13,"Elegible",IF(COUNTA(I8:U8)&lt;13,"Incompleto","No elegible")))</f>
        <v/>
      </c>
      <c r="W8" s="12"/>
      <c r="X8" s="12"/>
      <c r="Y8" s="12"/>
      <c r="Z8" s="12"/>
      <c r="AA8" s="12"/>
      <c r="AB8" s="12"/>
      <c r="AC8" s="12"/>
      <c r="AD8" s="12"/>
      <c r="AE8" s="11" t="str">
        <f aca="false">IF(AND(V8="Elegible",COUNT(W8:AD8)=8),ROUND(N(W8)/Criterios!$C$18*Criterios!$C$4+N(X8)/Criterios!$C$18*Criterios!$C$5+N(Y8)/Criterios!$C$18*Criterios!$C$6+N(Z8)/Criterios!$C$18*Criterios!$C$7+N(AA8)/Criterios!$C$18*Criterios!$C$8+N(AB8)/Criterios!$C$18*Criterios!$C$9+N(AC8)/Criterios!$C$18*Criterios!$C$10+N(AD8)/Criterios!$C$18*Criterios!$C$11,1),"")</f>
        <v/>
      </c>
      <c r="AF8" s="8" t="str">
        <f aca="false">IF(AE8="","",IF(AND(W8&gt;=Criterios!$C$16,Y8&gt;=Criterios!$C$17),"Cumple","No cumple"))</f>
        <v/>
      </c>
      <c r="AG8" s="8" t="str">
        <f aca="false">IF(V8="","",IF(V8&lt;&gt;"Elegible",V8,IF(AE8="","Pendiente de calificar",IF(AND(AE8&gt;=Criterios!$C$15,AF8="Cumple"),"Aprobable","No aprobable"))))</f>
        <v/>
      </c>
      <c r="AH8" s="8" t="str">
        <f aca="false">IF(AG8="Aprobable",COUNTIFS($AG$5:$AG$54,"Aprobable",$AE$5:$AE$54,"&gt;"&amp;AE8)+1,"")</f>
        <v/>
      </c>
      <c r="AI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8" t="str">
        <f aca="false">IF(E9="","",IFERROR(INDEX(Temas!$B$4:$B$19,MATCH(E9,Temas!$A$4:$A$19,0)),"Fracción no válida"))</f>
        <v/>
      </c>
      <c r="G9" s="13"/>
      <c r="H9" s="1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8" t="str">
        <f aca="false">IF(COUNTA(I9:U9)=0,"",IF(COUNTIF(I9:U9,"Sí")=13,"Elegible",IF(COUNTA(I9:U9)&lt;13,"Incompleto","No elegible")))</f>
        <v/>
      </c>
      <c r="W9" s="12"/>
      <c r="X9" s="12"/>
      <c r="Y9" s="12"/>
      <c r="Z9" s="12"/>
      <c r="AA9" s="12"/>
      <c r="AB9" s="12"/>
      <c r="AC9" s="12"/>
      <c r="AD9" s="12"/>
      <c r="AE9" s="11" t="str">
        <f aca="false">IF(AND(V9="Elegible",COUNT(W9:AD9)=8),ROUND(N(W9)/Criterios!$C$18*Criterios!$C$4+N(X9)/Criterios!$C$18*Criterios!$C$5+N(Y9)/Criterios!$C$18*Criterios!$C$6+N(Z9)/Criterios!$C$18*Criterios!$C$7+N(AA9)/Criterios!$C$18*Criterios!$C$8+N(AB9)/Criterios!$C$18*Criterios!$C$9+N(AC9)/Criterios!$C$18*Criterios!$C$10+N(AD9)/Criterios!$C$18*Criterios!$C$11,1),"")</f>
        <v/>
      </c>
      <c r="AF9" s="8" t="str">
        <f aca="false">IF(AE9="","",IF(AND(W9&gt;=Criterios!$C$16,Y9&gt;=Criterios!$C$17),"Cumple","No cumple"))</f>
        <v/>
      </c>
      <c r="AG9" s="8" t="str">
        <f aca="false">IF(V9="","",IF(V9&lt;&gt;"Elegible",V9,IF(AE9="","Pendiente de calificar",IF(AND(AE9&gt;=Criterios!$C$15,AF9="Cumple"),"Aprobable","No aprobable"))))</f>
        <v/>
      </c>
      <c r="AH9" s="8" t="str">
        <f aca="false">IF(AG9="Aprobable",COUNTIFS($AG$5:$AG$54,"Aprobable",$AE$5:$AE$54,"&gt;"&amp;AE9)+1,"")</f>
        <v/>
      </c>
      <c r="AI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8" t="str">
        <f aca="false">IF(E10="","",IFERROR(INDEX(Temas!$B$4:$B$19,MATCH(E10,Temas!$A$4:$A$19,0)),"Fracción no válida"))</f>
        <v/>
      </c>
      <c r="G10" s="13"/>
      <c r="H10" s="1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8" t="str">
        <f aca="false">IF(COUNTA(I10:U10)=0,"",IF(COUNTIF(I10:U10,"Sí")=13,"Elegible",IF(COUNTA(I10:U10)&lt;13,"Incompleto","No elegible")))</f>
        <v/>
      </c>
      <c r="W10" s="12"/>
      <c r="X10" s="12"/>
      <c r="Y10" s="12"/>
      <c r="Z10" s="12"/>
      <c r="AA10" s="12"/>
      <c r="AB10" s="12"/>
      <c r="AC10" s="12"/>
      <c r="AD10" s="12"/>
      <c r="AE10" s="11" t="str">
        <f aca="false">IF(AND(V10="Elegible",COUNT(W10:AD10)=8),ROUND(N(W10)/Criterios!$C$18*Criterios!$C$4+N(X10)/Criterios!$C$18*Criterios!$C$5+N(Y10)/Criterios!$C$18*Criterios!$C$6+N(Z10)/Criterios!$C$18*Criterios!$C$7+N(AA10)/Criterios!$C$18*Criterios!$C$8+N(AB10)/Criterios!$C$18*Criterios!$C$9+N(AC10)/Criterios!$C$18*Criterios!$C$10+N(AD10)/Criterios!$C$18*Criterios!$C$11,1),"")</f>
        <v/>
      </c>
      <c r="AF10" s="8" t="str">
        <f aca="false">IF(AE10="","",IF(AND(W10&gt;=Criterios!$C$16,Y10&gt;=Criterios!$C$17),"Cumple","No cumple"))</f>
        <v/>
      </c>
      <c r="AG10" s="8" t="str">
        <f aca="false">IF(V10="","",IF(V10&lt;&gt;"Elegible",V10,IF(AE10="","Pendiente de calificar",IF(AND(AE10&gt;=Criterios!$C$15,AF10="Cumple"),"Aprobable","No aprobable"))))</f>
        <v/>
      </c>
      <c r="AH10" s="8" t="str">
        <f aca="false">IF(AG10="Aprobable",COUNTIFS($AG$5:$AG$54,"Aprobable",$AE$5:$AE$54,"&gt;"&amp;AE10)+1,"")</f>
        <v/>
      </c>
      <c r="AI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8" t="str">
        <f aca="false">IF(E11="","",IFERROR(INDEX(Temas!$B$4:$B$19,MATCH(E11,Temas!$A$4:$A$19,0)),"Fracción no válida"))</f>
        <v/>
      </c>
      <c r="G11" s="13"/>
      <c r="H11" s="1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8" t="str">
        <f aca="false">IF(COUNTA(I11:U11)=0,"",IF(COUNTIF(I11:U11,"Sí")=13,"Elegible",IF(COUNTA(I11:U11)&lt;13,"Incompleto","No elegible")))</f>
        <v/>
      </c>
      <c r="W11" s="12"/>
      <c r="X11" s="12"/>
      <c r="Y11" s="12"/>
      <c r="Z11" s="12"/>
      <c r="AA11" s="12"/>
      <c r="AB11" s="12"/>
      <c r="AC11" s="12"/>
      <c r="AD11" s="12"/>
      <c r="AE11" s="11" t="str">
        <f aca="false">IF(AND(V11="Elegible",COUNT(W11:AD11)=8),ROUND(N(W11)/Criterios!$C$18*Criterios!$C$4+N(X11)/Criterios!$C$18*Criterios!$C$5+N(Y11)/Criterios!$C$18*Criterios!$C$6+N(Z11)/Criterios!$C$18*Criterios!$C$7+N(AA11)/Criterios!$C$18*Criterios!$C$8+N(AB11)/Criterios!$C$18*Criterios!$C$9+N(AC11)/Criterios!$C$18*Criterios!$C$10+N(AD11)/Criterios!$C$18*Criterios!$C$11,1),"")</f>
        <v/>
      </c>
      <c r="AF11" s="8" t="str">
        <f aca="false">IF(AE11="","",IF(AND(W11&gt;=Criterios!$C$16,Y11&gt;=Criterios!$C$17),"Cumple","No cumple"))</f>
        <v/>
      </c>
      <c r="AG11" s="8" t="str">
        <f aca="false">IF(V11="","",IF(V11&lt;&gt;"Elegible",V11,IF(AE11="","Pendiente de calificar",IF(AND(AE11&gt;=Criterios!$C$15,AF11="Cumple"),"Aprobable","No aprobable"))))</f>
        <v/>
      </c>
      <c r="AH11" s="8" t="str">
        <f aca="false">IF(AG11="Aprobable",COUNTIFS($AG$5:$AG$54,"Aprobable",$AE$5:$AE$54,"&gt;"&amp;AE11)+1,"")</f>
        <v/>
      </c>
      <c r="AI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8" t="str">
        <f aca="false">IF(E12="","",IFERROR(INDEX(Temas!$B$4:$B$19,MATCH(E12,Temas!$A$4:$A$19,0)),"Fracción no válida"))</f>
        <v/>
      </c>
      <c r="G12" s="13"/>
      <c r="H12" s="1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8" t="str">
        <f aca="false">IF(COUNTA(I12:U12)=0,"",IF(COUNTIF(I12:U12,"Sí")=13,"Elegible",IF(COUNTA(I12:U12)&lt;13,"Incompleto","No elegible")))</f>
        <v/>
      </c>
      <c r="W12" s="12"/>
      <c r="X12" s="12"/>
      <c r="Y12" s="12"/>
      <c r="Z12" s="12"/>
      <c r="AA12" s="12"/>
      <c r="AB12" s="12"/>
      <c r="AC12" s="12"/>
      <c r="AD12" s="12"/>
      <c r="AE12" s="11" t="str">
        <f aca="false">IF(AND(V12="Elegible",COUNT(W12:AD12)=8),ROUND(N(W12)/Criterios!$C$18*Criterios!$C$4+N(X12)/Criterios!$C$18*Criterios!$C$5+N(Y12)/Criterios!$C$18*Criterios!$C$6+N(Z12)/Criterios!$C$18*Criterios!$C$7+N(AA12)/Criterios!$C$18*Criterios!$C$8+N(AB12)/Criterios!$C$18*Criterios!$C$9+N(AC12)/Criterios!$C$18*Criterios!$C$10+N(AD12)/Criterios!$C$18*Criterios!$C$11,1),"")</f>
        <v/>
      </c>
      <c r="AF12" s="8" t="str">
        <f aca="false">IF(AE12="","",IF(AND(W12&gt;=Criterios!$C$16,Y12&gt;=Criterios!$C$17),"Cumple","No cumple"))</f>
        <v/>
      </c>
      <c r="AG12" s="8" t="str">
        <f aca="false">IF(V12="","",IF(V12&lt;&gt;"Elegible",V12,IF(AE12="","Pendiente de calificar",IF(AND(AE12&gt;=Criterios!$C$15,AF12="Cumple"),"Aprobable","No aprobable"))))</f>
        <v/>
      </c>
      <c r="AH12" s="8" t="str">
        <f aca="false">IF(AG12="Aprobable",COUNTIFS($AG$5:$AG$54,"Aprobable",$AE$5:$AE$54,"&gt;"&amp;AE12)+1,"")</f>
        <v/>
      </c>
      <c r="AI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8" t="str">
        <f aca="false">IF(E13="","",IFERROR(INDEX(Temas!$B$4:$B$19,MATCH(E13,Temas!$A$4:$A$19,0)),"Fracción no válida"))</f>
        <v/>
      </c>
      <c r="G13" s="13"/>
      <c r="H13" s="1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8" t="str">
        <f aca="false">IF(COUNTA(I13:U13)=0,"",IF(COUNTIF(I13:U13,"Sí")=13,"Elegible",IF(COUNTA(I13:U13)&lt;13,"Incompleto","No elegible")))</f>
        <v/>
      </c>
      <c r="W13" s="12"/>
      <c r="X13" s="12"/>
      <c r="Y13" s="12"/>
      <c r="Z13" s="12"/>
      <c r="AA13" s="12"/>
      <c r="AB13" s="12"/>
      <c r="AC13" s="12"/>
      <c r="AD13" s="12"/>
      <c r="AE13" s="11" t="str">
        <f aca="false">IF(AND(V13="Elegible",COUNT(W13:AD13)=8),ROUND(N(W13)/Criterios!$C$18*Criterios!$C$4+N(X13)/Criterios!$C$18*Criterios!$C$5+N(Y13)/Criterios!$C$18*Criterios!$C$6+N(Z13)/Criterios!$C$18*Criterios!$C$7+N(AA13)/Criterios!$C$18*Criterios!$C$8+N(AB13)/Criterios!$C$18*Criterios!$C$9+N(AC13)/Criterios!$C$18*Criterios!$C$10+N(AD13)/Criterios!$C$18*Criterios!$C$11,1),"")</f>
        <v/>
      </c>
      <c r="AF13" s="8" t="str">
        <f aca="false">IF(AE13="","",IF(AND(W13&gt;=Criterios!$C$16,Y13&gt;=Criterios!$C$17),"Cumple","No cumple"))</f>
        <v/>
      </c>
      <c r="AG13" s="8" t="str">
        <f aca="false">IF(V13="","",IF(V13&lt;&gt;"Elegible",V13,IF(AE13="","Pendiente de calificar",IF(AND(AE13&gt;=Criterios!$C$15,AF13="Cumple"),"Aprobable","No aprobable"))))</f>
        <v/>
      </c>
      <c r="AH13" s="8" t="str">
        <f aca="false">IF(AG13="Aprobable",COUNTIFS($AG$5:$AG$54,"Aprobable",$AE$5:$AE$54,"&gt;"&amp;AE13)+1,"")</f>
        <v/>
      </c>
      <c r="AI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8" t="str">
        <f aca="false">IF(E14="","",IFERROR(INDEX(Temas!$B$4:$B$19,MATCH(E14,Temas!$A$4:$A$19,0)),"Fracción no válida"))</f>
        <v/>
      </c>
      <c r="G14" s="13"/>
      <c r="H14" s="14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8" t="str">
        <f aca="false">IF(COUNTA(I14:U14)=0,"",IF(COUNTIF(I14:U14,"Sí")=13,"Elegible",IF(COUNTA(I14:U14)&lt;13,"Incompleto","No elegible")))</f>
        <v/>
      </c>
      <c r="W14" s="12"/>
      <c r="X14" s="12"/>
      <c r="Y14" s="12"/>
      <c r="Z14" s="12"/>
      <c r="AA14" s="12"/>
      <c r="AB14" s="12"/>
      <c r="AC14" s="12"/>
      <c r="AD14" s="12"/>
      <c r="AE14" s="11" t="str">
        <f aca="false">IF(AND(V14="Elegible",COUNT(W14:AD14)=8),ROUND(N(W14)/Criterios!$C$18*Criterios!$C$4+N(X14)/Criterios!$C$18*Criterios!$C$5+N(Y14)/Criterios!$C$18*Criterios!$C$6+N(Z14)/Criterios!$C$18*Criterios!$C$7+N(AA14)/Criterios!$C$18*Criterios!$C$8+N(AB14)/Criterios!$C$18*Criterios!$C$9+N(AC14)/Criterios!$C$18*Criterios!$C$10+N(AD14)/Criterios!$C$18*Criterios!$C$11,1),"")</f>
        <v/>
      </c>
      <c r="AF14" s="8" t="str">
        <f aca="false">IF(AE14="","",IF(AND(W14&gt;=Criterios!$C$16,Y14&gt;=Criterios!$C$17),"Cumple","No cumple"))</f>
        <v/>
      </c>
      <c r="AG14" s="8" t="str">
        <f aca="false">IF(V14="","",IF(V14&lt;&gt;"Elegible",V14,IF(AE14="","Pendiente de calificar",IF(AND(AE14&gt;=Criterios!$C$15,AF14="Cumple"),"Aprobable","No aprobable"))))</f>
        <v/>
      </c>
      <c r="AH14" s="8" t="str">
        <f aca="false">IF(AG14="Aprobable",COUNTIFS($AG$5:$AG$54,"Aprobable",$AE$5:$AE$54,"&gt;"&amp;AE14)+1,"")</f>
        <v/>
      </c>
      <c r="AI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8" t="str">
        <f aca="false">IF(E15="","",IFERROR(INDEX(Temas!$B$4:$B$19,MATCH(E15,Temas!$A$4:$A$19,0)),"Fracción no válida"))</f>
        <v/>
      </c>
      <c r="G15" s="13"/>
      <c r="H15" s="1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8" t="str">
        <f aca="false">IF(COUNTA(I15:U15)=0,"",IF(COUNTIF(I15:U15,"Sí")=13,"Elegible",IF(COUNTA(I15:U15)&lt;13,"Incompleto","No elegible")))</f>
        <v/>
      </c>
      <c r="W15" s="12"/>
      <c r="X15" s="12"/>
      <c r="Y15" s="12"/>
      <c r="Z15" s="12"/>
      <c r="AA15" s="12"/>
      <c r="AB15" s="12"/>
      <c r="AC15" s="12"/>
      <c r="AD15" s="12"/>
      <c r="AE15" s="11" t="str">
        <f aca="false">IF(AND(V15="Elegible",COUNT(W15:AD15)=8),ROUND(N(W15)/Criterios!$C$18*Criterios!$C$4+N(X15)/Criterios!$C$18*Criterios!$C$5+N(Y15)/Criterios!$C$18*Criterios!$C$6+N(Z15)/Criterios!$C$18*Criterios!$C$7+N(AA15)/Criterios!$C$18*Criterios!$C$8+N(AB15)/Criterios!$C$18*Criterios!$C$9+N(AC15)/Criterios!$C$18*Criterios!$C$10+N(AD15)/Criterios!$C$18*Criterios!$C$11,1),"")</f>
        <v/>
      </c>
      <c r="AF15" s="8" t="str">
        <f aca="false">IF(AE15="","",IF(AND(W15&gt;=Criterios!$C$16,Y15&gt;=Criterios!$C$17),"Cumple","No cumple"))</f>
        <v/>
      </c>
      <c r="AG15" s="8" t="str">
        <f aca="false">IF(V15="","",IF(V15&lt;&gt;"Elegible",V15,IF(AE15="","Pendiente de calificar",IF(AND(AE15&gt;=Criterios!$C$15,AF15="Cumple"),"Aprobable","No aprobable"))))</f>
        <v/>
      </c>
      <c r="AH15" s="8" t="str">
        <f aca="false">IF(AG15="Aprobable",COUNTIFS($AG$5:$AG$54,"Aprobable",$AE$5:$AE$54,"&gt;"&amp;AE15)+1,"")</f>
        <v/>
      </c>
      <c r="AI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8" t="str">
        <f aca="false">IF(E16="","",IFERROR(INDEX(Temas!$B$4:$B$19,MATCH(E16,Temas!$A$4:$A$19,0)),"Fracción no válida"))</f>
        <v/>
      </c>
      <c r="G16" s="13"/>
      <c r="H16" s="1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8" t="str">
        <f aca="false">IF(COUNTA(I16:U16)=0,"",IF(COUNTIF(I16:U16,"Sí")=13,"Elegible",IF(COUNTA(I16:U16)&lt;13,"Incompleto","No elegible")))</f>
        <v/>
      </c>
      <c r="W16" s="12"/>
      <c r="X16" s="12"/>
      <c r="Y16" s="12"/>
      <c r="Z16" s="12"/>
      <c r="AA16" s="12"/>
      <c r="AB16" s="12"/>
      <c r="AC16" s="12"/>
      <c r="AD16" s="12"/>
      <c r="AE16" s="11" t="str">
        <f aca="false">IF(AND(V16="Elegible",COUNT(W16:AD16)=8),ROUND(N(W16)/Criterios!$C$18*Criterios!$C$4+N(X16)/Criterios!$C$18*Criterios!$C$5+N(Y16)/Criterios!$C$18*Criterios!$C$6+N(Z16)/Criterios!$C$18*Criterios!$C$7+N(AA16)/Criterios!$C$18*Criterios!$C$8+N(AB16)/Criterios!$C$18*Criterios!$C$9+N(AC16)/Criterios!$C$18*Criterios!$C$10+N(AD16)/Criterios!$C$18*Criterios!$C$11,1),"")</f>
        <v/>
      </c>
      <c r="AF16" s="8" t="str">
        <f aca="false">IF(AE16="","",IF(AND(W16&gt;=Criterios!$C$16,Y16&gt;=Criterios!$C$17),"Cumple","No cumple"))</f>
        <v/>
      </c>
      <c r="AG16" s="8" t="str">
        <f aca="false">IF(V16="","",IF(V16&lt;&gt;"Elegible",V16,IF(AE16="","Pendiente de calificar",IF(AND(AE16&gt;=Criterios!$C$15,AF16="Cumple"),"Aprobable","No aprobable"))))</f>
        <v/>
      </c>
      <c r="AH16" s="8" t="str">
        <f aca="false">IF(AG16="Aprobable",COUNTIFS($AG$5:$AG$54,"Aprobable",$AE$5:$AE$54,"&gt;"&amp;AE16)+1,"")</f>
        <v/>
      </c>
      <c r="AI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8" t="str">
        <f aca="false">IF(E17="","",IFERROR(INDEX(Temas!$B$4:$B$19,MATCH(E17,Temas!$A$4:$A$19,0)),"Fracción no válida"))</f>
        <v/>
      </c>
      <c r="G17" s="13"/>
      <c r="H17" s="1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8" t="str">
        <f aca="false">IF(COUNTA(I17:U17)=0,"",IF(COUNTIF(I17:U17,"Sí")=13,"Elegible",IF(COUNTA(I17:U17)&lt;13,"Incompleto","No elegible")))</f>
        <v/>
      </c>
      <c r="W17" s="12"/>
      <c r="X17" s="12"/>
      <c r="Y17" s="12"/>
      <c r="Z17" s="12"/>
      <c r="AA17" s="12"/>
      <c r="AB17" s="12"/>
      <c r="AC17" s="12"/>
      <c r="AD17" s="12"/>
      <c r="AE17" s="11" t="str">
        <f aca="false">IF(AND(V17="Elegible",COUNT(W17:AD17)=8),ROUND(N(W17)/Criterios!$C$18*Criterios!$C$4+N(X17)/Criterios!$C$18*Criterios!$C$5+N(Y17)/Criterios!$C$18*Criterios!$C$6+N(Z17)/Criterios!$C$18*Criterios!$C$7+N(AA17)/Criterios!$C$18*Criterios!$C$8+N(AB17)/Criterios!$C$18*Criterios!$C$9+N(AC17)/Criterios!$C$18*Criterios!$C$10+N(AD17)/Criterios!$C$18*Criterios!$C$11,1),"")</f>
        <v/>
      </c>
      <c r="AF17" s="8" t="str">
        <f aca="false">IF(AE17="","",IF(AND(W17&gt;=Criterios!$C$16,Y17&gt;=Criterios!$C$17),"Cumple","No cumple"))</f>
        <v/>
      </c>
      <c r="AG17" s="8" t="str">
        <f aca="false">IF(V17="","",IF(V17&lt;&gt;"Elegible",V17,IF(AE17="","Pendiente de calificar",IF(AND(AE17&gt;=Criterios!$C$15,AF17="Cumple"),"Aprobable","No aprobable"))))</f>
        <v/>
      </c>
      <c r="AH17" s="8" t="str">
        <f aca="false">IF(AG17="Aprobable",COUNTIFS($AG$5:$AG$54,"Aprobable",$AE$5:$AE$54,"&gt;"&amp;AE17)+1,"")</f>
        <v/>
      </c>
      <c r="AI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8" t="str">
        <f aca="false">IF(E18="","",IFERROR(INDEX(Temas!$B$4:$B$19,MATCH(E18,Temas!$A$4:$A$19,0)),"Fracción no válida"))</f>
        <v/>
      </c>
      <c r="G18" s="13"/>
      <c r="H18" s="1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8" t="str">
        <f aca="false">IF(COUNTA(I18:U18)=0,"",IF(COUNTIF(I18:U18,"Sí")=13,"Elegible",IF(COUNTA(I18:U18)&lt;13,"Incompleto","No elegible")))</f>
        <v/>
      </c>
      <c r="W18" s="12"/>
      <c r="X18" s="12"/>
      <c r="Y18" s="12"/>
      <c r="Z18" s="12"/>
      <c r="AA18" s="12"/>
      <c r="AB18" s="12"/>
      <c r="AC18" s="12"/>
      <c r="AD18" s="12"/>
      <c r="AE18" s="11" t="str">
        <f aca="false">IF(AND(V18="Elegible",COUNT(W18:AD18)=8),ROUND(N(W18)/Criterios!$C$18*Criterios!$C$4+N(X18)/Criterios!$C$18*Criterios!$C$5+N(Y18)/Criterios!$C$18*Criterios!$C$6+N(Z18)/Criterios!$C$18*Criterios!$C$7+N(AA18)/Criterios!$C$18*Criterios!$C$8+N(AB18)/Criterios!$C$18*Criterios!$C$9+N(AC18)/Criterios!$C$18*Criterios!$C$10+N(AD18)/Criterios!$C$18*Criterios!$C$11,1),"")</f>
        <v/>
      </c>
      <c r="AF18" s="8" t="str">
        <f aca="false">IF(AE18="","",IF(AND(W18&gt;=Criterios!$C$16,Y18&gt;=Criterios!$C$17),"Cumple","No cumple"))</f>
        <v/>
      </c>
      <c r="AG18" s="8" t="str">
        <f aca="false">IF(V18="","",IF(V18&lt;&gt;"Elegible",V18,IF(AE18="","Pendiente de calificar",IF(AND(AE18&gt;=Criterios!$C$15,AF18="Cumple"),"Aprobable","No aprobable"))))</f>
        <v/>
      </c>
      <c r="AH18" s="8" t="str">
        <f aca="false">IF(AG18="Aprobable",COUNTIFS($AG$5:$AG$54,"Aprobable",$AE$5:$AE$54,"&gt;"&amp;AE18)+1,"")</f>
        <v/>
      </c>
      <c r="AI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8" t="str">
        <f aca="false">IF(E19="","",IFERROR(INDEX(Temas!$B$4:$B$19,MATCH(E19,Temas!$A$4:$A$19,0)),"Fracción no válida"))</f>
        <v/>
      </c>
      <c r="G19" s="13"/>
      <c r="H19" s="1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8" t="str">
        <f aca="false">IF(COUNTA(I19:U19)=0,"",IF(COUNTIF(I19:U19,"Sí")=13,"Elegible",IF(COUNTA(I19:U19)&lt;13,"Incompleto","No elegible")))</f>
        <v/>
      </c>
      <c r="W19" s="12"/>
      <c r="X19" s="12"/>
      <c r="Y19" s="12"/>
      <c r="Z19" s="12"/>
      <c r="AA19" s="12"/>
      <c r="AB19" s="12"/>
      <c r="AC19" s="12"/>
      <c r="AD19" s="12"/>
      <c r="AE19" s="11" t="str">
        <f aca="false">IF(AND(V19="Elegible",COUNT(W19:AD19)=8),ROUND(N(W19)/Criterios!$C$18*Criterios!$C$4+N(X19)/Criterios!$C$18*Criterios!$C$5+N(Y19)/Criterios!$C$18*Criterios!$C$6+N(Z19)/Criterios!$C$18*Criterios!$C$7+N(AA19)/Criterios!$C$18*Criterios!$C$8+N(AB19)/Criterios!$C$18*Criterios!$C$9+N(AC19)/Criterios!$C$18*Criterios!$C$10+N(AD19)/Criterios!$C$18*Criterios!$C$11,1),"")</f>
        <v/>
      </c>
      <c r="AF19" s="8" t="str">
        <f aca="false">IF(AE19="","",IF(AND(W19&gt;=Criterios!$C$16,Y19&gt;=Criterios!$C$17),"Cumple","No cumple"))</f>
        <v/>
      </c>
      <c r="AG19" s="8" t="str">
        <f aca="false">IF(V19="","",IF(V19&lt;&gt;"Elegible",V19,IF(AE19="","Pendiente de calificar",IF(AND(AE19&gt;=Criterios!$C$15,AF19="Cumple"),"Aprobable","No aprobable"))))</f>
        <v/>
      </c>
      <c r="AH19" s="8" t="str">
        <f aca="false">IF(AG19="Aprobable",COUNTIFS($AG$5:$AG$54,"Aprobable",$AE$5:$AE$54,"&gt;"&amp;AE19)+1,"")</f>
        <v/>
      </c>
      <c r="AI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8" t="str">
        <f aca="false">IF(E20="","",IFERROR(INDEX(Temas!$B$4:$B$19,MATCH(E20,Temas!$A$4:$A$19,0)),"Fracción no válida"))</f>
        <v/>
      </c>
      <c r="G20" s="13"/>
      <c r="H20" s="1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8" t="str">
        <f aca="false">IF(COUNTA(I20:U20)=0,"",IF(COUNTIF(I20:U20,"Sí")=13,"Elegible",IF(COUNTA(I20:U20)&lt;13,"Incompleto","No elegible")))</f>
        <v/>
      </c>
      <c r="W20" s="12"/>
      <c r="X20" s="12"/>
      <c r="Y20" s="12"/>
      <c r="Z20" s="12"/>
      <c r="AA20" s="12"/>
      <c r="AB20" s="12"/>
      <c r="AC20" s="12"/>
      <c r="AD20" s="12"/>
      <c r="AE20" s="11" t="str">
        <f aca="false">IF(AND(V20="Elegible",COUNT(W20:AD20)=8),ROUND(N(W20)/Criterios!$C$18*Criterios!$C$4+N(X20)/Criterios!$C$18*Criterios!$C$5+N(Y20)/Criterios!$C$18*Criterios!$C$6+N(Z20)/Criterios!$C$18*Criterios!$C$7+N(AA20)/Criterios!$C$18*Criterios!$C$8+N(AB20)/Criterios!$C$18*Criterios!$C$9+N(AC20)/Criterios!$C$18*Criterios!$C$10+N(AD20)/Criterios!$C$18*Criterios!$C$11,1),"")</f>
        <v/>
      </c>
      <c r="AF20" s="8" t="str">
        <f aca="false">IF(AE20="","",IF(AND(W20&gt;=Criterios!$C$16,Y20&gt;=Criterios!$C$17),"Cumple","No cumple"))</f>
        <v/>
      </c>
      <c r="AG20" s="8" t="str">
        <f aca="false">IF(V20="","",IF(V20&lt;&gt;"Elegible",V20,IF(AE20="","Pendiente de calificar",IF(AND(AE20&gt;=Criterios!$C$15,AF20="Cumple"),"Aprobable","No aprobable"))))</f>
        <v/>
      </c>
      <c r="AH20" s="8" t="str">
        <f aca="false">IF(AG20="Aprobable",COUNTIFS($AG$5:$AG$54,"Aprobable",$AE$5:$AE$54,"&gt;"&amp;AE20)+1,"")</f>
        <v/>
      </c>
      <c r="AI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8" t="str">
        <f aca="false">IF(E21="","",IFERROR(INDEX(Temas!$B$4:$B$19,MATCH(E21,Temas!$A$4:$A$19,0)),"Fracción no válida"))</f>
        <v/>
      </c>
      <c r="G21" s="13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8" t="str">
        <f aca="false">IF(COUNTA(I21:U21)=0,"",IF(COUNTIF(I21:U21,"Sí")=13,"Elegible",IF(COUNTA(I21:U21)&lt;13,"Incompleto","No elegible")))</f>
        <v/>
      </c>
      <c r="W21" s="12"/>
      <c r="X21" s="12"/>
      <c r="Y21" s="12"/>
      <c r="Z21" s="12"/>
      <c r="AA21" s="12"/>
      <c r="AB21" s="12"/>
      <c r="AC21" s="12"/>
      <c r="AD21" s="12"/>
      <c r="AE21" s="11" t="str">
        <f aca="false">IF(AND(V21="Elegible",COUNT(W21:AD21)=8),ROUND(N(W21)/Criterios!$C$18*Criterios!$C$4+N(X21)/Criterios!$C$18*Criterios!$C$5+N(Y21)/Criterios!$C$18*Criterios!$C$6+N(Z21)/Criterios!$C$18*Criterios!$C$7+N(AA21)/Criterios!$C$18*Criterios!$C$8+N(AB21)/Criterios!$C$18*Criterios!$C$9+N(AC21)/Criterios!$C$18*Criterios!$C$10+N(AD21)/Criterios!$C$18*Criterios!$C$11,1),"")</f>
        <v/>
      </c>
      <c r="AF21" s="8" t="str">
        <f aca="false">IF(AE21="","",IF(AND(W21&gt;=Criterios!$C$16,Y21&gt;=Criterios!$C$17),"Cumple","No cumple"))</f>
        <v/>
      </c>
      <c r="AG21" s="8" t="str">
        <f aca="false">IF(V21="","",IF(V21&lt;&gt;"Elegible",V21,IF(AE21="","Pendiente de calificar",IF(AND(AE21&gt;=Criterios!$C$15,AF21="Cumple"),"Aprobable","No aprobable"))))</f>
        <v/>
      </c>
      <c r="AH21" s="8" t="str">
        <f aca="false">IF(AG21="Aprobable",COUNTIFS($AG$5:$AG$54,"Aprobable",$AE$5:$AE$54,"&gt;"&amp;AE21)+1,"")</f>
        <v/>
      </c>
      <c r="AI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8" t="str">
        <f aca="false">IF(E22="","",IFERROR(INDEX(Temas!$B$4:$B$19,MATCH(E22,Temas!$A$4:$A$19,0)),"Fracción no válida"))</f>
        <v/>
      </c>
      <c r="G22" s="13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8" t="str">
        <f aca="false">IF(COUNTA(I22:U22)=0,"",IF(COUNTIF(I22:U22,"Sí")=13,"Elegible",IF(COUNTA(I22:U22)&lt;13,"Incompleto","No elegible")))</f>
        <v/>
      </c>
      <c r="W22" s="12"/>
      <c r="X22" s="12"/>
      <c r="Y22" s="12"/>
      <c r="Z22" s="12"/>
      <c r="AA22" s="12"/>
      <c r="AB22" s="12"/>
      <c r="AC22" s="12"/>
      <c r="AD22" s="12"/>
      <c r="AE22" s="11" t="str">
        <f aca="false">IF(AND(V22="Elegible",COUNT(W22:AD22)=8),ROUND(N(W22)/Criterios!$C$18*Criterios!$C$4+N(X22)/Criterios!$C$18*Criterios!$C$5+N(Y22)/Criterios!$C$18*Criterios!$C$6+N(Z22)/Criterios!$C$18*Criterios!$C$7+N(AA22)/Criterios!$C$18*Criterios!$C$8+N(AB22)/Criterios!$C$18*Criterios!$C$9+N(AC22)/Criterios!$C$18*Criterios!$C$10+N(AD22)/Criterios!$C$18*Criterios!$C$11,1),"")</f>
        <v/>
      </c>
      <c r="AF22" s="8" t="str">
        <f aca="false">IF(AE22="","",IF(AND(W22&gt;=Criterios!$C$16,Y22&gt;=Criterios!$C$17),"Cumple","No cumple"))</f>
        <v/>
      </c>
      <c r="AG22" s="8" t="str">
        <f aca="false">IF(V22="","",IF(V22&lt;&gt;"Elegible",V22,IF(AE22="","Pendiente de calificar",IF(AND(AE22&gt;=Criterios!$C$15,AF22="Cumple"),"Aprobable","No aprobable"))))</f>
        <v/>
      </c>
      <c r="AH22" s="8" t="str">
        <f aca="false">IF(AG22="Aprobable",COUNTIFS($AG$5:$AG$54,"Aprobable",$AE$5:$AE$54,"&gt;"&amp;AE22)+1,"")</f>
        <v/>
      </c>
      <c r="AI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8" t="str">
        <f aca="false">IF(E23="","",IFERROR(INDEX(Temas!$B$4:$B$19,MATCH(E23,Temas!$A$4:$A$19,0)),"Fracción no válida"))</f>
        <v/>
      </c>
      <c r="G23" s="13"/>
      <c r="H23" s="1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8" t="str">
        <f aca="false">IF(COUNTA(I23:U23)=0,"",IF(COUNTIF(I23:U23,"Sí")=13,"Elegible",IF(COUNTA(I23:U23)&lt;13,"Incompleto","No elegible")))</f>
        <v/>
      </c>
      <c r="W23" s="12"/>
      <c r="X23" s="12"/>
      <c r="Y23" s="12"/>
      <c r="Z23" s="12"/>
      <c r="AA23" s="12"/>
      <c r="AB23" s="12"/>
      <c r="AC23" s="12"/>
      <c r="AD23" s="12"/>
      <c r="AE23" s="11" t="str">
        <f aca="false">IF(AND(V23="Elegible",COUNT(W23:AD23)=8),ROUND(N(W23)/Criterios!$C$18*Criterios!$C$4+N(X23)/Criterios!$C$18*Criterios!$C$5+N(Y23)/Criterios!$C$18*Criterios!$C$6+N(Z23)/Criterios!$C$18*Criterios!$C$7+N(AA23)/Criterios!$C$18*Criterios!$C$8+N(AB23)/Criterios!$C$18*Criterios!$C$9+N(AC23)/Criterios!$C$18*Criterios!$C$10+N(AD23)/Criterios!$C$18*Criterios!$C$11,1),"")</f>
        <v/>
      </c>
      <c r="AF23" s="8" t="str">
        <f aca="false">IF(AE23="","",IF(AND(W23&gt;=Criterios!$C$16,Y23&gt;=Criterios!$C$17),"Cumple","No cumple"))</f>
        <v/>
      </c>
      <c r="AG23" s="8" t="str">
        <f aca="false">IF(V23="","",IF(V23&lt;&gt;"Elegible",V23,IF(AE23="","Pendiente de calificar",IF(AND(AE23&gt;=Criterios!$C$15,AF23="Cumple"),"Aprobable","No aprobable"))))</f>
        <v/>
      </c>
      <c r="AH23" s="8" t="str">
        <f aca="false">IF(AG23="Aprobable",COUNTIFS($AG$5:$AG$54,"Aprobable",$AE$5:$AE$54,"&gt;"&amp;AE23)+1,"")</f>
        <v/>
      </c>
      <c r="AI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8" t="str">
        <f aca="false">IF(E24="","",IFERROR(INDEX(Temas!$B$4:$B$19,MATCH(E24,Temas!$A$4:$A$19,0)),"Fracción no válida"))</f>
        <v/>
      </c>
      <c r="G24" s="13"/>
      <c r="H24" s="1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8" t="str">
        <f aca="false">IF(COUNTA(I24:U24)=0,"",IF(COUNTIF(I24:U24,"Sí")=13,"Elegible",IF(COUNTA(I24:U24)&lt;13,"Incompleto","No elegible")))</f>
        <v/>
      </c>
      <c r="W24" s="12"/>
      <c r="X24" s="12"/>
      <c r="Y24" s="12"/>
      <c r="Z24" s="12"/>
      <c r="AA24" s="12"/>
      <c r="AB24" s="12"/>
      <c r="AC24" s="12"/>
      <c r="AD24" s="12"/>
      <c r="AE24" s="11" t="str">
        <f aca="false">IF(AND(V24="Elegible",COUNT(W24:AD24)=8),ROUND(N(W24)/Criterios!$C$18*Criterios!$C$4+N(X24)/Criterios!$C$18*Criterios!$C$5+N(Y24)/Criterios!$C$18*Criterios!$C$6+N(Z24)/Criterios!$C$18*Criterios!$C$7+N(AA24)/Criterios!$C$18*Criterios!$C$8+N(AB24)/Criterios!$C$18*Criterios!$C$9+N(AC24)/Criterios!$C$18*Criterios!$C$10+N(AD24)/Criterios!$C$18*Criterios!$C$11,1),"")</f>
        <v/>
      </c>
      <c r="AF24" s="8" t="str">
        <f aca="false">IF(AE24="","",IF(AND(W24&gt;=Criterios!$C$16,Y24&gt;=Criterios!$C$17),"Cumple","No cumple"))</f>
        <v/>
      </c>
      <c r="AG24" s="8" t="str">
        <f aca="false">IF(V24="","",IF(V24&lt;&gt;"Elegible",V24,IF(AE24="","Pendiente de calificar",IF(AND(AE24&gt;=Criterios!$C$15,AF24="Cumple"),"Aprobable","No aprobable"))))</f>
        <v/>
      </c>
      <c r="AH24" s="8" t="str">
        <f aca="false">IF(AG24="Aprobable",COUNTIFS($AG$5:$AG$54,"Aprobable",$AE$5:$AE$54,"&gt;"&amp;AE24)+1,"")</f>
        <v/>
      </c>
      <c r="AI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8" t="str">
        <f aca="false">IF(E25="","",IFERROR(INDEX(Temas!$B$4:$B$19,MATCH(E25,Temas!$A$4:$A$19,0)),"Fracción no válida"))</f>
        <v/>
      </c>
      <c r="G25" s="13"/>
      <c r="H25" s="1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8" t="str">
        <f aca="false">IF(COUNTA(I25:U25)=0,"",IF(COUNTIF(I25:U25,"Sí")=13,"Elegible",IF(COUNTA(I25:U25)&lt;13,"Incompleto","No elegible")))</f>
        <v/>
      </c>
      <c r="W25" s="12"/>
      <c r="X25" s="12"/>
      <c r="Y25" s="12"/>
      <c r="Z25" s="12"/>
      <c r="AA25" s="12"/>
      <c r="AB25" s="12"/>
      <c r="AC25" s="12"/>
      <c r="AD25" s="12"/>
      <c r="AE25" s="11" t="str">
        <f aca="false">IF(AND(V25="Elegible",COUNT(W25:AD25)=8),ROUND(N(W25)/Criterios!$C$18*Criterios!$C$4+N(X25)/Criterios!$C$18*Criterios!$C$5+N(Y25)/Criterios!$C$18*Criterios!$C$6+N(Z25)/Criterios!$C$18*Criterios!$C$7+N(AA25)/Criterios!$C$18*Criterios!$C$8+N(AB25)/Criterios!$C$18*Criterios!$C$9+N(AC25)/Criterios!$C$18*Criterios!$C$10+N(AD25)/Criterios!$C$18*Criterios!$C$11,1),"")</f>
        <v/>
      </c>
      <c r="AF25" s="8" t="str">
        <f aca="false">IF(AE25="","",IF(AND(W25&gt;=Criterios!$C$16,Y25&gt;=Criterios!$C$17),"Cumple","No cumple"))</f>
        <v/>
      </c>
      <c r="AG25" s="8" t="str">
        <f aca="false">IF(V25="","",IF(V25&lt;&gt;"Elegible",V25,IF(AE25="","Pendiente de calificar",IF(AND(AE25&gt;=Criterios!$C$15,AF25="Cumple"),"Aprobable","No aprobable"))))</f>
        <v/>
      </c>
      <c r="AH25" s="8" t="str">
        <f aca="false">IF(AG25="Aprobable",COUNTIFS($AG$5:$AG$54,"Aprobable",$AE$5:$AE$54,"&gt;"&amp;AE25)+1,"")</f>
        <v/>
      </c>
      <c r="AI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8" t="str">
        <f aca="false">IF(E26="","",IFERROR(INDEX(Temas!$B$4:$B$19,MATCH(E26,Temas!$A$4:$A$19,0)),"Fracción no válida"))</f>
        <v/>
      </c>
      <c r="G26" s="13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8" t="str">
        <f aca="false">IF(COUNTA(I26:U26)=0,"",IF(COUNTIF(I26:U26,"Sí")=13,"Elegible",IF(COUNTA(I26:U26)&lt;13,"Incompleto","No elegible")))</f>
        <v/>
      </c>
      <c r="W26" s="12"/>
      <c r="X26" s="12"/>
      <c r="Y26" s="12"/>
      <c r="Z26" s="12"/>
      <c r="AA26" s="12"/>
      <c r="AB26" s="12"/>
      <c r="AC26" s="12"/>
      <c r="AD26" s="12"/>
      <c r="AE26" s="11" t="str">
        <f aca="false">IF(AND(V26="Elegible",COUNT(W26:AD26)=8),ROUND(N(W26)/Criterios!$C$18*Criterios!$C$4+N(X26)/Criterios!$C$18*Criterios!$C$5+N(Y26)/Criterios!$C$18*Criterios!$C$6+N(Z26)/Criterios!$C$18*Criterios!$C$7+N(AA26)/Criterios!$C$18*Criterios!$C$8+N(AB26)/Criterios!$C$18*Criterios!$C$9+N(AC26)/Criterios!$C$18*Criterios!$C$10+N(AD26)/Criterios!$C$18*Criterios!$C$11,1),"")</f>
        <v/>
      </c>
      <c r="AF26" s="8" t="str">
        <f aca="false">IF(AE26="","",IF(AND(W26&gt;=Criterios!$C$16,Y26&gt;=Criterios!$C$17),"Cumple","No cumple"))</f>
        <v/>
      </c>
      <c r="AG26" s="8" t="str">
        <f aca="false">IF(V26="","",IF(V26&lt;&gt;"Elegible",V26,IF(AE26="","Pendiente de calificar",IF(AND(AE26&gt;=Criterios!$C$15,AF26="Cumple"),"Aprobable","No aprobable"))))</f>
        <v/>
      </c>
      <c r="AH26" s="8" t="str">
        <f aca="false">IF(AG26="Aprobable",COUNTIFS($AG$5:$AG$54,"Aprobable",$AE$5:$AE$54,"&gt;"&amp;AE26)+1,"")</f>
        <v/>
      </c>
      <c r="AI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8" t="str">
        <f aca="false">IF(E27="","",IFERROR(INDEX(Temas!$B$4:$B$19,MATCH(E27,Temas!$A$4:$A$19,0)),"Fracción no válida"))</f>
        <v/>
      </c>
      <c r="G27" s="13"/>
      <c r="H27" s="1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8" t="str">
        <f aca="false">IF(COUNTA(I27:U27)=0,"",IF(COUNTIF(I27:U27,"Sí")=13,"Elegible",IF(COUNTA(I27:U27)&lt;13,"Incompleto","No elegible")))</f>
        <v/>
      </c>
      <c r="W27" s="12"/>
      <c r="X27" s="12"/>
      <c r="Y27" s="12"/>
      <c r="Z27" s="12"/>
      <c r="AA27" s="12"/>
      <c r="AB27" s="12"/>
      <c r="AC27" s="12"/>
      <c r="AD27" s="12"/>
      <c r="AE27" s="11" t="str">
        <f aca="false">IF(AND(V27="Elegible",COUNT(W27:AD27)=8),ROUND(N(W27)/Criterios!$C$18*Criterios!$C$4+N(X27)/Criterios!$C$18*Criterios!$C$5+N(Y27)/Criterios!$C$18*Criterios!$C$6+N(Z27)/Criterios!$C$18*Criterios!$C$7+N(AA27)/Criterios!$C$18*Criterios!$C$8+N(AB27)/Criterios!$C$18*Criterios!$C$9+N(AC27)/Criterios!$C$18*Criterios!$C$10+N(AD27)/Criterios!$C$18*Criterios!$C$11,1),"")</f>
        <v/>
      </c>
      <c r="AF27" s="8" t="str">
        <f aca="false">IF(AE27="","",IF(AND(W27&gt;=Criterios!$C$16,Y27&gt;=Criterios!$C$17),"Cumple","No cumple"))</f>
        <v/>
      </c>
      <c r="AG27" s="8" t="str">
        <f aca="false">IF(V27="","",IF(V27&lt;&gt;"Elegible",V27,IF(AE27="","Pendiente de calificar",IF(AND(AE27&gt;=Criterios!$C$15,AF27="Cumple"),"Aprobable","No aprobable"))))</f>
        <v/>
      </c>
      <c r="AH27" s="8" t="str">
        <f aca="false">IF(AG27="Aprobable",COUNTIFS($AG$5:$AG$54,"Aprobable",$AE$5:$AE$54,"&gt;"&amp;AE27)+1,"")</f>
        <v/>
      </c>
      <c r="AI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8" t="str">
        <f aca="false">IF(E28="","",IFERROR(INDEX(Temas!$B$4:$B$19,MATCH(E28,Temas!$A$4:$A$19,0)),"Fracción no válida"))</f>
        <v/>
      </c>
      <c r="G28" s="13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8" t="str">
        <f aca="false">IF(COUNTA(I28:U28)=0,"",IF(COUNTIF(I28:U28,"Sí")=13,"Elegible",IF(COUNTA(I28:U28)&lt;13,"Incompleto","No elegible")))</f>
        <v/>
      </c>
      <c r="W28" s="12"/>
      <c r="X28" s="12"/>
      <c r="Y28" s="12"/>
      <c r="Z28" s="12"/>
      <c r="AA28" s="12"/>
      <c r="AB28" s="12"/>
      <c r="AC28" s="12"/>
      <c r="AD28" s="12"/>
      <c r="AE28" s="11" t="str">
        <f aca="false">IF(AND(V28="Elegible",COUNT(W28:AD28)=8),ROUND(N(W28)/Criterios!$C$18*Criterios!$C$4+N(X28)/Criterios!$C$18*Criterios!$C$5+N(Y28)/Criterios!$C$18*Criterios!$C$6+N(Z28)/Criterios!$C$18*Criterios!$C$7+N(AA28)/Criterios!$C$18*Criterios!$C$8+N(AB28)/Criterios!$C$18*Criterios!$C$9+N(AC28)/Criterios!$C$18*Criterios!$C$10+N(AD28)/Criterios!$C$18*Criterios!$C$11,1),"")</f>
        <v/>
      </c>
      <c r="AF28" s="8" t="str">
        <f aca="false">IF(AE28="","",IF(AND(W28&gt;=Criterios!$C$16,Y28&gt;=Criterios!$C$17),"Cumple","No cumple"))</f>
        <v/>
      </c>
      <c r="AG28" s="8" t="str">
        <f aca="false">IF(V28="","",IF(V28&lt;&gt;"Elegible",V28,IF(AE28="","Pendiente de calificar",IF(AND(AE28&gt;=Criterios!$C$15,AF28="Cumple"),"Aprobable","No aprobable"))))</f>
        <v/>
      </c>
      <c r="AH28" s="8" t="str">
        <f aca="false">IF(AG28="Aprobable",COUNTIFS($AG$5:$AG$54,"Aprobable",$AE$5:$AE$54,"&gt;"&amp;AE28)+1,"")</f>
        <v/>
      </c>
      <c r="AI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8" t="str">
        <f aca="false">IF(E29="","",IFERROR(INDEX(Temas!$B$4:$B$19,MATCH(E29,Temas!$A$4:$A$19,0)),"Fracción no válida"))</f>
        <v/>
      </c>
      <c r="G29" s="13"/>
      <c r="H29" s="1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8" t="str">
        <f aca="false">IF(COUNTA(I29:U29)=0,"",IF(COUNTIF(I29:U29,"Sí")=13,"Elegible",IF(COUNTA(I29:U29)&lt;13,"Incompleto","No elegible")))</f>
        <v/>
      </c>
      <c r="W29" s="12"/>
      <c r="X29" s="12"/>
      <c r="Y29" s="12"/>
      <c r="Z29" s="12"/>
      <c r="AA29" s="12"/>
      <c r="AB29" s="12"/>
      <c r="AC29" s="12"/>
      <c r="AD29" s="12"/>
      <c r="AE29" s="11" t="str">
        <f aca="false">IF(AND(V29="Elegible",COUNT(W29:AD29)=8),ROUND(N(W29)/Criterios!$C$18*Criterios!$C$4+N(X29)/Criterios!$C$18*Criterios!$C$5+N(Y29)/Criterios!$C$18*Criterios!$C$6+N(Z29)/Criterios!$C$18*Criterios!$C$7+N(AA29)/Criterios!$C$18*Criterios!$C$8+N(AB29)/Criterios!$C$18*Criterios!$C$9+N(AC29)/Criterios!$C$18*Criterios!$C$10+N(AD29)/Criterios!$C$18*Criterios!$C$11,1),"")</f>
        <v/>
      </c>
      <c r="AF29" s="8" t="str">
        <f aca="false">IF(AE29="","",IF(AND(W29&gt;=Criterios!$C$16,Y29&gt;=Criterios!$C$17),"Cumple","No cumple"))</f>
        <v/>
      </c>
      <c r="AG29" s="8" t="str">
        <f aca="false">IF(V29="","",IF(V29&lt;&gt;"Elegible",V29,IF(AE29="","Pendiente de calificar",IF(AND(AE29&gt;=Criterios!$C$15,AF29="Cumple"),"Aprobable","No aprobable"))))</f>
        <v/>
      </c>
      <c r="AH29" s="8" t="str">
        <f aca="false">IF(AG29="Aprobable",COUNTIFS($AG$5:$AG$54,"Aprobable",$AE$5:$AE$54,"&gt;"&amp;AE29)+1,"")</f>
        <v/>
      </c>
      <c r="AI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8" t="str">
        <f aca="false">IF(E30="","",IFERROR(INDEX(Temas!$B$4:$B$19,MATCH(E30,Temas!$A$4:$A$19,0)),"Fracción no válida"))</f>
        <v/>
      </c>
      <c r="G30" s="13"/>
      <c r="H30" s="1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8" t="str">
        <f aca="false">IF(COUNTA(I30:U30)=0,"",IF(COUNTIF(I30:U30,"Sí")=13,"Elegible",IF(COUNTA(I30:U30)&lt;13,"Incompleto","No elegible")))</f>
        <v/>
      </c>
      <c r="W30" s="12"/>
      <c r="X30" s="12"/>
      <c r="Y30" s="12"/>
      <c r="Z30" s="12"/>
      <c r="AA30" s="12"/>
      <c r="AB30" s="12"/>
      <c r="AC30" s="12"/>
      <c r="AD30" s="12"/>
      <c r="AE30" s="11" t="str">
        <f aca="false">IF(AND(V30="Elegible",COUNT(W30:AD30)=8),ROUND(N(W30)/Criterios!$C$18*Criterios!$C$4+N(X30)/Criterios!$C$18*Criterios!$C$5+N(Y30)/Criterios!$C$18*Criterios!$C$6+N(Z30)/Criterios!$C$18*Criterios!$C$7+N(AA30)/Criterios!$C$18*Criterios!$C$8+N(AB30)/Criterios!$C$18*Criterios!$C$9+N(AC30)/Criterios!$C$18*Criterios!$C$10+N(AD30)/Criterios!$C$18*Criterios!$C$11,1),"")</f>
        <v/>
      </c>
      <c r="AF30" s="8" t="str">
        <f aca="false">IF(AE30="","",IF(AND(W30&gt;=Criterios!$C$16,Y30&gt;=Criterios!$C$17),"Cumple","No cumple"))</f>
        <v/>
      </c>
      <c r="AG30" s="8" t="str">
        <f aca="false">IF(V30="","",IF(V30&lt;&gt;"Elegible",V30,IF(AE30="","Pendiente de calificar",IF(AND(AE30&gt;=Criterios!$C$15,AF30="Cumple"),"Aprobable","No aprobable"))))</f>
        <v/>
      </c>
      <c r="AH30" s="8" t="str">
        <f aca="false">IF(AG30="Aprobable",COUNTIFS($AG$5:$AG$54,"Aprobable",$AE$5:$AE$54,"&gt;"&amp;AE30)+1,"")</f>
        <v/>
      </c>
      <c r="AI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8" t="str">
        <f aca="false">IF(E31="","",IFERROR(INDEX(Temas!$B$4:$B$19,MATCH(E31,Temas!$A$4:$A$19,0)),"Fracción no válida"))</f>
        <v/>
      </c>
      <c r="G31" s="13"/>
      <c r="H31" s="1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8" t="str">
        <f aca="false">IF(COUNTA(I31:U31)=0,"",IF(COUNTIF(I31:U31,"Sí")=13,"Elegible",IF(COUNTA(I31:U31)&lt;13,"Incompleto","No elegible")))</f>
        <v/>
      </c>
      <c r="W31" s="12"/>
      <c r="X31" s="12"/>
      <c r="Y31" s="12"/>
      <c r="Z31" s="12"/>
      <c r="AA31" s="12"/>
      <c r="AB31" s="12"/>
      <c r="AC31" s="12"/>
      <c r="AD31" s="12"/>
      <c r="AE31" s="11" t="str">
        <f aca="false">IF(AND(V31="Elegible",COUNT(W31:AD31)=8),ROUND(N(W31)/Criterios!$C$18*Criterios!$C$4+N(X31)/Criterios!$C$18*Criterios!$C$5+N(Y31)/Criterios!$C$18*Criterios!$C$6+N(Z31)/Criterios!$C$18*Criterios!$C$7+N(AA31)/Criterios!$C$18*Criterios!$C$8+N(AB31)/Criterios!$C$18*Criterios!$C$9+N(AC31)/Criterios!$C$18*Criterios!$C$10+N(AD31)/Criterios!$C$18*Criterios!$C$11,1),"")</f>
        <v/>
      </c>
      <c r="AF31" s="8" t="str">
        <f aca="false">IF(AE31="","",IF(AND(W31&gt;=Criterios!$C$16,Y31&gt;=Criterios!$C$17),"Cumple","No cumple"))</f>
        <v/>
      </c>
      <c r="AG31" s="8" t="str">
        <f aca="false">IF(V31="","",IF(V31&lt;&gt;"Elegible",V31,IF(AE31="","Pendiente de calificar",IF(AND(AE31&gt;=Criterios!$C$15,AF31="Cumple"),"Aprobable","No aprobable"))))</f>
        <v/>
      </c>
      <c r="AH31" s="8" t="str">
        <f aca="false">IF(AG31="Aprobable",COUNTIFS($AG$5:$AG$54,"Aprobable",$AE$5:$AE$54,"&gt;"&amp;AE31)+1,"")</f>
        <v/>
      </c>
      <c r="AI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8" t="str">
        <f aca="false">IF(E32="","",IFERROR(INDEX(Temas!$B$4:$B$19,MATCH(E32,Temas!$A$4:$A$19,0)),"Fracción no válida"))</f>
        <v/>
      </c>
      <c r="G32" s="13"/>
      <c r="H32" s="1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8" t="str">
        <f aca="false">IF(COUNTA(I32:U32)=0,"",IF(COUNTIF(I32:U32,"Sí")=13,"Elegible",IF(COUNTA(I32:U32)&lt;13,"Incompleto","No elegible")))</f>
        <v/>
      </c>
      <c r="W32" s="12"/>
      <c r="X32" s="12"/>
      <c r="Y32" s="12"/>
      <c r="Z32" s="12"/>
      <c r="AA32" s="12"/>
      <c r="AB32" s="12"/>
      <c r="AC32" s="12"/>
      <c r="AD32" s="12"/>
      <c r="AE32" s="11" t="str">
        <f aca="false">IF(AND(V32="Elegible",COUNT(W32:AD32)=8),ROUND(N(W32)/Criterios!$C$18*Criterios!$C$4+N(X32)/Criterios!$C$18*Criterios!$C$5+N(Y32)/Criterios!$C$18*Criterios!$C$6+N(Z32)/Criterios!$C$18*Criterios!$C$7+N(AA32)/Criterios!$C$18*Criterios!$C$8+N(AB32)/Criterios!$C$18*Criterios!$C$9+N(AC32)/Criterios!$C$18*Criterios!$C$10+N(AD32)/Criterios!$C$18*Criterios!$C$11,1),"")</f>
        <v/>
      </c>
      <c r="AF32" s="8" t="str">
        <f aca="false">IF(AE32="","",IF(AND(W32&gt;=Criterios!$C$16,Y32&gt;=Criterios!$C$17),"Cumple","No cumple"))</f>
        <v/>
      </c>
      <c r="AG32" s="8" t="str">
        <f aca="false">IF(V32="","",IF(V32&lt;&gt;"Elegible",V32,IF(AE32="","Pendiente de calificar",IF(AND(AE32&gt;=Criterios!$C$15,AF32="Cumple"),"Aprobable","No aprobable"))))</f>
        <v/>
      </c>
      <c r="AH32" s="8" t="str">
        <f aca="false">IF(AG32="Aprobable",COUNTIFS($AG$5:$AG$54,"Aprobable",$AE$5:$AE$54,"&gt;"&amp;AE32)+1,"")</f>
        <v/>
      </c>
      <c r="AI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8" t="str">
        <f aca="false">IF(E33="","",IFERROR(INDEX(Temas!$B$4:$B$19,MATCH(E33,Temas!$A$4:$A$19,0)),"Fracción no válida"))</f>
        <v/>
      </c>
      <c r="G33" s="13"/>
      <c r="H33" s="1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8" t="str">
        <f aca="false">IF(COUNTA(I33:U33)=0,"",IF(COUNTIF(I33:U33,"Sí")=13,"Elegible",IF(COUNTA(I33:U33)&lt;13,"Incompleto","No elegible")))</f>
        <v/>
      </c>
      <c r="W33" s="12"/>
      <c r="X33" s="12"/>
      <c r="Y33" s="12"/>
      <c r="Z33" s="12"/>
      <c r="AA33" s="12"/>
      <c r="AB33" s="12"/>
      <c r="AC33" s="12"/>
      <c r="AD33" s="12"/>
      <c r="AE33" s="11" t="str">
        <f aca="false">IF(AND(V33="Elegible",COUNT(W33:AD33)=8),ROUND(N(W33)/Criterios!$C$18*Criterios!$C$4+N(X33)/Criterios!$C$18*Criterios!$C$5+N(Y33)/Criterios!$C$18*Criterios!$C$6+N(Z33)/Criterios!$C$18*Criterios!$C$7+N(AA33)/Criterios!$C$18*Criterios!$C$8+N(AB33)/Criterios!$C$18*Criterios!$C$9+N(AC33)/Criterios!$C$18*Criterios!$C$10+N(AD33)/Criterios!$C$18*Criterios!$C$11,1),"")</f>
        <v/>
      </c>
      <c r="AF33" s="8" t="str">
        <f aca="false">IF(AE33="","",IF(AND(W33&gt;=Criterios!$C$16,Y33&gt;=Criterios!$C$17),"Cumple","No cumple"))</f>
        <v/>
      </c>
      <c r="AG33" s="8" t="str">
        <f aca="false">IF(V33="","",IF(V33&lt;&gt;"Elegible",V33,IF(AE33="","Pendiente de calificar",IF(AND(AE33&gt;=Criterios!$C$15,AF33="Cumple"),"Aprobable","No aprobable"))))</f>
        <v/>
      </c>
      <c r="AH33" s="8" t="str">
        <f aca="false">IF(AG33="Aprobable",COUNTIFS($AG$5:$AG$54,"Aprobable",$AE$5:$AE$54,"&gt;"&amp;AE33)+1,"")</f>
        <v/>
      </c>
      <c r="AI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8" t="str">
        <f aca="false">IF(E34="","",IFERROR(INDEX(Temas!$B$4:$B$19,MATCH(E34,Temas!$A$4:$A$19,0)),"Fracción no válida"))</f>
        <v/>
      </c>
      <c r="G34" s="13"/>
      <c r="H34" s="1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8" t="str">
        <f aca="false">IF(COUNTA(I34:U34)=0,"",IF(COUNTIF(I34:U34,"Sí")=13,"Elegible",IF(COUNTA(I34:U34)&lt;13,"Incompleto","No elegible")))</f>
        <v/>
      </c>
      <c r="W34" s="12"/>
      <c r="X34" s="12"/>
      <c r="Y34" s="12"/>
      <c r="Z34" s="12"/>
      <c r="AA34" s="12"/>
      <c r="AB34" s="12"/>
      <c r="AC34" s="12"/>
      <c r="AD34" s="12"/>
      <c r="AE34" s="11" t="str">
        <f aca="false">IF(AND(V34="Elegible",COUNT(W34:AD34)=8),ROUND(N(W34)/Criterios!$C$18*Criterios!$C$4+N(X34)/Criterios!$C$18*Criterios!$C$5+N(Y34)/Criterios!$C$18*Criterios!$C$6+N(Z34)/Criterios!$C$18*Criterios!$C$7+N(AA34)/Criterios!$C$18*Criterios!$C$8+N(AB34)/Criterios!$C$18*Criterios!$C$9+N(AC34)/Criterios!$C$18*Criterios!$C$10+N(AD34)/Criterios!$C$18*Criterios!$C$11,1),"")</f>
        <v/>
      </c>
      <c r="AF34" s="8" t="str">
        <f aca="false">IF(AE34="","",IF(AND(W34&gt;=Criterios!$C$16,Y34&gt;=Criterios!$C$17),"Cumple","No cumple"))</f>
        <v/>
      </c>
      <c r="AG34" s="8" t="str">
        <f aca="false">IF(V34="","",IF(V34&lt;&gt;"Elegible",V34,IF(AE34="","Pendiente de calificar",IF(AND(AE34&gt;=Criterios!$C$15,AF34="Cumple"),"Aprobable","No aprobable"))))</f>
        <v/>
      </c>
      <c r="AH34" s="8" t="str">
        <f aca="false">IF(AG34="Aprobable",COUNTIFS($AG$5:$AG$54,"Aprobable",$AE$5:$AE$54,"&gt;"&amp;AE34)+1,"")</f>
        <v/>
      </c>
      <c r="AI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8" t="str">
        <f aca="false">IF(E35="","",IFERROR(INDEX(Temas!$B$4:$B$19,MATCH(E35,Temas!$A$4:$A$19,0)),"Fracción no válida"))</f>
        <v/>
      </c>
      <c r="G35" s="13"/>
      <c r="H35" s="1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8" t="str">
        <f aca="false">IF(COUNTA(I35:U35)=0,"",IF(COUNTIF(I35:U35,"Sí")=13,"Elegible",IF(COUNTA(I35:U35)&lt;13,"Incompleto","No elegible")))</f>
        <v/>
      </c>
      <c r="W35" s="12"/>
      <c r="X35" s="12"/>
      <c r="Y35" s="12"/>
      <c r="Z35" s="12"/>
      <c r="AA35" s="12"/>
      <c r="AB35" s="12"/>
      <c r="AC35" s="12"/>
      <c r="AD35" s="12"/>
      <c r="AE35" s="11" t="str">
        <f aca="false">IF(AND(V35="Elegible",COUNT(W35:AD35)=8),ROUND(N(W35)/Criterios!$C$18*Criterios!$C$4+N(X35)/Criterios!$C$18*Criterios!$C$5+N(Y35)/Criterios!$C$18*Criterios!$C$6+N(Z35)/Criterios!$C$18*Criterios!$C$7+N(AA35)/Criterios!$C$18*Criterios!$C$8+N(AB35)/Criterios!$C$18*Criterios!$C$9+N(AC35)/Criterios!$C$18*Criterios!$C$10+N(AD35)/Criterios!$C$18*Criterios!$C$11,1),"")</f>
        <v/>
      </c>
      <c r="AF35" s="8" t="str">
        <f aca="false">IF(AE35="","",IF(AND(W35&gt;=Criterios!$C$16,Y35&gt;=Criterios!$C$17),"Cumple","No cumple"))</f>
        <v/>
      </c>
      <c r="AG35" s="8" t="str">
        <f aca="false">IF(V35="","",IF(V35&lt;&gt;"Elegible",V35,IF(AE35="","Pendiente de calificar",IF(AND(AE35&gt;=Criterios!$C$15,AF35="Cumple"),"Aprobable","No aprobable"))))</f>
        <v/>
      </c>
      <c r="AH35" s="8" t="str">
        <f aca="false">IF(AG35="Aprobable",COUNTIFS($AG$5:$AG$54,"Aprobable",$AE$5:$AE$54,"&gt;"&amp;AE35)+1,"")</f>
        <v/>
      </c>
      <c r="AI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8" t="str">
        <f aca="false">IF(E36="","",IFERROR(INDEX(Temas!$B$4:$B$19,MATCH(E36,Temas!$A$4:$A$19,0)),"Fracción no válida"))</f>
        <v/>
      </c>
      <c r="G36" s="13"/>
      <c r="H36" s="14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8" t="str">
        <f aca="false">IF(COUNTA(I36:U36)=0,"",IF(COUNTIF(I36:U36,"Sí")=13,"Elegible",IF(COUNTA(I36:U36)&lt;13,"Incompleto","No elegible")))</f>
        <v/>
      </c>
      <c r="W36" s="12"/>
      <c r="X36" s="12"/>
      <c r="Y36" s="12"/>
      <c r="Z36" s="12"/>
      <c r="AA36" s="12"/>
      <c r="AB36" s="12"/>
      <c r="AC36" s="12"/>
      <c r="AD36" s="12"/>
      <c r="AE36" s="11" t="str">
        <f aca="false">IF(AND(V36="Elegible",COUNT(W36:AD36)=8),ROUND(N(W36)/Criterios!$C$18*Criterios!$C$4+N(X36)/Criterios!$C$18*Criterios!$C$5+N(Y36)/Criterios!$C$18*Criterios!$C$6+N(Z36)/Criterios!$C$18*Criterios!$C$7+N(AA36)/Criterios!$C$18*Criterios!$C$8+N(AB36)/Criterios!$C$18*Criterios!$C$9+N(AC36)/Criterios!$C$18*Criterios!$C$10+N(AD36)/Criterios!$C$18*Criterios!$C$11,1),"")</f>
        <v/>
      </c>
      <c r="AF36" s="8" t="str">
        <f aca="false">IF(AE36="","",IF(AND(W36&gt;=Criterios!$C$16,Y36&gt;=Criterios!$C$17),"Cumple","No cumple"))</f>
        <v/>
      </c>
      <c r="AG36" s="8" t="str">
        <f aca="false">IF(V36="","",IF(V36&lt;&gt;"Elegible",V36,IF(AE36="","Pendiente de calificar",IF(AND(AE36&gt;=Criterios!$C$15,AF36="Cumple"),"Aprobable","No aprobable"))))</f>
        <v/>
      </c>
      <c r="AH36" s="8" t="str">
        <f aca="false">IF(AG36="Aprobable",COUNTIFS($AG$5:$AG$54,"Aprobable",$AE$5:$AE$54,"&gt;"&amp;AE36)+1,"")</f>
        <v/>
      </c>
      <c r="AI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8" t="str">
        <f aca="false">IF(E37="","",IFERROR(INDEX(Temas!$B$4:$B$19,MATCH(E37,Temas!$A$4:$A$19,0)),"Fracción no válida"))</f>
        <v/>
      </c>
      <c r="G37" s="13"/>
      <c r="H37" s="14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8" t="str">
        <f aca="false">IF(COUNTA(I37:U37)=0,"",IF(COUNTIF(I37:U37,"Sí")=13,"Elegible",IF(COUNTA(I37:U37)&lt;13,"Incompleto","No elegible")))</f>
        <v/>
      </c>
      <c r="W37" s="12"/>
      <c r="X37" s="12"/>
      <c r="Y37" s="12"/>
      <c r="Z37" s="12"/>
      <c r="AA37" s="12"/>
      <c r="AB37" s="12"/>
      <c r="AC37" s="12"/>
      <c r="AD37" s="12"/>
      <c r="AE37" s="11" t="str">
        <f aca="false">IF(AND(V37="Elegible",COUNT(W37:AD37)=8),ROUND(N(W37)/Criterios!$C$18*Criterios!$C$4+N(X37)/Criterios!$C$18*Criterios!$C$5+N(Y37)/Criterios!$C$18*Criterios!$C$6+N(Z37)/Criterios!$C$18*Criterios!$C$7+N(AA37)/Criterios!$C$18*Criterios!$C$8+N(AB37)/Criterios!$C$18*Criterios!$C$9+N(AC37)/Criterios!$C$18*Criterios!$C$10+N(AD37)/Criterios!$C$18*Criterios!$C$11,1),"")</f>
        <v/>
      </c>
      <c r="AF37" s="8" t="str">
        <f aca="false">IF(AE37="","",IF(AND(W37&gt;=Criterios!$C$16,Y37&gt;=Criterios!$C$17),"Cumple","No cumple"))</f>
        <v/>
      </c>
      <c r="AG37" s="8" t="str">
        <f aca="false">IF(V37="","",IF(V37&lt;&gt;"Elegible",V37,IF(AE37="","Pendiente de calificar",IF(AND(AE37&gt;=Criterios!$C$15,AF37="Cumple"),"Aprobable","No aprobable"))))</f>
        <v/>
      </c>
      <c r="AH37" s="8" t="str">
        <f aca="false">IF(AG37="Aprobable",COUNTIFS($AG$5:$AG$54,"Aprobable",$AE$5:$AE$54,"&gt;"&amp;AE37)+1,"")</f>
        <v/>
      </c>
      <c r="AI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8" t="str">
        <f aca="false">IF(E38="","",IFERROR(INDEX(Temas!$B$4:$B$19,MATCH(E38,Temas!$A$4:$A$19,0)),"Fracción no válida"))</f>
        <v/>
      </c>
      <c r="G38" s="13"/>
      <c r="H38" s="1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8" t="str">
        <f aca="false">IF(COUNTA(I38:U38)=0,"",IF(COUNTIF(I38:U38,"Sí")=13,"Elegible",IF(COUNTA(I38:U38)&lt;13,"Incompleto","No elegible")))</f>
        <v/>
      </c>
      <c r="W38" s="12"/>
      <c r="X38" s="12"/>
      <c r="Y38" s="12"/>
      <c r="Z38" s="12"/>
      <c r="AA38" s="12"/>
      <c r="AB38" s="12"/>
      <c r="AC38" s="12"/>
      <c r="AD38" s="12"/>
      <c r="AE38" s="11" t="str">
        <f aca="false">IF(AND(V38="Elegible",COUNT(W38:AD38)=8),ROUND(N(W38)/Criterios!$C$18*Criterios!$C$4+N(X38)/Criterios!$C$18*Criterios!$C$5+N(Y38)/Criterios!$C$18*Criterios!$C$6+N(Z38)/Criterios!$C$18*Criterios!$C$7+N(AA38)/Criterios!$C$18*Criterios!$C$8+N(AB38)/Criterios!$C$18*Criterios!$C$9+N(AC38)/Criterios!$C$18*Criterios!$C$10+N(AD38)/Criterios!$C$18*Criterios!$C$11,1),"")</f>
        <v/>
      </c>
      <c r="AF38" s="8" t="str">
        <f aca="false">IF(AE38="","",IF(AND(W38&gt;=Criterios!$C$16,Y38&gt;=Criterios!$C$17),"Cumple","No cumple"))</f>
        <v/>
      </c>
      <c r="AG38" s="8" t="str">
        <f aca="false">IF(V38="","",IF(V38&lt;&gt;"Elegible",V38,IF(AE38="","Pendiente de calificar",IF(AND(AE38&gt;=Criterios!$C$15,AF38="Cumple"),"Aprobable","No aprobable"))))</f>
        <v/>
      </c>
      <c r="AH38" s="8" t="str">
        <f aca="false">IF(AG38="Aprobable",COUNTIFS($AG$5:$AG$54,"Aprobable",$AE$5:$AE$54,"&gt;"&amp;AE38)+1,"")</f>
        <v/>
      </c>
      <c r="AI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8" t="str">
        <f aca="false">IF(E39="","",IFERROR(INDEX(Temas!$B$4:$B$19,MATCH(E39,Temas!$A$4:$A$19,0)),"Fracción no válida"))</f>
        <v/>
      </c>
      <c r="G39" s="13"/>
      <c r="H39" s="14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8" t="str">
        <f aca="false">IF(COUNTA(I39:U39)=0,"",IF(COUNTIF(I39:U39,"Sí")=13,"Elegible",IF(COUNTA(I39:U39)&lt;13,"Incompleto","No elegible")))</f>
        <v/>
      </c>
      <c r="W39" s="12"/>
      <c r="X39" s="12"/>
      <c r="Y39" s="12"/>
      <c r="Z39" s="12"/>
      <c r="AA39" s="12"/>
      <c r="AB39" s="12"/>
      <c r="AC39" s="12"/>
      <c r="AD39" s="12"/>
      <c r="AE39" s="11" t="str">
        <f aca="false">IF(AND(V39="Elegible",COUNT(W39:AD39)=8),ROUND(N(W39)/Criterios!$C$18*Criterios!$C$4+N(X39)/Criterios!$C$18*Criterios!$C$5+N(Y39)/Criterios!$C$18*Criterios!$C$6+N(Z39)/Criterios!$C$18*Criterios!$C$7+N(AA39)/Criterios!$C$18*Criterios!$C$8+N(AB39)/Criterios!$C$18*Criterios!$C$9+N(AC39)/Criterios!$C$18*Criterios!$C$10+N(AD39)/Criterios!$C$18*Criterios!$C$11,1),"")</f>
        <v/>
      </c>
      <c r="AF39" s="8" t="str">
        <f aca="false">IF(AE39="","",IF(AND(W39&gt;=Criterios!$C$16,Y39&gt;=Criterios!$C$17),"Cumple","No cumple"))</f>
        <v/>
      </c>
      <c r="AG39" s="8" t="str">
        <f aca="false">IF(V39="","",IF(V39&lt;&gt;"Elegible",V39,IF(AE39="","Pendiente de calificar",IF(AND(AE39&gt;=Criterios!$C$15,AF39="Cumple"),"Aprobable","No aprobable"))))</f>
        <v/>
      </c>
      <c r="AH39" s="8" t="str">
        <f aca="false">IF(AG39="Aprobable",COUNTIFS($AG$5:$AG$54,"Aprobable",$AE$5:$AE$54,"&gt;"&amp;AE39)+1,"")</f>
        <v/>
      </c>
      <c r="AI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8" t="str">
        <f aca="false">IF(E40="","",IFERROR(INDEX(Temas!$B$4:$B$19,MATCH(E40,Temas!$A$4:$A$19,0)),"Fracción no válida"))</f>
        <v/>
      </c>
      <c r="G40" s="13"/>
      <c r="H40" s="14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8" t="str">
        <f aca="false">IF(COUNTA(I40:U40)=0,"",IF(COUNTIF(I40:U40,"Sí")=13,"Elegible",IF(COUNTA(I40:U40)&lt;13,"Incompleto","No elegible")))</f>
        <v/>
      </c>
      <c r="W40" s="12"/>
      <c r="X40" s="12"/>
      <c r="Y40" s="12"/>
      <c r="Z40" s="12"/>
      <c r="AA40" s="12"/>
      <c r="AB40" s="12"/>
      <c r="AC40" s="12"/>
      <c r="AD40" s="12"/>
      <c r="AE40" s="11" t="str">
        <f aca="false">IF(AND(V40="Elegible",COUNT(W40:AD40)=8),ROUND(N(W40)/Criterios!$C$18*Criterios!$C$4+N(X40)/Criterios!$C$18*Criterios!$C$5+N(Y40)/Criterios!$C$18*Criterios!$C$6+N(Z40)/Criterios!$C$18*Criterios!$C$7+N(AA40)/Criterios!$C$18*Criterios!$C$8+N(AB40)/Criterios!$C$18*Criterios!$C$9+N(AC40)/Criterios!$C$18*Criterios!$C$10+N(AD40)/Criterios!$C$18*Criterios!$C$11,1),"")</f>
        <v/>
      </c>
      <c r="AF40" s="8" t="str">
        <f aca="false">IF(AE40="","",IF(AND(W40&gt;=Criterios!$C$16,Y40&gt;=Criterios!$C$17),"Cumple","No cumple"))</f>
        <v/>
      </c>
      <c r="AG40" s="8" t="str">
        <f aca="false">IF(V40="","",IF(V40&lt;&gt;"Elegible",V40,IF(AE40="","Pendiente de calificar",IF(AND(AE40&gt;=Criterios!$C$15,AF40="Cumple"),"Aprobable","No aprobable"))))</f>
        <v/>
      </c>
      <c r="AH40" s="8" t="str">
        <f aca="false">IF(AG40="Aprobable",COUNTIFS($AG$5:$AG$54,"Aprobable",$AE$5:$AE$54,"&gt;"&amp;AE40)+1,"")</f>
        <v/>
      </c>
      <c r="AI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8" t="str">
        <f aca="false">IF(E41="","",IFERROR(INDEX(Temas!$B$4:$B$19,MATCH(E41,Temas!$A$4:$A$19,0)),"Fracción no válida"))</f>
        <v/>
      </c>
      <c r="G41" s="13"/>
      <c r="H41" s="14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8" t="str">
        <f aca="false">IF(COUNTA(I41:U41)=0,"",IF(COUNTIF(I41:U41,"Sí")=13,"Elegible",IF(COUNTA(I41:U41)&lt;13,"Incompleto","No elegible")))</f>
        <v/>
      </c>
      <c r="W41" s="12"/>
      <c r="X41" s="12"/>
      <c r="Y41" s="12"/>
      <c r="Z41" s="12"/>
      <c r="AA41" s="12"/>
      <c r="AB41" s="12"/>
      <c r="AC41" s="12"/>
      <c r="AD41" s="12"/>
      <c r="AE41" s="11" t="str">
        <f aca="false">IF(AND(V41="Elegible",COUNT(W41:AD41)=8),ROUND(N(W41)/Criterios!$C$18*Criterios!$C$4+N(X41)/Criterios!$C$18*Criterios!$C$5+N(Y41)/Criterios!$C$18*Criterios!$C$6+N(Z41)/Criterios!$C$18*Criterios!$C$7+N(AA41)/Criterios!$C$18*Criterios!$C$8+N(AB41)/Criterios!$C$18*Criterios!$C$9+N(AC41)/Criterios!$C$18*Criterios!$C$10+N(AD41)/Criterios!$C$18*Criterios!$C$11,1),"")</f>
        <v/>
      </c>
      <c r="AF41" s="8" t="str">
        <f aca="false">IF(AE41="","",IF(AND(W41&gt;=Criterios!$C$16,Y41&gt;=Criterios!$C$17),"Cumple","No cumple"))</f>
        <v/>
      </c>
      <c r="AG41" s="8" t="str">
        <f aca="false">IF(V41="","",IF(V41&lt;&gt;"Elegible",V41,IF(AE41="","Pendiente de calificar",IF(AND(AE41&gt;=Criterios!$C$15,AF41="Cumple"),"Aprobable","No aprobable"))))</f>
        <v/>
      </c>
      <c r="AH41" s="8" t="str">
        <f aca="false">IF(AG41="Aprobable",COUNTIFS($AG$5:$AG$54,"Aprobable",$AE$5:$AE$54,"&gt;"&amp;AE41)+1,"")</f>
        <v/>
      </c>
      <c r="AI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8" t="str">
        <f aca="false">IF(E42="","",IFERROR(INDEX(Temas!$B$4:$B$19,MATCH(E42,Temas!$A$4:$A$19,0)),"Fracción no válida"))</f>
        <v/>
      </c>
      <c r="G42" s="13"/>
      <c r="H42" s="14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8" t="str">
        <f aca="false">IF(COUNTA(I42:U42)=0,"",IF(COUNTIF(I42:U42,"Sí")=13,"Elegible",IF(COUNTA(I42:U42)&lt;13,"Incompleto","No elegible")))</f>
        <v/>
      </c>
      <c r="W42" s="12"/>
      <c r="X42" s="12"/>
      <c r="Y42" s="12"/>
      <c r="Z42" s="12"/>
      <c r="AA42" s="12"/>
      <c r="AB42" s="12"/>
      <c r="AC42" s="12"/>
      <c r="AD42" s="12"/>
      <c r="AE42" s="11" t="str">
        <f aca="false">IF(AND(V42="Elegible",COUNT(W42:AD42)=8),ROUND(N(W42)/Criterios!$C$18*Criterios!$C$4+N(X42)/Criterios!$C$18*Criterios!$C$5+N(Y42)/Criterios!$C$18*Criterios!$C$6+N(Z42)/Criterios!$C$18*Criterios!$C$7+N(AA42)/Criterios!$C$18*Criterios!$C$8+N(AB42)/Criterios!$C$18*Criterios!$C$9+N(AC42)/Criterios!$C$18*Criterios!$C$10+N(AD42)/Criterios!$C$18*Criterios!$C$11,1),"")</f>
        <v/>
      </c>
      <c r="AF42" s="8" t="str">
        <f aca="false">IF(AE42="","",IF(AND(W42&gt;=Criterios!$C$16,Y42&gt;=Criterios!$C$17),"Cumple","No cumple"))</f>
        <v/>
      </c>
      <c r="AG42" s="8" t="str">
        <f aca="false">IF(V42="","",IF(V42&lt;&gt;"Elegible",V42,IF(AE42="","Pendiente de calificar",IF(AND(AE42&gt;=Criterios!$C$15,AF42="Cumple"),"Aprobable","No aprobable"))))</f>
        <v/>
      </c>
      <c r="AH42" s="8" t="str">
        <f aca="false">IF(AG42="Aprobable",COUNTIFS($AG$5:$AG$54,"Aprobable",$AE$5:$AE$54,"&gt;"&amp;AE42)+1,"")</f>
        <v/>
      </c>
      <c r="AI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8" t="str">
        <f aca="false">IF(E43="","",IFERROR(INDEX(Temas!$B$4:$B$19,MATCH(E43,Temas!$A$4:$A$19,0)),"Fracción no válida"))</f>
        <v/>
      </c>
      <c r="G43" s="13"/>
      <c r="H43" s="1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8" t="str">
        <f aca="false">IF(COUNTA(I43:U43)=0,"",IF(COUNTIF(I43:U43,"Sí")=13,"Elegible",IF(COUNTA(I43:U43)&lt;13,"Incompleto","No elegible")))</f>
        <v/>
      </c>
      <c r="W43" s="12"/>
      <c r="X43" s="12"/>
      <c r="Y43" s="12"/>
      <c r="Z43" s="12"/>
      <c r="AA43" s="12"/>
      <c r="AB43" s="12"/>
      <c r="AC43" s="12"/>
      <c r="AD43" s="12"/>
      <c r="AE43" s="11" t="str">
        <f aca="false">IF(AND(V43="Elegible",COUNT(W43:AD43)=8),ROUND(N(W43)/Criterios!$C$18*Criterios!$C$4+N(X43)/Criterios!$C$18*Criterios!$C$5+N(Y43)/Criterios!$C$18*Criterios!$C$6+N(Z43)/Criterios!$C$18*Criterios!$C$7+N(AA43)/Criterios!$C$18*Criterios!$C$8+N(AB43)/Criterios!$C$18*Criterios!$C$9+N(AC43)/Criterios!$C$18*Criterios!$C$10+N(AD43)/Criterios!$C$18*Criterios!$C$11,1),"")</f>
        <v/>
      </c>
      <c r="AF43" s="8" t="str">
        <f aca="false">IF(AE43="","",IF(AND(W43&gt;=Criterios!$C$16,Y43&gt;=Criterios!$C$17),"Cumple","No cumple"))</f>
        <v/>
      </c>
      <c r="AG43" s="8" t="str">
        <f aca="false">IF(V43="","",IF(V43&lt;&gt;"Elegible",V43,IF(AE43="","Pendiente de calificar",IF(AND(AE43&gt;=Criterios!$C$15,AF43="Cumple"),"Aprobable","No aprobable"))))</f>
        <v/>
      </c>
      <c r="AH43" s="8" t="str">
        <f aca="false">IF(AG43="Aprobable",COUNTIFS($AG$5:$AG$54,"Aprobable",$AE$5:$AE$54,"&gt;"&amp;AE43)+1,"")</f>
        <v/>
      </c>
      <c r="AI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8" t="str">
        <f aca="false">IF(E44="","",IFERROR(INDEX(Temas!$B$4:$B$19,MATCH(E44,Temas!$A$4:$A$19,0)),"Fracción no válida"))</f>
        <v/>
      </c>
      <c r="G44" s="13"/>
      <c r="H44" s="14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8" t="str">
        <f aca="false">IF(COUNTA(I44:U44)=0,"",IF(COUNTIF(I44:U44,"Sí")=13,"Elegible",IF(COUNTA(I44:U44)&lt;13,"Incompleto","No elegible")))</f>
        <v/>
      </c>
      <c r="W44" s="12"/>
      <c r="X44" s="12"/>
      <c r="Y44" s="12"/>
      <c r="Z44" s="12"/>
      <c r="AA44" s="12"/>
      <c r="AB44" s="12"/>
      <c r="AC44" s="12"/>
      <c r="AD44" s="12"/>
      <c r="AE44" s="11" t="str">
        <f aca="false">IF(AND(V44="Elegible",COUNT(W44:AD44)=8),ROUND(N(W44)/Criterios!$C$18*Criterios!$C$4+N(X44)/Criterios!$C$18*Criterios!$C$5+N(Y44)/Criterios!$C$18*Criterios!$C$6+N(Z44)/Criterios!$C$18*Criterios!$C$7+N(AA44)/Criterios!$C$18*Criterios!$C$8+N(AB44)/Criterios!$C$18*Criterios!$C$9+N(AC44)/Criterios!$C$18*Criterios!$C$10+N(AD44)/Criterios!$C$18*Criterios!$C$11,1),"")</f>
        <v/>
      </c>
      <c r="AF44" s="8" t="str">
        <f aca="false">IF(AE44="","",IF(AND(W44&gt;=Criterios!$C$16,Y44&gt;=Criterios!$C$17),"Cumple","No cumple"))</f>
        <v/>
      </c>
      <c r="AG44" s="8" t="str">
        <f aca="false">IF(V44="","",IF(V44&lt;&gt;"Elegible",V44,IF(AE44="","Pendiente de calificar",IF(AND(AE44&gt;=Criterios!$C$15,AF44="Cumple"),"Aprobable","No aprobable"))))</f>
        <v/>
      </c>
      <c r="AH44" s="8" t="str">
        <f aca="false">IF(AG44="Aprobable",COUNTIFS($AG$5:$AG$54,"Aprobable",$AE$5:$AE$54,"&gt;"&amp;AE44)+1,"")</f>
        <v/>
      </c>
      <c r="AI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8" t="str">
        <f aca="false">IF(E45="","",IFERROR(INDEX(Temas!$B$4:$B$19,MATCH(E45,Temas!$A$4:$A$19,0)),"Fracción no válida"))</f>
        <v/>
      </c>
      <c r="G45" s="13"/>
      <c r="H45" s="14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8" t="str">
        <f aca="false">IF(COUNTA(I45:U45)=0,"",IF(COUNTIF(I45:U45,"Sí")=13,"Elegible",IF(COUNTA(I45:U45)&lt;13,"Incompleto","No elegible")))</f>
        <v/>
      </c>
      <c r="W45" s="12"/>
      <c r="X45" s="12"/>
      <c r="Y45" s="12"/>
      <c r="Z45" s="12"/>
      <c r="AA45" s="12"/>
      <c r="AB45" s="12"/>
      <c r="AC45" s="12"/>
      <c r="AD45" s="12"/>
      <c r="AE45" s="11" t="str">
        <f aca="false">IF(AND(V45="Elegible",COUNT(W45:AD45)=8),ROUND(N(W45)/Criterios!$C$18*Criterios!$C$4+N(X45)/Criterios!$C$18*Criterios!$C$5+N(Y45)/Criterios!$C$18*Criterios!$C$6+N(Z45)/Criterios!$C$18*Criterios!$C$7+N(AA45)/Criterios!$C$18*Criterios!$C$8+N(AB45)/Criterios!$C$18*Criterios!$C$9+N(AC45)/Criterios!$C$18*Criterios!$C$10+N(AD45)/Criterios!$C$18*Criterios!$C$11,1),"")</f>
        <v/>
      </c>
      <c r="AF45" s="8" t="str">
        <f aca="false">IF(AE45="","",IF(AND(W45&gt;=Criterios!$C$16,Y45&gt;=Criterios!$C$17),"Cumple","No cumple"))</f>
        <v/>
      </c>
      <c r="AG45" s="8" t="str">
        <f aca="false">IF(V45="","",IF(V45&lt;&gt;"Elegible",V45,IF(AE45="","Pendiente de calificar",IF(AND(AE45&gt;=Criterios!$C$15,AF45="Cumple"),"Aprobable","No aprobable"))))</f>
        <v/>
      </c>
      <c r="AH45" s="8" t="str">
        <f aca="false">IF(AG45="Aprobable",COUNTIFS($AG$5:$AG$54,"Aprobable",$AE$5:$AE$54,"&gt;"&amp;AE45)+1,"")</f>
        <v/>
      </c>
      <c r="AI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8" t="str">
        <f aca="false">IF(E46="","",IFERROR(INDEX(Temas!$B$4:$B$19,MATCH(E46,Temas!$A$4:$A$19,0)),"Fracción no válida"))</f>
        <v/>
      </c>
      <c r="G46" s="13"/>
      <c r="H46" s="14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8" t="str">
        <f aca="false">IF(COUNTA(I46:U46)=0,"",IF(COUNTIF(I46:U46,"Sí")=13,"Elegible",IF(COUNTA(I46:U46)&lt;13,"Incompleto","No elegible")))</f>
        <v/>
      </c>
      <c r="W46" s="12"/>
      <c r="X46" s="12"/>
      <c r="Y46" s="12"/>
      <c r="Z46" s="12"/>
      <c r="AA46" s="12"/>
      <c r="AB46" s="12"/>
      <c r="AC46" s="12"/>
      <c r="AD46" s="12"/>
      <c r="AE46" s="11" t="str">
        <f aca="false">IF(AND(V46="Elegible",COUNT(W46:AD46)=8),ROUND(N(W46)/Criterios!$C$18*Criterios!$C$4+N(X46)/Criterios!$C$18*Criterios!$C$5+N(Y46)/Criterios!$C$18*Criterios!$C$6+N(Z46)/Criterios!$C$18*Criterios!$C$7+N(AA46)/Criterios!$C$18*Criterios!$C$8+N(AB46)/Criterios!$C$18*Criterios!$C$9+N(AC46)/Criterios!$C$18*Criterios!$C$10+N(AD46)/Criterios!$C$18*Criterios!$C$11,1),"")</f>
        <v/>
      </c>
      <c r="AF46" s="8" t="str">
        <f aca="false">IF(AE46="","",IF(AND(W46&gt;=Criterios!$C$16,Y46&gt;=Criterios!$C$17),"Cumple","No cumple"))</f>
        <v/>
      </c>
      <c r="AG46" s="8" t="str">
        <f aca="false">IF(V46="","",IF(V46&lt;&gt;"Elegible",V46,IF(AE46="","Pendiente de calificar",IF(AND(AE46&gt;=Criterios!$C$15,AF46="Cumple"),"Aprobable","No aprobable"))))</f>
        <v/>
      </c>
      <c r="AH46" s="8" t="str">
        <f aca="false">IF(AG46="Aprobable",COUNTIFS($AG$5:$AG$54,"Aprobable",$AE$5:$AE$54,"&gt;"&amp;AE46)+1,"")</f>
        <v/>
      </c>
      <c r="AI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8" t="str">
        <f aca="false">IF(E47="","",IFERROR(INDEX(Temas!$B$4:$B$19,MATCH(E47,Temas!$A$4:$A$19,0)),"Fracción no válida"))</f>
        <v/>
      </c>
      <c r="G47" s="13"/>
      <c r="H47" s="14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8" t="str">
        <f aca="false">IF(COUNTA(I47:U47)=0,"",IF(COUNTIF(I47:U47,"Sí")=13,"Elegible",IF(COUNTA(I47:U47)&lt;13,"Incompleto","No elegible")))</f>
        <v/>
      </c>
      <c r="W47" s="12"/>
      <c r="X47" s="12"/>
      <c r="Y47" s="12"/>
      <c r="Z47" s="12"/>
      <c r="AA47" s="12"/>
      <c r="AB47" s="12"/>
      <c r="AC47" s="12"/>
      <c r="AD47" s="12"/>
      <c r="AE47" s="11" t="str">
        <f aca="false">IF(AND(V47="Elegible",COUNT(W47:AD47)=8),ROUND(N(W47)/Criterios!$C$18*Criterios!$C$4+N(X47)/Criterios!$C$18*Criterios!$C$5+N(Y47)/Criterios!$C$18*Criterios!$C$6+N(Z47)/Criterios!$C$18*Criterios!$C$7+N(AA47)/Criterios!$C$18*Criterios!$C$8+N(AB47)/Criterios!$C$18*Criterios!$C$9+N(AC47)/Criterios!$C$18*Criterios!$C$10+N(AD47)/Criterios!$C$18*Criterios!$C$11,1),"")</f>
        <v/>
      </c>
      <c r="AF47" s="8" t="str">
        <f aca="false">IF(AE47="","",IF(AND(W47&gt;=Criterios!$C$16,Y47&gt;=Criterios!$C$17),"Cumple","No cumple"))</f>
        <v/>
      </c>
      <c r="AG47" s="8" t="str">
        <f aca="false">IF(V47="","",IF(V47&lt;&gt;"Elegible",V47,IF(AE47="","Pendiente de calificar",IF(AND(AE47&gt;=Criterios!$C$15,AF47="Cumple"),"Aprobable","No aprobable"))))</f>
        <v/>
      </c>
      <c r="AH47" s="8" t="str">
        <f aca="false">IF(AG47="Aprobable",COUNTIFS($AG$5:$AG$54,"Aprobable",$AE$5:$AE$54,"&gt;"&amp;AE47)+1,"")</f>
        <v/>
      </c>
      <c r="AI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8" t="str">
        <f aca="false">IF(E48="","",IFERROR(INDEX(Temas!$B$4:$B$19,MATCH(E48,Temas!$A$4:$A$19,0)),"Fracción no válida"))</f>
        <v/>
      </c>
      <c r="G48" s="13"/>
      <c r="H48" s="1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8" t="str">
        <f aca="false">IF(COUNTA(I48:U48)=0,"",IF(COUNTIF(I48:U48,"Sí")=13,"Elegible",IF(COUNTA(I48:U48)&lt;13,"Incompleto","No elegible")))</f>
        <v/>
      </c>
      <c r="W48" s="12"/>
      <c r="X48" s="12"/>
      <c r="Y48" s="12"/>
      <c r="Z48" s="12"/>
      <c r="AA48" s="12"/>
      <c r="AB48" s="12"/>
      <c r="AC48" s="12"/>
      <c r="AD48" s="12"/>
      <c r="AE48" s="11" t="str">
        <f aca="false">IF(AND(V48="Elegible",COUNT(W48:AD48)=8),ROUND(N(W48)/Criterios!$C$18*Criterios!$C$4+N(X48)/Criterios!$C$18*Criterios!$C$5+N(Y48)/Criterios!$C$18*Criterios!$C$6+N(Z48)/Criterios!$C$18*Criterios!$C$7+N(AA48)/Criterios!$C$18*Criterios!$C$8+N(AB48)/Criterios!$C$18*Criterios!$C$9+N(AC48)/Criterios!$C$18*Criterios!$C$10+N(AD48)/Criterios!$C$18*Criterios!$C$11,1),"")</f>
        <v/>
      </c>
      <c r="AF48" s="8" t="str">
        <f aca="false">IF(AE48="","",IF(AND(W48&gt;=Criterios!$C$16,Y48&gt;=Criterios!$C$17),"Cumple","No cumple"))</f>
        <v/>
      </c>
      <c r="AG48" s="8" t="str">
        <f aca="false">IF(V48="","",IF(V48&lt;&gt;"Elegible",V48,IF(AE48="","Pendiente de calificar",IF(AND(AE48&gt;=Criterios!$C$15,AF48="Cumple"),"Aprobable","No aprobable"))))</f>
        <v/>
      </c>
      <c r="AH48" s="8" t="str">
        <f aca="false">IF(AG48="Aprobable",COUNTIFS($AG$5:$AG$54,"Aprobable",$AE$5:$AE$54,"&gt;"&amp;AE48)+1,"")</f>
        <v/>
      </c>
      <c r="AI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8" t="str">
        <f aca="false">IF(E49="","",IFERROR(INDEX(Temas!$B$4:$B$19,MATCH(E49,Temas!$A$4:$A$19,0)),"Fracción no válida"))</f>
        <v/>
      </c>
      <c r="G49" s="13"/>
      <c r="H49" s="14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8" t="str">
        <f aca="false">IF(COUNTA(I49:U49)=0,"",IF(COUNTIF(I49:U49,"Sí")=13,"Elegible",IF(COUNTA(I49:U49)&lt;13,"Incompleto","No elegible")))</f>
        <v/>
      </c>
      <c r="W49" s="12"/>
      <c r="X49" s="12"/>
      <c r="Y49" s="12"/>
      <c r="Z49" s="12"/>
      <c r="AA49" s="12"/>
      <c r="AB49" s="12"/>
      <c r="AC49" s="12"/>
      <c r="AD49" s="12"/>
      <c r="AE49" s="11" t="str">
        <f aca="false">IF(AND(V49="Elegible",COUNT(W49:AD49)=8),ROUND(N(W49)/Criterios!$C$18*Criterios!$C$4+N(X49)/Criterios!$C$18*Criterios!$C$5+N(Y49)/Criterios!$C$18*Criterios!$C$6+N(Z49)/Criterios!$C$18*Criterios!$C$7+N(AA49)/Criterios!$C$18*Criterios!$C$8+N(AB49)/Criterios!$C$18*Criterios!$C$9+N(AC49)/Criterios!$C$18*Criterios!$C$10+N(AD49)/Criterios!$C$18*Criterios!$C$11,1),"")</f>
        <v/>
      </c>
      <c r="AF49" s="8" t="str">
        <f aca="false">IF(AE49="","",IF(AND(W49&gt;=Criterios!$C$16,Y49&gt;=Criterios!$C$17),"Cumple","No cumple"))</f>
        <v/>
      </c>
      <c r="AG49" s="8" t="str">
        <f aca="false">IF(V49="","",IF(V49&lt;&gt;"Elegible",V49,IF(AE49="","Pendiente de calificar",IF(AND(AE49&gt;=Criterios!$C$15,AF49="Cumple"),"Aprobable","No aprobable"))))</f>
        <v/>
      </c>
      <c r="AH49" s="8" t="str">
        <f aca="false">IF(AG49="Aprobable",COUNTIFS($AG$5:$AG$54,"Aprobable",$AE$5:$AE$54,"&gt;"&amp;AE49)+1,"")</f>
        <v/>
      </c>
      <c r="AI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8" t="str">
        <f aca="false">IF(E50="","",IFERROR(INDEX(Temas!$B$4:$B$19,MATCH(E50,Temas!$A$4:$A$19,0)),"Fracción no válida"))</f>
        <v/>
      </c>
      <c r="G50" s="13"/>
      <c r="H50" s="14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8" t="str">
        <f aca="false">IF(COUNTA(I50:U50)=0,"",IF(COUNTIF(I50:U50,"Sí")=13,"Elegible",IF(COUNTA(I50:U50)&lt;13,"Incompleto","No elegible")))</f>
        <v/>
      </c>
      <c r="W50" s="12"/>
      <c r="X50" s="12"/>
      <c r="Y50" s="12"/>
      <c r="Z50" s="12"/>
      <c r="AA50" s="12"/>
      <c r="AB50" s="12"/>
      <c r="AC50" s="12"/>
      <c r="AD50" s="12"/>
      <c r="AE50" s="11" t="str">
        <f aca="false">IF(AND(V50="Elegible",COUNT(W50:AD50)=8),ROUND(N(W50)/Criterios!$C$18*Criterios!$C$4+N(X50)/Criterios!$C$18*Criterios!$C$5+N(Y50)/Criterios!$C$18*Criterios!$C$6+N(Z50)/Criterios!$C$18*Criterios!$C$7+N(AA50)/Criterios!$C$18*Criterios!$C$8+N(AB50)/Criterios!$C$18*Criterios!$C$9+N(AC50)/Criterios!$C$18*Criterios!$C$10+N(AD50)/Criterios!$C$18*Criterios!$C$11,1),"")</f>
        <v/>
      </c>
      <c r="AF50" s="8" t="str">
        <f aca="false">IF(AE50="","",IF(AND(W50&gt;=Criterios!$C$16,Y50&gt;=Criterios!$C$17),"Cumple","No cumple"))</f>
        <v/>
      </c>
      <c r="AG50" s="8" t="str">
        <f aca="false">IF(V50="","",IF(V50&lt;&gt;"Elegible",V50,IF(AE50="","Pendiente de calificar",IF(AND(AE50&gt;=Criterios!$C$15,AF50="Cumple"),"Aprobable","No aprobable"))))</f>
        <v/>
      </c>
      <c r="AH50" s="8" t="str">
        <f aca="false">IF(AG50="Aprobable",COUNTIFS($AG$5:$AG$54,"Aprobable",$AE$5:$AE$54,"&gt;"&amp;AE50)+1,"")</f>
        <v/>
      </c>
      <c r="AI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8" t="str">
        <f aca="false">IF(E51="","",IFERROR(INDEX(Temas!$B$4:$B$19,MATCH(E51,Temas!$A$4:$A$19,0)),"Fracción no válida"))</f>
        <v/>
      </c>
      <c r="G51" s="13"/>
      <c r="H51" s="14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8" t="str">
        <f aca="false">IF(COUNTA(I51:U51)=0,"",IF(COUNTIF(I51:U51,"Sí")=13,"Elegible",IF(COUNTA(I51:U51)&lt;13,"Incompleto","No elegible")))</f>
        <v/>
      </c>
      <c r="W51" s="12"/>
      <c r="X51" s="12"/>
      <c r="Y51" s="12"/>
      <c r="Z51" s="12"/>
      <c r="AA51" s="12"/>
      <c r="AB51" s="12"/>
      <c r="AC51" s="12"/>
      <c r="AD51" s="12"/>
      <c r="AE51" s="11" t="str">
        <f aca="false">IF(AND(V51="Elegible",COUNT(W51:AD51)=8),ROUND(N(W51)/Criterios!$C$18*Criterios!$C$4+N(X51)/Criterios!$C$18*Criterios!$C$5+N(Y51)/Criterios!$C$18*Criterios!$C$6+N(Z51)/Criterios!$C$18*Criterios!$C$7+N(AA51)/Criterios!$C$18*Criterios!$C$8+N(AB51)/Criterios!$C$18*Criterios!$C$9+N(AC51)/Criterios!$C$18*Criterios!$C$10+N(AD51)/Criterios!$C$18*Criterios!$C$11,1),"")</f>
        <v/>
      </c>
      <c r="AF51" s="8" t="str">
        <f aca="false">IF(AE51="","",IF(AND(W51&gt;=Criterios!$C$16,Y51&gt;=Criterios!$C$17),"Cumple","No cumple"))</f>
        <v/>
      </c>
      <c r="AG51" s="8" t="str">
        <f aca="false">IF(V51="","",IF(V51&lt;&gt;"Elegible",V51,IF(AE51="","Pendiente de calificar",IF(AND(AE51&gt;=Criterios!$C$15,AF51="Cumple"),"Aprobable","No aprobable"))))</f>
        <v/>
      </c>
      <c r="AH51" s="8" t="str">
        <f aca="false">IF(AG51="Aprobable",COUNTIFS($AG$5:$AG$54,"Aprobable",$AE$5:$AE$54,"&gt;"&amp;AE51)+1,"")</f>
        <v/>
      </c>
      <c r="AI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8" t="str">
        <f aca="false">IF(E52="","",IFERROR(INDEX(Temas!$B$4:$B$19,MATCH(E52,Temas!$A$4:$A$19,0)),"Fracción no válida"))</f>
        <v/>
      </c>
      <c r="G52" s="13"/>
      <c r="H52" s="14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8" t="str">
        <f aca="false">IF(COUNTA(I52:U52)=0,"",IF(COUNTIF(I52:U52,"Sí")=13,"Elegible",IF(COUNTA(I52:U52)&lt;13,"Incompleto","No elegible")))</f>
        <v/>
      </c>
      <c r="W52" s="12"/>
      <c r="X52" s="12"/>
      <c r="Y52" s="12"/>
      <c r="Z52" s="12"/>
      <c r="AA52" s="12"/>
      <c r="AB52" s="12"/>
      <c r="AC52" s="12"/>
      <c r="AD52" s="12"/>
      <c r="AE52" s="11" t="str">
        <f aca="false">IF(AND(V52="Elegible",COUNT(W52:AD52)=8),ROUND(N(W52)/Criterios!$C$18*Criterios!$C$4+N(X52)/Criterios!$C$18*Criterios!$C$5+N(Y52)/Criterios!$C$18*Criterios!$C$6+N(Z52)/Criterios!$C$18*Criterios!$C$7+N(AA52)/Criterios!$C$18*Criterios!$C$8+N(AB52)/Criterios!$C$18*Criterios!$C$9+N(AC52)/Criterios!$C$18*Criterios!$C$10+N(AD52)/Criterios!$C$18*Criterios!$C$11,1),"")</f>
        <v/>
      </c>
      <c r="AF52" s="8" t="str">
        <f aca="false">IF(AE52="","",IF(AND(W52&gt;=Criterios!$C$16,Y52&gt;=Criterios!$C$17),"Cumple","No cumple"))</f>
        <v/>
      </c>
      <c r="AG52" s="8" t="str">
        <f aca="false">IF(V52="","",IF(V52&lt;&gt;"Elegible",V52,IF(AE52="","Pendiente de calificar",IF(AND(AE52&gt;=Criterios!$C$15,AF52="Cumple"),"Aprobable","No aprobable"))))</f>
        <v/>
      </c>
      <c r="AH52" s="8" t="str">
        <f aca="false">IF(AG52="Aprobable",COUNTIFS($AG$5:$AG$54,"Aprobable",$AE$5:$AE$54,"&gt;"&amp;AE52)+1,"")</f>
        <v/>
      </c>
      <c r="AI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8" t="str">
        <f aca="false">IF(E53="","",IFERROR(INDEX(Temas!$B$4:$B$19,MATCH(E53,Temas!$A$4:$A$19,0)),"Fracción no válida"))</f>
        <v/>
      </c>
      <c r="G53" s="13"/>
      <c r="H53" s="14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8" t="str">
        <f aca="false">IF(COUNTA(I53:U53)=0,"",IF(COUNTIF(I53:U53,"Sí")=13,"Elegible",IF(COUNTA(I53:U53)&lt;13,"Incompleto","No elegible")))</f>
        <v/>
      </c>
      <c r="W53" s="12"/>
      <c r="X53" s="12"/>
      <c r="Y53" s="12"/>
      <c r="Z53" s="12"/>
      <c r="AA53" s="12"/>
      <c r="AB53" s="12"/>
      <c r="AC53" s="12"/>
      <c r="AD53" s="12"/>
      <c r="AE53" s="11" t="str">
        <f aca="false">IF(AND(V53="Elegible",COUNT(W53:AD53)=8),ROUND(N(W53)/Criterios!$C$18*Criterios!$C$4+N(X53)/Criterios!$C$18*Criterios!$C$5+N(Y53)/Criterios!$C$18*Criterios!$C$6+N(Z53)/Criterios!$C$18*Criterios!$C$7+N(AA53)/Criterios!$C$18*Criterios!$C$8+N(AB53)/Criterios!$C$18*Criterios!$C$9+N(AC53)/Criterios!$C$18*Criterios!$C$10+N(AD53)/Criterios!$C$18*Criterios!$C$11,1),"")</f>
        <v/>
      </c>
      <c r="AF53" s="8" t="str">
        <f aca="false">IF(AE53="","",IF(AND(W53&gt;=Criterios!$C$16,Y53&gt;=Criterios!$C$17),"Cumple","No cumple"))</f>
        <v/>
      </c>
      <c r="AG53" s="8" t="str">
        <f aca="false">IF(V53="","",IF(V53&lt;&gt;"Elegible",V53,IF(AE53="","Pendiente de calificar",IF(AND(AE53&gt;=Criterios!$C$15,AF53="Cumple"),"Aprobable","No aprobable"))))</f>
        <v/>
      </c>
      <c r="AH53" s="8" t="str">
        <f aca="false">IF(AG53="Aprobable",COUNTIFS($AG$5:$AG$54,"Aprobable",$AE$5:$AE$54,"&gt;"&amp;AE53)+1,"")</f>
        <v/>
      </c>
      <c r="AI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8" t="str">
        <f aca="false">IF(E54="","",IFERROR(INDEX(Temas!$B$4:$B$19,MATCH(E54,Temas!$A$4:$A$19,0)),"Fracción no válida"))</f>
        <v/>
      </c>
      <c r="G54" s="13"/>
      <c r="H54" s="14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8" t="str">
        <f aca="false">IF(COUNTA(I54:U54)=0,"",IF(COUNTIF(I54:U54,"Sí")=13,"Elegible",IF(COUNTA(I54:U54)&lt;13,"Incompleto","No elegible")))</f>
        <v/>
      </c>
      <c r="W54" s="12"/>
      <c r="X54" s="12"/>
      <c r="Y54" s="12"/>
      <c r="Z54" s="12"/>
      <c r="AA54" s="12"/>
      <c r="AB54" s="12"/>
      <c r="AC54" s="12"/>
      <c r="AD54" s="12"/>
      <c r="AE54" s="11" t="str">
        <f aca="false">IF(AND(V54="Elegible",COUNT(W54:AD54)=8),ROUND(N(W54)/Criterios!$C$18*Criterios!$C$4+N(X54)/Criterios!$C$18*Criterios!$C$5+N(Y54)/Criterios!$C$18*Criterios!$C$6+N(Z54)/Criterios!$C$18*Criterios!$C$7+N(AA54)/Criterios!$C$18*Criterios!$C$8+N(AB54)/Criterios!$C$18*Criterios!$C$9+N(AC54)/Criterios!$C$18*Criterios!$C$10+N(AD54)/Criterios!$C$18*Criterios!$C$11,1),"")</f>
        <v/>
      </c>
      <c r="AF54" s="8" t="str">
        <f aca="false">IF(AE54="","",IF(AND(W54&gt;=Criterios!$C$16,Y54&gt;=Criterios!$C$17),"Cumple","No cumple"))</f>
        <v/>
      </c>
      <c r="AG54" s="8" t="str">
        <f aca="false">IF(V54="","",IF(V54&lt;&gt;"Elegible",V54,IF(AE54="","Pendiente de calificar",IF(AND(AE54&gt;=Criterios!$C$15,AF54="Cumple"),"Aprobable","No aprobable"))))</f>
        <v/>
      </c>
      <c r="AH54" s="8" t="str">
        <f aca="false">IF(AG54="Aprobable",COUNTIFS($AG$5:$AG$54,"Aprobable",$AE$5:$AE$54,"&gt;"&amp;AE54)+1,"")</f>
        <v/>
      </c>
      <c r="AI54" s="12"/>
    </row>
  </sheetData>
  <conditionalFormatting sqref="AG5:AG54">
    <cfRule type="cellIs" priority="2" operator="equal" aboveAverage="0" equalAverage="0" bottom="0" percent="0" rank="0" text="" dxfId="0">
      <formula>"Aprobable"</formula>
    </cfRule>
    <cfRule type="cellIs" priority="3" operator="equal" aboveAverage="0" equalAverage="0" bottom="0" percent="0" rank="0" text="" dxfId="1">
      <formula>"No elegible"</formula>
    </cfRule>
    <cfRule type="cellIs" priority="4" operator="equal" aboveAverage="0" equalAverage="0" bottom="0" percent="0" rank="0" text="" dxfId="2">
      <formula>"No aprobable"</formula>
    </cfRule>
  </conditionalFormatting>
  <dataValidations count="5">
    <dataValidation allowBlank="true" errorStyle="stop" operator="between" showDropDown="false" showErrorMessage="false" showInputMessage="false" sqref="I5:U54" type="list">
      <formula1>"Sí,No"</formula1>
      <formula2>0</formula2>
    </dataValidation>
    <dataValidation allowBlank="true" errorStyle="stop" operator="between" showDropDown="false" showErrorMessage="false" showInputMessage="false" sqref="D5:D54" type="list">
      <formula1>"Público - dependencia estatal,Público - municipio,Público - paraestatal,Privado - empresa,Privado - OSC,Privado - academia o instituto técnico"</formula1>
      <formula2>0</formula2>
    </dataValidation>
    <dataValidation allowBlank="true" errorStyle="stop" operator="between" showDropDown="false" showErrorMessage="false" showInputMessage="false" sqref="E5:E54" type="list">
      <formula1>Temas!$A$4:$A$19</formula1>
      <formula2>0</formula2>
    </dataValidation>
    <dataValidation allowBlank="true" error="Califique de 0 a 4" errorStyle="stop" operator="between" showDropDown="false" showErrorMessage="true" showInputMessage="false" sqref="W5:AD54" type="whole">
      <formula1>0</formula1>
      <formula2>4</formula2>
    </dataValidation>
    <dataValidation allowBlank="true" errorStyle="stop" operator="between" showDropDown="false" showErrorMessage="false" showInputMessage="false" sqref="H5:H5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60</v>
      </c>
    </row>
    <row r="3" customFormat="false" ht="15" hidden="false" customHeight="false" outlineLevel="0" collapsed="false">
      <c r="A3" s="6" t="s">
        <v>61</v>
      </c>
      <c r="B3" s="6" t="s">
        <v>23</v>
      </c>
      <c r="C3" s="6" t="s">
        <v>62</v>
      </c>
      <c r="D3" s="6" t="s">
        <v>63</v>
      </c>
      <c r="E3" s="6" t="s">
        <v>64</v>
      </c>
    </row>
    <row r="4" customFormat="false" ht="39.55" hidden="false" customHeight="false" outlineLevel="0" collapsed="false">
      <c r="A4" s="15" t="s">
        <v>65</v>
      </c>
      <c r="B4" s="15" t="s">
        <v>66</v>
      </c>
      <c r="C4" s="15" t="s">
        <v>67</v>
      </c>
      <c r="D4" s="15" t="s">
        <v>68</v>
      </c>
      <c r="E4" s="15" t="s">
        <v>69</v>
      </c>
    </row>
    <row r="5" customFormat="false" ht="26.85" hidden="false" customHeight="false" outlineLevel="0" collapsed="false">
      <c r="A5" s="15" t="s">
        <v>70</v>
      </c>
      <c r="B5" s="15" t="s">
        <v>71</v>
      </c>
      <c r="C5" s="15" t="s">
        <v>72</v>
      </c>
      <c r="D5" s="15" t="s">
        <v>73</v>
      </c>
      <c r="E5" s="15" t="s">
        <v>74</v>
      </c>
    </row>
    <row r="6" customFormat="false" ht="26.85" hidden="false" customHeight="false" outlineLevel="0" collapsed="false">
      <c r="A6" s="15" t="s">
        <v>75</v>
      </c>
      <c r="B6" s="15" t="s">
        <v>66</v>
      </c>
      <c r="C6" s="15" t="s">
        <v>76</v>
      </c>
      <c r="D6" s="15" t="s">
        <v>77</v>
      </c>
      <c r="E6" s="15" t="s">
        <v>78</v>
      </c>
    </row>
    <row r="7" customFormat="false" ht="39.55" hidden="false" customHeight="false" outlineLevel="0" collapsed="false">
      <c r="A7" s="15" t="s">
        <v>57</v>
      </c>
      <c r="B7" s="15" t="s">
        <v>79</v>
      </c>
      <c r="C7" s="15" t="s">
        <v>80</v>
      </c>
      <c r="D7" s="15" t="s">
        <v>81</v>
      </c>
      <c r="E7" s="15" t="s">
        <v>82</v>
      </c>
    </row>
    <row r="8" customFormat="false" ht="26.85" hidden="false" customHeight="false" outlineLevel="0" collapsed="false">
      <c r="A8" s="15" t="s">
        <v>83</v>
      </c>
      <c r="B8" s="15" t="s">
        <v>79</v>
      </c>
      <c r="C8" s="15" t="s">
        <v>84</v>
      </c>
      <c r="D8" s="15" t="s">
        <v>85</v>
      </c>
      <c r="E8" s="15" t="s">
        <v>86</v>
      </c>
    </row>
    <row r="9" customFormat="false" ht="26.85" hidden="false" customHeight="false" outlineLevel="0" collapsed="false">
      <c r="A9" s="15" t="s">
        <v>87</v>
      </c>
      <c r="B9" s="15" t="s">
        <v>71</v>
      </c>
      <c r="C9" s="15" t="s">
        <v>88</v>
      </c>
      <c r="D9" s="15" t="s">
        <v>89</v>
      </c>
      <c r="E9" s="15" t="s">
        <v>90</v>
      </c>
    </row>
    <row r="10" customFormat="false" ht="26.85" hidden="false" customHeight="false" outlineLevel="0" collapsed="false">
      <c r="A10" s="15" t="s">
        <v>91</v>
      </c>
      <c r="B10" s="15" t="s">
        <v>71</v>
      </c>
      <c r="C10" s="15" t="s">
        <v>92</v>
      </c>
      <c r="D10" s="15" t="s">
        <v>93</v>
      </c>
      <c r="E10" s="15" t="s">
        <v>94</v>
      </c>
    </row>
    <row r="11" customFormat="false" ht="26.85" hidden="false" customHeight="false" outlineLevel="0" collapsed="false">
      <c r="A11" s="15" t="s">
        <v>95</v>
      </c>
      <c r="B11" s="15" t="s">
        <v>96</v>
      </c>
      <c r="C11" s="15" t="s">
        <v>97</v>
      </c>
      <c r="D11" s="15" t="s">
        <v>98</v>
      </c>
      <c r="E11" s="15" t="s">
        <v>99</v>
      </c>
    </row>
    <row r="12" customFormat="false" ht="26.85" hidden="false" customHeight="false" outlineLevel="0" collapsed="false">
      <c r="A12" s="15" t="s">
        <v>100</v>
      </c>
      <c r="B12" s="15" t="s">
        <v>96</v>
      </c>
      <c r="C12" s="15" t="s">
        <v>101</v>
      </c>
      <c r="D12" s="15" t="s">
        <v>102</v>
      </c>
      <c r="E12" s="15" t="s">
        <v>103</v>
      </c>
    </row>
    <row r="13" customFormat="false" ht="26.85" hidden="false" customHeight="false" outlineLevel="0" collapsed="false">
      <c r="A13" s="15" t="s">
        <v>104</v>
      </c>
      <c r="B13" s="15" t="s">
        <v>105</v>
      </c>
      <c r="C13" s="15" t="s">
        <v>106</v>
      </c>
      <c r="D13" s="15" t="s">
        <v>107</v>
      </c>
      <c r="E13" s="15" t="s">
        <v>108</v>
      </c>
    </row>
    <row r="14" customFormat="false" ht="26.85" hidden="false" customHeight="false" outlineLevel="0" collapsed="false">
      <c r="A14" s="15" t="s">
        <v>109</v>
      </c>
      <c r="B14" s="15" t="s">
        <v>105</v>
      </c>
      <c r="C14" s="15" t="s">
        <v>110</v>
      </c>
      <c r="D14" s="15" t="s">
        <v>111</v>
      </c>
      <c r="E14" s="15" t="s">
        <v>112</v>
      </c>
    </row>
    <row r="15" customFormat="false" ht="26.85" hidden="false" customHeight="false" outlineLevel="0" collapsed="false">
      <c r="A15" s="15" t="s">
        <v>113</v>
      </c>
      <c r="B15" s="15" t="s">
        <v>66</v>
      </c>
      <c r="C15" s="15" t="s">
        <v>114</v>
      </c>
      <c r="D15" s="15" t="s">
        <v>115</v>
      </c>
      <c r="E15" s="15" t="s">
        <v>116</v>
      </c>
    </row>
    <row r="16" customFormat="false" ht="26.85" hidden="false" customHeight="false" outlineLevel="0" collapsed="false">
      <c r="A16" s="15" t="s">
        <v>117</v>
      </c>
      <c r="B16" s="15" t="s">
        <v>105</v>
      </c>
      <c r="C16" s="15" t="s">
        <v>118</v>
      </c>
      <c r="D16" s="15" t="s">
        <v>119</v>
      </c>
      <c r="E16" s="15" t="s">
        <v>120</v>
      </c>
    </row>
    <row r="17" customFormat="false" ht="26.85" hidden="false" customHeight="false" outlineLevel="0" collapsed="false">
      <c r="A17" s="15" t="s">
        <v>121</v>
      </c>
      <c r="B17" s="15" t="s">
        <v>105</v>
      </c>
      <c r="C17" s="15" t="s">
        <v>122</v>
      </c>
      <c r="D17" s="15" t="s">
        <v>123</v>
      </c>
      <c r="E17" s="15" t="s">
        <v>124</v>
      </c>
    </row>
    <row r="18" customFormat="false" ht="26.85" hidden="false" customHeight="false" outlineLevel="0" collapsed="false">
      <c r="A18" s="15" t="s">
        <v>125</v>
      </c>
      <c r="B18" s="15" t="s">
        <v>79</v>
      </c>
      <c r="C18" s="15" t="s">
        <v>126</v>
      </c>
      <c r="D18" s="15" t="s">
        <v>127</v>
      </c>
      <c r="E18" s="15" t="s">
        <v>128</v>
      </c>
    </row>
    <row r="19" customFormat="false" ht="26.85" hidden="false" customHeight="false" outlineLevel="0" collapsed="false">
      <c r="A19" s="15" t="s">
        <v>129</v>
      </c>
      <c r="B19" s="15" t="s">
        <v>130</v>
      </c>
      <c r="C19" s="15" t="s">
        <v>131</v>
      </c>
      <c r="D19" s="15" t="s">
        <v>132</v>
      </c>
      <c r="E19" s="15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134</v>
      </c>
    </row>
    <row r="3" customFormat="false" ht="15" hidden="false" customHeight="false" outlineLevel="0" collapsed="false">
      <c r="A3" s="6" t="s">
        <v>135</v>
      </c>
      <c r="B3" s="6" t="s">
        <v>136</v>
      </c>
      <c r="C3" s="6" t="s">
        <v>137</v>
      </c>
      <c r="D3" s="6" t="s">
        <v>138</v>
      </c>
    </row>
    <row r="4" customFormat="false" ht="15" hidden="false" customHeight="false" outlineLevel="0" collapsed="false">
      <c r="A4" s="15" t="s">
        <v>40</v>
      </c>
      <c r="B4" s="15" t="s">
        <v>139</v>
      </c>
      <c r="C4" s="16" t="n">
        <v>25</v>
      </c>
      <c r="D4" s="15" t="s">
        <v>140</v>
      </c>
    </row>
    <row r="5" customFormat="false" ht="26.85" hidden="false" customHeight="false" outlineLevel="0" collapsed="false">
      <c r="A5" s="15" t="s">
        <v>41</v>
      </c>
      <c r="B5" s="15" t="s">
        <v>141</v>
      </c>
      <c r="C5" s="16" t="n">
        <v>15</v>
      </c>
      <c r="D5" s="15" t="s">
        <v>142</v>
      </c>
    </row>
    <row r="6" customFormat="false" ht="15" hidden="false" customHeight="false" outlineLevel="0" collapsed="false">
      <c r="A6" s="15" t="s">
        <v>42</v>
      </c>
      <c r="B6" s="15" t="s">
        <v>143</v>
      </c>
      <c r="C6" s="16" t="n">
        <v>15</v>
      </c>
      <c r="D6" s="15" t="s">
        <v>144</v>
      </c>
    </row>
    <row r="7" customFormat="false" ht="15" hidden="false" customHeight="false" outlineLevel="0" collapsed="false">
      <c r="A7" s="15" t="s">
        <v>43</v>
      </c>
      <c r="B7" s="15" t="s">
        <v>145</v>
      </c>
      <c r="C7" s="16" t="n">
        <v>15</v>
      </c>
      <c r="D7" s="15" t="s">
        <v>146</v>
      </c>
    </row>
    <row r="8" customFormat="false" ht="15" hidden="false" customHeight="false" outlineLevel="0" collapsed="false">
      <c r="A8" s="15" t="s">
        <v>44</v>
      </c>
      <c r="B8" s="15" t="s">
        <v>147</v>
      </c>
      <c r="C8" s="16" t="n">
        <v>10</v>
      </c>
      <c r="D8" s="15" t="s">
        <v>148</v>
      </c>
    </row>
    <row r="9" customFormat="false" ht="15" hidden="false" customHeight="false" outlineLevel="0" collapsed="false">
      <c r="A9" s="15" t="s">
        <v>45</v>
      </c>
      <c r="B9" s="15" t="s">
        <v>149</v>
      </c>
      <c r="C9" s="16" t="n">
        <v>10</v>
      </c>
      <c r="D9" s="15" t="s">
        <v>150</v>
      </c>
    </row>
    <row r="10" customFormat="false" ht="26.85" hidden="false" customHeight="false" outlineLevel="0" collapsed="false">
      <c r="A10" s="15" t="s">
        <v>46</v>
      </c>
      <c r="B10" s="15" t="s">
        <v>151</v>
      </c>
      <c r="C10" s="16" t="n">
        <v>5</v>
      </c>
      <c r="D10" s="15" t="s">
        <v>152</v>
      </c>
    </row>
    <row r="11" customFormat="false" ht="15" hidden="false" customHeight="false" outlineLevel="0" collapsed="false">
      <c r="A11" s="15" t="s">
        <v>47</v>
      </c>
      <c r="B11" s="15" t="s">
        <v>153</v>
      </c>
      <c r="C11" s="16" t="n">
        <v>5</v>
      </c>
      <c r="D11" s="15" t="s">
        <v>154</v>
      </c>
    </row>
    <row r="12" customFormat="false" ht="15" hidden="false" customHeight="false" outlineLevel="0" collapsed="false">
      <c r="B12" s="3" t="s">
        <v>155</v>
      </c>
      <c r="C12" s="17" t="n">
        <f aca="false">SUM(C4:C11)</f>
        <v>100</v>
      </c>
    </row>
    <row r="14" customFormat="false" ht="15" hidden="false" customHeight="false" outlineLevel="0" collapsed="false">
      <c r="A14" s="3" t="s">
        <v>156</v>
      </c>
    </row>
    <row r="15" customFormat="false" ht="15" hidden="false" customHeight="false" outlineLevel="0" collapsed="false">
      <c r="B15" s="2" t="s">
        <v>157</v>
      </c>
      <c r="C15" s="18" t="n">
        <v>60</v>
      </c>
    </row>
    <row r="16" customFormat="false" ht="15" hidden="false" customHeight="false" outlineLevel="0" collapsed="false">
      <c r="B16" s="2" t="s">
        <v>158</v>
      </c>
      <c r="C16" s="18" t="n">
        <v>2</v>
      </c>
    </row>
    <row r="17" customFormat="false" ht="15" hidden="false" customHeight="false" outlineLevel="0" collapsed="false">
      <c r="B17" s="2" t="s">
        <v>159</v>
      </c>
      <c r="C17" s="18" t="n">
        <v>2</v>
      </c>
    </row>
    <row r="18" customFormat="false" ht="15" hidden="false" customHeight="false" outlineLevel="0" collapsed="false">
      <c r="B18" s="2" t="s">
        <v>160</v>
      </c>
      <c r="C18" s="18" t="n">
        <v>4</v>
      </c>
    </row>
    <row r="20" customFormat="false" ht="15" hidden="false" customHeight="false" outlineLevel="0" collapsed="false">
      <c r="A20" s="3" t="s">
        <v>161</v>
      </c>
    </row>
    <row r="21" customFormat="false" ht="15" hidden="false" customHeight="false" outlineLevel="0" collapsed="false">
      <c r="A21" s="6" t="s">
        <v>162</v>
      </c>
      <c r="B21" s="6" t="s">
        <v>163</v>
      </c>
    </row>
    <row r="22" customFormat="false" ht="15" hidden="false" customHeight="false" outlineLevel="0" collapsed="false">
      <c r="A22" s="2" t="n">
        <v>0</v>
      </c>
      <c r="B22" s="2" t="s">
        <v>164</v>
      </c>
    </row>
    <row r="23" customFormat="false" ht="15" hidden="false" customHeight="false" outlineLevel="0" collapsed="false">
      <c r="A23" s="2" t="n">
        <v>1</v>
      </c>
      <c r="B23" s="2" t="s">
        <v>165</v>
      </c>
    </row>
    <row r="24" customFormat="false" ht="15" hidden="false" customHeight="false" outlineLevel="0" collapsed="false">
      <c r="A24" s="2" t="n">
        <v>2</v>
      </c>
      <c r="B24" s="2" t="s">
        <v>166</v>
      </c>
    </row>
    <row r="25" customFormat="false" ht="15" hidden="false" customHeight="false" outlineLevel="0" collapsed="false">
      <c r="A25" s="2" t="n">
        <v>3</v>
      </c>
      <c r="B25" s="2" t="s">
        <v>167</v>
      </c>
    </row>
    <row r="26" customFormat="false" ht="15" hidden="false" customHeight="false" outlineLevel="0" collapsed="false">
      <c r="A26" s="2" t="n">
        <v>4</v>
      </c>
      <c r="B26" s="2" t="s">
        <v>168</v>
      </c>
    </row>
  </sheetData>
  <conditionalFormatting sqref="C12">
    <cfRule type="cellIs" priority="2" operator="notEqual" aboveAverage="0" equalAverage="0" bottom="0" percent="0" rank="0" text="" dxfId="1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2026-10-13T18:29:25Z</dcterms:created>
  <dc:creator>openpyxl</dc:creator>
  <dc:description/>
  <dc:language>en-US</dc:language>
  <cp:lastModifiedBy/>
  <dcterms:modified xsi:type="dcterms:W3CDTF">2026-10-13T18:29:26Z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