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Evaluación" sheetId="2" state="visible" r:id="rId4"/>
    <sheet name="Rank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<sst xmlns="http://schemas.openxmlformats.org/spreadsheetml/2006/main" count="337" uniqueCount="267">
  <si>
    <t xml:space="preserve">Guía para seleccionar los proyectos que financia el Fondo</t>
  </si>
  <si>
    <t xml:space="preserve">Fondo Estatal Ambiental y Climático de Baja California Sur (FEAC BCS). Se aplica igual a proyectos del Estado, de los municipios y de la sociedad civil. Basada en los Criterios de elegibilidad de proyectos y en el Decreto del Fondo.</t>
  </si>
  <si>
    <t xml:space="preserve">Cómo usar esta herramienta</t>
  </si>
  <si>
    <t xml:space="preserve">1. En la hoja «Evaluación», escriba una fila por proyecto (celdas amarillas).</t>
  </si>
  <si>
    <t xml:space="preserve">2. Paso 1 · Requisitos mínimos: marque Sí o No en cada uno de los 6 requisitos. Si falla uno solo, el proyecto no puede participar.</t>
  </si>
  <si>
    <t xml:space="preserve">3. Paso 2 · Criterios de calificación: si puede participar, califique los 8 criterios de 1 a 3 con la tabla de abajo. Los puntos y la prioridad se calculan solos.</t>
  </si>
  <si>
    <t xml:space="preserve">4. Paso 3: la hoja «Ranking» ordena los proyectos por puntos. El Comité de Evaluación y Seguimiento propone y el Comité Técnico decide con base en ese orden y en el presupuesto.</t>
  </si>
  <si>
    <t xml:space="preserve">Las filas EJ-1 a EJ-4 son ejemplos; bórrelas antes de evaluar proyectos reales.</t>
  </si>
  <si>
    <t xml:space="preserve">Paso 1. Requisitos mínimos (Sí / No)</t>
  </si>
  <si>
    <t xml:space="preserve">#</t>
  </si>
  <si>
    <t xml:space="preserve">Requisito</t>
  </si>
  <si>
    <t xml:space="preserve">Qué se revisa</t>
  </si>
  <si>
    <t xml:space="preserve">Se cumple cuando…</t>
  </si>
  <si>
    <t xml:space="preserve">Documentos</t>
  </si>
  <si>
    <t xml:space="preserve">Pertenece a un tema del Fondo</t>
  </si>
  <si>
    <t xml:space="preserve">Que el proyecto atienda directamente uno de los 16 fines del Fondo (artículo 4 del Decreto).</t>
  </si>
  <si>
    <t xml:space="preserve">El objetivo del proyecto atiende directamente uno de los 16 temas y cumple el requisito de ese tema (ver lista de temas).</t>
  </si>
  <si>
    <t xml:space="preserve">Descripción del proyecto y documento que acredite el requisito del tema.</t>
  </si>
  <si>
    <t xml:space="preserve">Beneficio ambiental y social</t>
  </si>
  <si>
    <t xml:space="preserve">Que el proyecto genere un beneficio ambiental positivo y medible, y que identifique a quién beneficia.</t>
  </si>
  <si>
    <t xml:space="preserve">Describe al menos un beneficio ambiental positivo con un indicador, su valor actual y su meta (por ejemplo, hectáreas restauradas, toneladas de residuos recicladas), y dice qué personas o comunidades se benefician.</t>
  </si>
  <si>
    <t xml:space="preserve">Tabla de indicadores con valor actual y meta; descripción de beneficiarios.</t>
  </si>
  <si>
    <t xml:space="preserve">Ubicación y respaldo institucional</t>
  </si>
  <si>
    <t xml:space="preserve">Que se realice en BCS, con apoyo de la autoridad competente y certeza sobre el terreno.</t>
  </si>
  <si>
    <t xml:space="preserve">Señala su área de influencia o de aplicación dentro del Estado, tiene carta de apoyo de la autoridad con atribuciones para autorizarlo y, si hay obra o intervención física, acredita la propiedad, el permiso del dueño o un convenio.</t>
  </si>
  <si>
    <t xml:space="preserve">Mapa o ubicación; carta de apoyo; títulos, acuerdo ejidal o convenio.</t>
  </si>
  <si>
    <t xml:space="preserve">Propuesta completa</t>
  </si>
  <si>
    <t xml:space="preserve">Que la propuesta defina su objeto, qué se hará, cuánto cuesta y en cuánto tiempo.</t>
  </si>
  <si>
    <t xml:space="preserve">Precisa su objeto; tiene un apartado técnico-operativo y uno técnico-financiero con análisis costo-beneficio; incluye plan de trabajo, cronograma y un esquema de prioridades y contingencias.</t>
  </si>
  <si>
    <t xml:space="preserve">Documento técnico, presupuesto, análisis costo-beneficio, plan de trabajo y cronograma.</t>
  </si>
  <si>
    <t xml:space="preserve">No causa daño ambiental</t>
  </si>
  <si>
    <t xml:space="preserve">Que evite daños al ambiente o a terceros y cuente con los permisos necesarios o un plan para obtenerlos.</t>
  </si>
  <si>
    <t xml:space="preserve">Identifica posibles daños y cómo evitarlos, y tiene los permisos ambientales que necesita o un plan para obtenerlos.</t>
  </si>
  <si>
    <t xml:space="preserve">Análisis de impactos; permisos o plan para tramitarlos.</t>
  </si>
  <si>
    <t xml:space="preserve">Proponente en regla</t>
  </si>
  <si>
    <t xml:space="preserve">Que el proponente tenga su documentación en orden, pida un monto dentro del rango y no reciba otro apoyo para lo mismo.</t>
  </si>
  <si>
    <t xml:space="preserve">Entrega el soporte documental de su situación legal, financiera y fiscal; el monto está dentro del rango; declara que no tiene otro apoyo para lo mismo y que el proyecto no está ya hecho; y establece cómo informará sus avances (al menos cada trimestre).</t>
  </si>
  <si>
    <t xml:space="preserve">Acta constitutiva o nombramiento, RFC, opinión fiscal, declaraciones firmadas.</t>
  </si>
  <si>
    <t xml:space="preserve">Paso 2. Criterios de calificación (1 a 3 puntos; total de 10 a 30)</t>
  </si>
  <si>
    <t xml:space="preserve">Criterio</t>
  </si>
  <si>
    <t xml:space="preserve">Qué se evalúa</t>
  </si>
  <si>
    <t xml:space="preserve">Peso</t>
  </si>
  <si>
    <t xml:space="preserve">3 · Alto</t>
  </si>
  <si>
    <t xml:space="preserve">2 · Medio</t>
  </si>
  <si>
    <t xml:space="preserve">1 · Bajo</t>
  </si>
  <si>
    <t xml:space="preserve">A</t>
  </si>
  <si>
    <t xml:space="preserve">Impacto</t>
  </si>
  <si>
    <t xml:space="preserve">Magnitud del beneficio ambiental y social frente al tamaño del problema que atiende.</t>
  </si>
  <si>
    <t xml:space="preserve">x2</t>
  </si>
  <si>
    <t xml:space="preserve">Resultado grande y cuantificado frente al tamaño del problema; o atiende varios temas del Fondo a la vez; o se puede repetir en otros lugares del Estado.</t>
  </si>
  <si>
    <t xml:space="preserve">Resultado medible, pero local o parcial.</t>
  </si>
  <si>
    <t xml:space="preserve">Resultado pequeño o solo demostrativo.</t>
  </si>
  <si>
    <t xml:space="preserve">B</t>
  </si>
  <si>
    <t xml:space="preserve">Atención a población vulnerable</t>
  </si>
  <si>
    <t xml:space="preserve">Grado en que beneficia a población o zonas vulnerables (rurales, costeras, de alto riesgo o de bajos ingresos).</t>
  </si>
  <si>
    <t xml:space="preserve">Se ubica en una zona rural, costera, de alto riesgo o de bajos ingresos documentada (atlas de riesgos, índices oficiales) y se enfoca en ella.</t>
  </si>
  <si>
    <t xml:space="preserve">Atiende zonas o grupos vulnerables, pero sin un diagnóstico que lo demuestre.</t>
  </si>
  <si>
    <t xml:space="preserve">No se enfoca en población ni zonas vulnerables.</t>
  </si>
  <si>
    <t xml:space="preserve">C</t>
  </si>
  <si>
    <t xml:space="preserve">Factibilidad</t>
  </si>
  <si>
    <t xml:space="preserve">Viabilidad técnica, administrativa y legal: madurez del proyecto, experiencia del proponente y manejo de riesgos y obstáculos.</t>
  </si>
  <si>
    <t xml:space="preserve">x1</t>
  </si>
  <si>
    <t xml:space="preserve">Proyecto ejecutivo o muy avanzado; el proponente ya hizo proyectos parecidos; los riesgos y obstáculos están identificados y tienen solución.</t>
  </si>
  <si>
    <t xml:space="preserve">Anteproyecto; experiencia parcial; riesgos identificados sin soluciones claras.</t>
  </si>
  <si>
    <t xml:space="preserve">Es solo una idea; sin experiencia; riesgos u obstáculos serios sin atender.</t>
  </si>
  <si>
    <t xml:space="preserve">D</t>
  </si>
  <si>
    <t xml:space="preserve">Costo-efectividad</t>
  </si>
  <si>
    <t xml:space="preserve">Viabilidad financiera: costo de cada unidad de resultado comparado con otras opciones.</t>
  </si>
  <si>
    <t xml:space="preserve">Calcula cuánto cuesta cada unidad de resultado (por ejemplo, pesos por hectárea) y es igual o menor que otras opciones.</t>
  </si>
  <si>
    <t xml:space="preserve">Calcula el costo por resultado, pero no lo compara.</t>
  </si>
  <si>
    <t xml:space="preserve">No calcula el costo por resultado.</t>
  </si>
  <si>
    <t xml:space="preserve">E</t>
  </si>
  <si>
    <t xml:space="preserve">Sostenibilidad</t>
  </si>
  <si>
    <t xml:space="preserve">Aportaciones de otras fuentes y compromiso de operar y mantener el proyecto al terminar el apoyo.</t>
  </si>
  <si>
    <t xml:space="preserve">Otras fuentes aportan dinero y alguien se compromete por escrito a operarlo y mantenerlo.</t>
  </si>
  <si>
    <t xml:space="preserve">Solo una de las dos cosas.</t>
  </si>
  <si>
    <t xml:space="preserve">Depende totalmente del Fondo.</t>
  </si>
  <si>
    <t xml:space="preserve">F</t>
  </si>
  <si>
    <t xml:space="preserve">Medición de resultados</t>
  </si>
  <si>
    <t xml:space="preserve">Evidencia que respalda los beneficios y plan para medirlos y reportarlos.</t>
  </si>
  <si>
    <t xml:space="preserve">Se basa en datos o estudios y tiene plan de monitoreo con valor actual, metas, responsables y presupuesto.</t>
  </si>
  <si>
    <t xml:space="preserve">Tiene indicadores y metas, pero el plan está incompleto.</t>
  </si>
  <si>
    <t xml:space="preserve">Solo reporta actividades realizadas.</t>
  </si>
  <si>
    <t xml:space="preserve">G</t>
  </si>
  <si>
    <t xml:space="preserve">Participación e inclusión</t>
  </si>
  <si>
    <t xml:space="preserve">Participación de la comunidad e inclusión de mujeres, jóvenes, pueblos indígenas y personas con discapacidad.</t>
  </si>
  <si>
    <t xml:space="preserve">La comunidad participó en el diseño y hay acciones y metas para esos grupos.</t>
  </si>
  <si>
    <t xml:space="preserve">Hubo consulta puntual o la inclusión se menciona en general.</t>
  </si>
  <si>
    <t xml:space="preserve">Diseño sin la comunidad y sin acciones de inclusión.</t>
  </si>
  <si>
    <t xml:space="preserve">H</t>
  </si>
  <si>
    <t xml:space="preserve">Alianzas</t>
  </si>
  <si>
    <t xml:space="preserve">Colaboración con academia y otros sectores (gobierno, empresas, sociedad civil).</t>
  </si>
  <si>
    <t xml:space="preserve">Convenios con academia u otros sectores (gobierno, empresas, sociedad civil) con papel definido.</t>
  </si>
  <si>
    <t xml:space="preserve">Alianzas informales o con un solo sector.</t>
  </si>
  <si>
    <t xml:space="preserve">Sin aliados.</t>
  </si>
  <si>
    <t xml:space="preserve">Si no hay evidencia, se califica con 1. Los criterios con peso x2 se multiplican por 2 al sumar.</t>
  </si>
  <si>
    <t xml:space="preserve">Prioridad según los puntos</t>
  </si>
  <si>
    <t xml:space="preserve">Prioridad</t>
  </si>
  <si>
    <t xml:space="preserve">Puntos</t>
  </si>
  <si>
    <t xml:space="preserve">Qué significa</t>
  </si>
  <si>
    <t xml:space="preserve">Alta</t>
  </si>
  <si>
    <t xml:space="preserve">24 a 30</t>
  </si>
  <si>
    <t xml:space="preserve">Candidato a financiarse primero</t>
  </si>
  <si>
    <t xml:space="preserve">Media</t>
  </si>
  <si>
    <t xml:space="preserve">18 a 23</t>
  </si>
  <si>
    <t xml:space="preserve">Se financia si alcanza el presupuesto o con ajustes</t>
  </si>
  <si>
    <t xml:space="preserve">Baja</t>
  </si>
  <si>
    <t xml:space="preserve">10 a 17</t>
  </si>
  <si>
    <t xml:space="preserve">Se le explica qué mejorar para otra convocatoria</t>
  </si>
  <si>
    <t xml:space="preserve">Empates: gana el que tiene más puntos en Impacto; si siguen empatados, el que tiene más en Atención a población vulnerable.</t>
  </si>
  <si>
    <t xml:space="preserve">Los 16 temas del Fondo (artículo 4 del Decreto)</t>
  </si>
  <si>
    <t xml:space="preserve">El artículo 4 del Decreto que crea el Fondo dice en qué puede invertir: 16 fines o temas (fracciones I a XVI).</t>
  </si>
  <si>
    <t xml:space="preserve">Fracción</t>
  </si>
  <si>
    <t xml:space="preserve">Tema</t>
  </si>
  <si>
    <t xml:space="preserve">Lo que pide ese tema (requisito 1)</t>
  </si>
  <si>
    <t xml:space="preserve">Cómo se mide el beneficio (requisito 2 y criterio Impacto)</t>
  </si>
  <si>
    <t xml:space="preserve">I</t>
  </si>
  <si>
    <t xml:space="preserve">Adaptación al cambio climático</t>
  </si>
  <si>
    <t xml:space="preserve">Se hace en comunidad rural, costera o zona de alto riesgo, o atiende a un grupo vulnerable, con base en un diagnóstico o atlas de riesgos</t>
  </si>
  <si>
    <t xml:space="preserve">Personas u hogares menos vulnerables</t>
  </si>
  <si>
    <t xml:space="preserve">II</t>
  </si>
  <si>
    <t xml:space="preserve">Reducción de emisiones</t>
  </si>
  <si>
    <t xml:space="preserve">Calcula las emisiones actuales y cuánto se reducirán</t>
  </si>
  <si>
    <t xml:space="preserve">Toneladas de CO2 evitadas por año</t>
  </si>
  <si>
    <t xml:space="preserve">III</t>
  </si>
  <si>
    <t xml:space="preserve">Resiliencia e infraestructura resiliente</t>
  </si>
  <si>
    <t xml:space="preserve">Considera escenarios de clima o riesgo en el diseño; si es obra, tiene proyecto ejecutivo o plan para hacerlo</t>
  </si>
  <si>
    <t xml:space="preserve">Población y bienes protegidos</t>
  </si>
  <si>
    <t xml:space="preserve">IV</t>
  </si>
  <si>
    <t xml:space="preserve">Conservación y restauración de ecosistemas</t>
  </si>
  <si>
    <t xml:space="preserve">Superficie delimitada y acuerdo con dueños o ejidos; si está en un área protegida, sigue su programa de manejo</t>
  </si>
  <si>
    <t xml:space="preserve">Hectáreas conservadas o restauradas</t>
  </si>
  <si>
    <t xml:space="preserve">V</t>
  </si>
  <si>
    <t xml:space="preserve">Restauración ecológica, reforestación y corredores</t>
  </si>
  <si>
    <t xml:space="preserve">Usa especies nativas y da mantenimiento por al menos 3 años</t>
  </si>
  <si>
    <t xml:space="preserve">Hectáreas restauradas y % de plantas que sobreviven</t>
  </si>
  <si>
    <t xml:space="preserve">VI</t>
  </si>
  <si>
    <t xml:space="preserve">Energía limpia y eficiencia energética</t>
  </si>
  <si>
    <t xml:space="preserve">Tiene diagnóstico energético o estudio del recurso (sol, viento)</t>
  </si>
  <si>
    <t xml:space="preserve">Energía ahorrada o generada por año; hogares con electricidad</t>
  </si>
  <si>
    <t xml:space="preserve">VII</t>
  </si>
  <si>
    <t xml:space="preserve">Electromovilidad y tecnologías limpias</t>
  </si>
  <si>
    <t xml:space="preserve">Beneficio público (transporte público, escuelas, hospitales, edificios públicos o vivienda social)</t>
  </si>
  <si>
    <t xml:space="preserve">CO2 evitado; vehículos o edificios intervenidos</t>
  </si>
  <si>
    <t xml:space="preserve">VIII</t>
  </si>
  <si>
    <t xml:space="preserve">Calidad del aire y movilidad sustentable</t>
  </si>
  <si>
    <t xml:space="preserve">Se basa en datos de calidad del aire o diagnóstico de movilidad</t>
  </si>
  <si>
    <t xml:space="preserve">Contaminantes reducidos; km de infraestructura</t>
  </si>
  <si>
    <t xml:space="preserve">IX</t>
  </si>
  <si>
    <t xml:space="preserve">Residuos y economía circular</t>
  </si>
  <si>
    <t xml:space="preserve">Va de acuerdo con el programa de residuos municipal o estatal y tiene destino final autorizado</t>
  </si>
  <si>
    <t xml:space="preserve">Toneladas que dejan de ir al relleno por año</t>
  </si>
  <si>
    <t xml:space="preserve">X</t>
  </si>
  <si>
    <t xml:space="preserve">Educación ambiental y cultura climática</t>
  </si>
  <si>
    <t xml:space="preserve">Define a quién va dirigido y mide lo aprendido antes y después</t>
  </si>
  <si>
    <t xml:space="preserve">Personas que aprendieron (medido)</t>
  </si>
  <si>
    <t xml:space="preserve">XI</t>
  </si>
  <si>
    <t xml:space="preserve">Investigación e innovación</t>
  </si>
  <si>
    <t xml:space="preserve">Participa una institución de investigación y explica cómo se aplicará en BCS</t>
  </si>
  <si>
    <t xml:space="preserve">Tecnologías o productos aplicados</t>
  </si>
  <si>
    <t xml:space="preserve">XII</t>
  </si>
  <si>
    <t xml:space="preserve">Infraestructura verde</t>
  </si>
  <si>
    <t xml:space="preserve">Tiene estudio del sitio o del agua y plan de mantenimiento con responsable</t>
  </si>
  <si>
    <t xml:space="preserve">m3 de agua captados o infiltrados por año</t>
  </si>
  <si>
    <t xml:space="preserve">XIII</t>
  </si>
  <si>
    <t xml:space="preserve">Ordenamiento ecológico y territorial</t>
  </si>
  <si>
    <t xml:space="preserve">Lo promueve o avala la autoridad competente, con consulta pública</t>
  </si>
  <si>
    <t xml:space="preserve">Hectáreas ordenadas; instrumentos publicados</t>
  </si>
  <si>
    <t xml:space="preserve">XIV</t>
  </si>
  <si>
    <t xml:space="preserve">Inspección y vigilancia ambiental</t>
  </si>
  <si>
    <t xml:space="preserve">Solo dependencias estatales o municipales con facultades de inspección</t>
  </si>
  <si>
    <t xml:space="preserve">Inspecciones realizadas; superficie vigilada</t>
  </si>
  <si>
    <t xml:space="preserve">XV</t>
  </si>
  <si>
    <t xml:space="preserve">Especies nativas, invasoras y bienestar animal</t>
  </si>
  <si>
    <t xml:space="preserve">Se basa en un diagnóstico o lista oficial de especies</t>
  </si>
  <si>
    <t xml:space="preserve">Hábitat restaurado; especies invasoras controladas</t>
  </si>
  <si>
    <t xml:space="preserve">XVI</t>
  </si>
  <si>
    <t xml:space="preserve">Acciones estratégicas</t>
  </si>
  <si>
    <t xml:space="preserve">La determina la Comisión Intersectorial de Cambio Climático</t>
  </si>
  <si>
    <t xml:space="preserve">El que fije la Comisión</t>
  </si>
  <si>
    <t xml:space="preserve">Listas de referencia</t>
  </si>
  <si>
    <t xml:space="preserve">Quién puede solicitar: sujetos públicos (de los tres órdenes de gobierno) y privados (comerciales y no comerciales). El tipo de apoyo y la forma de entregarlo deben ser coherentes con el objeto y el marco de actuación de cada proponente.</t>
  </si>
  <si>
    <t xml:space="preserve">Tipo de proponente</t>
  </si>
  <si>
    <t xml:space="preserve">Tipo de proyecto</t>
  </si>
  <si>
    <t xml:space="preserve">Tipo de apoyo</t>
  </si>
  <si>
    <t xml:space="preserve">Gobierno del Estado (dependencia u órgano desconcentrado)</t>
  </si>
  <si>
    <t xml:space="preserve">Estudio, plan o evaluación</t>
  </si>
  <si>
    <t xml:space="preserve">Financiero: aportación a fondo perdido</t>
  </si>
  <si>
    <t xml:space="preserve">Municipio</t>
  </si>
  <si>
    <t xml:space="preserve">Programa, estrategia o acción</t>
  </si>
  <si>
    <t xml:space="preserve">Financiero: cofinanciamiento</t>
  </si>
  <si>
    <t xml:space="preserve">Paraestatal o fideicomiso público</t>
  </si>
  <si>
    <t xml:space="preserve">Obra o infraestructura</t>
  </si>
  <si>
    <t xml:space="preserve">Financiero: préstamo</t>
  </si>
  <si>
    <t xml:space="preserve">Sociedad civil (OSC)</t>
  </si>
  <si>
    <t xml:space="preserve">Diseño o proyecto ejecutivo</t>
  </si>
  <si>
    <t xml:space="preserve">Financiero: garantía</t>
  </si>
  <si>
    <t xml:space="preserve">Comunitaria o ejidal</t>
  </si>
  <si>
    <t xml:space="preserve">Capacitación o educación</t>
  </si>
  <si>
    <t xml:space="preserve">No financiero: asesoría y capacitación</t>
  </si>
  <si>
    <t xml:space="preserve">Academia o institución técnica</t>
  </si>
  <si>
    <t xml:space="preserve">Investigación o innovación</t>
  </si>
  <si>
    <t xml:space="preserve">No financiero: realización de estudios</t>
  </si>
  <si>
    <t xml:space="preserve">Empresa o desarrollador</t>
  </si>
  <si>
    <t xml:space="preserve">Otro</t>
  </si>
  <si>
    <t xml:space="preserve">No financiero: vinculación con fondeadores o especialistas</t>
  </si>
  <si>
    <t xml:space="preserve">Evaluación de proyectos</t>
  </si>
  <si>
    <t xml:space="preserve">Escriba solo en las celdas amarillas. Lo gris se calcula solo. Los requisitos, criterios y niveles completos están en la hoja «Guía».</t>
  </si>
  <si>
    <t xml:space="preserve">Paso 1 · Requisitos mínimos (Sí / No)</t>
  </si>
  <si>
    <t xml:space="preserve">Paso 2 · Criterios de calificación (1 · 2 · 3)</t>
  </si>
  <si>
    <t xml:space="preserve">ID</t>
  </si>
  <si>
    <t xml:space="preserve">Proyecto</t>
  </si>
  <si>
    <t xml:space="preserve">Proponente</t>
  </si>
  <si>
    <t xml:space="preserve">Tema (fracción)</t>
  </si>
  <si>
    <t xml:space="preserve">Monto solicitado (MXN)</t>
  </si>
  <si>
    <t xml:space="preserve">R1. Pertenece a un tema del Fondo</t>
  </si>
  <si>
    <t xml:space="preserve">R2. Beneficio ambiental y social</t>
  </si>
  <si>
    <t xml:space="preserve">R3. Ubicación y respaldo institucional</t>
  </si>
  <si>
    <t xml:space="preserve">R4. Propuesta completa</t>
  </si>
  <si>
    <t xml:space="preserve">R5. No causa daño ambiental</t>
  </si>
  <si>
    <t xml:space="preserve">R6. Proponente en regla</t>
  </si>
  <si>
    <t xml:space="preserve">¿Puede participar?</t>
  </si>
  <si>
    <t xml:space="preserve">Requisitos que no cumple</t>
  </si>
  <si>
    <t xml:space="preserve">A. Impacto (x2)</t>
  </si>
  <si>
    <t xml:space="preserve">B. Atención a población vulnerable (x2)</t>
  </si>
  <si>
    <t xml:space="preserve">C. Factibilidad</t>
  </si>
  <si>
    <t xml:space="preserve">D. Costo-efectividad</t>
  </si>
  <si>
    <t xml:space="preserve">E. Sostenibilidad</t>
  </si>
  <si>
    <t xml:space="preserve">F. Medición de resultados</t>
  </si>
  <si>
    <t xml:space="preserve">G. Participación e inclusión</t>
  </si>
  <si>
    <t xml:space="preserve">H. Alianzas</t>
  </si>
  <si>
    <t xml:space="preserve">Puntos (de 30)</t>
  </si>
  <si>
    <t xml:space="preserve">Lugar</t>
  </si>
  <si>
    <t xml:space="preserve">Comentarios</t>
  </si>
  <si>
    <t xml:space="preserve">aux</t>
  </si>
  <si>
    <t xml:space="preserve">EJ-1</t>
  </si>
  <si>
    <t xml:space="preserve">Restauración de manglar en laguna costera (ejemplo)</t>
  </si>
  <si>
    <t xml:space="preserve">OSC local (ejemplo)</t>
  </si>
  <si>
    <t xml:space="preserve">Sí</t>
  </si>
  <si>
    <t xml:space="preserve">Ejemplo: muy buen impacto; reforzar continuidad.</t>
  </si>
  <si>
    <t xml:space="preserve">EJ-2</t>
  </si>
  <si>
    <t xml:space="preserve">Paneles solares en escuelas rurales (ejemplo)</t>
  </si>
  <si>
    <t xml:space="preserve">Secretaría estatal (ejemplo)</t>
  </si>
  <si>
    <t xml:space="preserve">Ejemplo: viable, pero poca participación de la comunidad.</t>
  </si>
  <si>
    <t xml:space="preserve">EJ-3</t>
  </si>
  <si>
    <t xml:space="preserve">Planta municipal de composta (ejemplo)</t>
  </si>
  <si>
    <t xml:space="preserve">Ayuntamiento (ejemplo)</t>
  </si>
  <si>
    <t xml:space="preserve">Ejemplo: cumple, pero no se enfoca en zonas vulnerables.</t>
  </si>
  <si>
    <t xml:space="preserve">EJ-4</t>
  </si>
  <si>
    <t xml:space="preserve">Campaña en redes sociales (ejemplo)</t>
  </si>
  <si>
    <t xml:space="preserve">OSC (ejemplo)</t>
  </si>
  <si>
    <t xml:space="preserve">No</t>
  </si>
  <si>
    <t xml:space="preserve">Ejemplo: no define un beneficio medible (requisito 2).</t>
  </si>
  <si>
    <t xml:space="preserve">Ranking de proyectos</t>
  </si>
  <si>
    <t xml:space="preserve">Se ordena solo: primero los que pueden participar, de más a menos puntos; después los que no pueden participar o a los que les falta información.</t>
  </si>
  <si>
    <t xml:space="preserve">Proyectos registrados</t>
  </si>
  <si>
    <t xml:space="preserve">Pueden participar</t>
  </si>
  <si>
    <t xml:space="preserve">No pueden participar</t>
  </si>
  <si>
    <t xml:space="preserve">Les falta información</t>
  </si>
  <si>
    <t xml:space="preserve">Prioridad alta</t>
  </si>
  <si>
    <t xml:space="preserve">Prioridad media</t>
  </si>
  <si>
    <t xml:space="preserve">Prioridad baja</t>
  </si>
  <si>
    <t xml:space="preserve">Monto de los de prioridad alta (MXN)</t>
  </si>
  <si>
    <t xml:space="preserve">Tipo</t>
  </si>
  <si>
    <t xml:space="preserve">Monto (MXN)</t>
  </si>
  <si>
    <t xml:space="preserve">No cumple requisitos</t>
  </si>
  <si>
    <t xml:space="preserve">_fila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</si>
</sst>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5A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4E5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FCE5CD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6" min="5" style="0" width="34"/>
    <col collapsed="false" customWidth="true" hidden="false" outlineLevel="0" max="7" min="7" style="0" width="3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</row>
    <row r="13" customFormat="false" ht="39.55" hidden="false" customHeight="false" outlineLevel="0" collapsed="false">
      <c r="A13" s="6" t="n">
        <v>1</v>
      </c>
      <c r="B13" s="7" t="s">
        <v>14</v>
      </c>
      <c r="C13" s="8" t="s">
        <v>15</v>
      </c>
      <c r="D13" s="8" t="s">
        <v>16</v>
      </c>
      <c r="E13" s="8" t="s">
        <v>17</v>
      </c>
    </row>
    <row r="14" customFormat="false" ht="64.9" hidden="false" customHeight="false" outlineLevel="0" collapsed="false">
      <c r="A14" s="6" t="n">
        <v>2</v>
      </c>
      <c r="B14" s="7" t="s">
        <v>18</v>
      </c>
      <c r="C14" s="8" t="s">
        <v>19</v>
      </c>
      <c r="D14" s="8" t="s">
        <v>20</v>
      </c>
      <c r="E14" s="8" t="s">
        <v>21</v>
      </c>
    </row>
    <row r="15" customFormat="false" ht="77.6" hidden="false" customHeight="false" outlineLevel="0" collapsed="false">
      <c r="A15" s="6" t="n">
        <v>3</v>
      </c>
      <c r="B15" s="7" t="s">
        <v>22</v>
      </c>
      <c r="C15" s="8" t="s">
        <v>23</v>
      </c>
      <c r="D15" s="8" t="s">
        <v>24</v>
      </c>
      <c r="E15" s="8" t="s">
        <v>25</v>
      </c>
    </row>
    <row r="16" customFormat="false" ht="64.9" hidden="false" customHeight="false" outlineLevel="0" collapsed="false">
      <c r="A16" s="6" t="n">
        <v>4</v>
      </c>
      <c r="B16" s="7" t="s">
        <v>26</v>
      </c>
      <c r="C16" s="8" t="s">
        <v>27</v>
      </c>
      <c r="D16" s="8" t="s">
        <v>28</v>
      </c>
      <c r="E16" s="8" t="s">
        <v>29</v>
      </c>
    </row>
    <row r="17" customFormat="false" ht="39.55" hidden="false" customHeight="false" outlineLevel="0" collapsed="false">
      <c r="A17" s="6" t="n">
        <v>5</v>
      </c>
      <c r="B17" s="7" t="s">
        <v>30</v>
      </c>
      <c r="C17" s="8" t="s">
        <v>31</v>
      </c>
      <c r="D17" s="8" t="s">
        <v>32</v>
      </c>
      <c r="E17" s="8" t="s">
        <v>33</v>
      </c>
    </row>
    <row r="18" customFormat="false" ht="77.6" hidden="false" customHeight="false" outlineLevel="0" collapsed="false">
      <c r="A18" s="6" t="n">
        <v>6</v>
      </c>
      <c r="B18" s="7" t="s">
        <v>34</v>
      </c>
      <c r="C18" s="8" t="s">
        <v>35</v>
      </c>
      <c r="D18" s="8" t="s">
        <v>36</v>
      </c>
      <c r="E18" s="8" t="s">
        <v>37</v>
      </c>
    </row>
    <row r="20" customFormat="false" ht="15" hidden="false" customHeight="false" outlineLevel="0" collapsed="false">
      <c r="A20" s="3" t="s">
        <v>38</v>
      </c>
    </row>
    <row r="21" customFormat="false" ht="15" hidden="false" customHeight="false" outlineLevel="0" collapsed="false">
      <c r="A21" s="5" t="s">
        <v>9</v>
      </c>
      <c r="B21" s="5" t="s">
        <v>39</v>
      </c>
      <c r="C21" s="5" t="s">
        <v>40</v>
      </c>
      <c r="D21" s="5" t="s">
        <v>41</v>
      </c>
      <c r="E21" s="5" t="s">
        <v>42</v>
      </c>
      <c r="F21" s="5" t="s">
        <v>43</v>
      </c>
      <c r="G21" s="5" t="s">
        <v>44</v>
      </c>
    </row>
    <row r="22" customFormat="false" ht="64.9" hidden="false" customHeight="false" outlineLevel="0" collapsed="false">
      <c r="A22" s="6" t="s">
        <v>45</v>
      </c>
      <c r="B22" s="7" t="s">
        <v>46</v>
      </c>
      <c r="C22" s="8" t="s">
        <v>47</v>
      </c>
      <c r="D22" s="9" t="s">
        <v>48</v>
      </c>
      <c r="E22" s="8" t="s">
        <v>49</v>
      </c>
      <c r="F22" s="8" t="s">
        <v>50</v>
      </c>
      <c r="G22" s="8" t="s">
        <v>51</v>
      </c>
    </row>
    <row r="23" customFormat="false" ht="64.9" hidden="false" customHeight="false" outlineLevel="0" collapsed="false">
      <c r="A23" s="6" t="s">
        <v>52</v>
      </c>
      <c r="B23" s="7" t="s">
        <v>53</v>
      </c>
      <c r="C23" s="8" t="s">
        <v>54</v>
      </c>
      <c r="D23" s="9" t="s">
        <v>48</v>
      </c>
      <c r="E23" s="8" t="s">
        <v>55</v>
      </c>
      <c r="F23" s="8" t="s">
        <v>56</v>
      </c>
      <c r="G23" s="8" t="s">
        <v>57</v>
      </c>
    </row>
    <row r="24" customFormat="false" ht="64.9" hidden="false" customHeight="false" outlineLevel="0" collapsed="false">
      <c r="A24" s="6" t="s">
        <v>58</v>
      </c>
      <c r="B24" s="7" t="s">
        <v>59</v>
      </c>
      <c r="C24" s="8" t="s">
        <v>60</v>
      </c>
      <c r="D24" s="9" t="s">
        <v>61</v>
      </c>
      <c r="E24" s="8" t="s">
        <v>62</v>
      </c>
      <c r="F24" s="8" t="s">
        <v>63</v>
      </c>
      <c r="G24" s="8" t="s">
        <v>64</v>
      </c>
    </row>
    <row r="25" customFormat="false" ht="52.2" hidden="false" customHeight="false" outlineLevel="0" collapsed="false">
      <c r="A25" s="6" t="s">
        <v>65</v>
      </c>
      <c r="B25" s="7" t="s">
        <v>66</v>
      </c>
      <c r="C25" s="8" t="s">
        <v>67</v>
      </c>
      <c r="D25" s="9" t="s">
        <v>61</v>
      </c>
      <c r="E25" s="8" t="s">
        <v>68</v>
      </c>
      <c r="F25" s="8" t="s">
        <v>69</v>
      </c>
      <c r="G25" s="8" t="s">
        <v>70</v>
      </c>
    </row>
    <row r="26" customFormat="false" ht="39.55" hidden="false" customHeight="false" outlineLevel="0" collapsed="false">
      <c r="A26" s="6" t="s">
        <v>71</v>
      </c>
      <c r="B26" s="7" t="s">
        <v>72</v>
      </c>
      <c r="C26" s="8" t="s">
        <v>73</v>
      </c>
      <c r="D26" s="9" t="s">
        <v>61</v>
      </c>
      <c r="E26" s="8" t="s">
        <v>74</v>
      </c>
      <c r="F26" s="8" t="s">
        <v>75</v>
      </c>
      <c r="G26" s="8" t="s">
        <v>76</v>
      </c>
    </row>
    <row r="27" customFormat="false" ht="39.55" hidden="false" customHeight="false" outlineLevel="0" collapsed="false">
      <c r="A27" s="6" t="s">
        <v>77</v>
      </c>
      <c r="B27" s="7" t="s">
        <v>78</v>
      </c>
      <c r="C27" s="8" t="s">
        <v>79</v>
      </c>
      <c r="D27" s="9" t="s">
        <v>61</v>
      </c>
      <c r="E27" s="8" t="s">
        <v>80</v>
      </c>
      <c r="F27" s="8" t="s">
        <v>81</v>
      </c>
      <c r="G27" s="8" t="s">
        <v>82</v>
      </c>
    </row>
    <row r="28" customFormat="false" ht="39.55" hidden="false" customHeight="false" outlineLevel="0" collapsed="false">
      <c r="A28" s="6" t="s">
        <v>83</v>
      </c>
      <c r="B28" s="7" t="s">
        <v>84</v>
      </c>
      <c r="C28" s="8" t="s">
        <v>85</v>
      </c>
      <c r="D28" s="9" t="s">
        <v>61</v>
      </c>
      <c r="E28" s="8" t="s">
        <v>86</v>
      </c>
      <c r="F28" s="8" t="s">
        <v>87</v>
      </c>
      <c r="G28" s="8" t="s">
        <v>88</v>
      </c>
    </row>
    <row r="29" customFormat="false" ht="39.55" hidden="false" customHeight="false" outlineLevel="0" collapsed="false">
      <c r="A29" s="6" t="s">
        <v>89</v>
      </c>
      <c r="B29" s="7" t="s">
        <v>90</v>
      </c>
      <c r="C29" s="8" t="s">
        <v>91</v>
      </c>
      <c r="D29" s="9" t="s">
        <v>61</v>
      </c>
      <c r="E29" s="8" t="s">
        <v>92</v>
      </c>
      <c r="F29" s="8" t="s">
        <v>93</v>
      </c>
      <c r="G29" s="8" t="s">
        <v>94</v>
      </c>
    </row>
    <row r="30" customFormat="false" ht="15" hidden="false" customHeight="false" outlineLevel="0" collapsed="false">
      <c r="A30" s="2" t="s">
        <v>95</v>
      </c>
    </row>
    <row r="32" customFormat="false" ht="15" hidden="false" customHeight="false" outlineLevel="0" collapsed="false">
      <c r="A32" s="3" t="s">
        <v>96</v>
      </c>
    </row>
    <row r="33" customFormat="false" ht="15" hidden="false" customHeight="false" outlineLevel="0" collapsed="false">
      <c r="A33" s="5"/>
      <c r="B33" s="5" t="s">
        <v>97</v>
      </c>
      <c r="C33" s="5" t="s">
        <v>98</v>
      </c>
      <c r="D33" s="5" t="s">
        <v>99</v>
      </c>
    </row>
    <row r="34" customFormat="false" ht="15" hidden="false" customHeight="false" outlineLevel="0" collapsed="false">
      <c r="B34" s="7" t="s">
        <v>100</v>
      </c>
      <c r="C34" s="8" t="s">
        <v>101</v>
      </c>
      <c r="D34" s="8" t="s">
        <v>102</v>
      </c>
    </row>
    <row r="35" customFormat="false" ht="26.85" hidden="false" customHeight="false" outlineLevel="0" collapsed="false">
      <c r="B35" s="7" t="s">
        <v>103</v>
      </c>
      <c r="C35" s="8" t="s">
        <v>104</v>
      </c>
      <c r="D35" s="8" t="s">
        <v>105</v>
      </c>
    </row>
    <row r="36" customFormat="false" ht="26.85" hidden="false" customHeight="false" outlineLevel="0" collapsed="false">
      <c r="B36" s="7" t="s">
        <v>106</v>
      </c>
      <c r="C36" s="8" t="s">
        <v>107</v>
      </c>
      <c r="D36" s="8" t="s">
        <v>108</v>
      </c>
    </row>
    <row r="37" customFormat="false" ht="15" hidden="false" customHeight="false" outlineLevel="0" collapsed="false">
      <c r="A37" s="2" t="s">
        <v>109</v>
      </c>
    </row>
    <row r="39" customFormat="false" ht="15" hidden="false" customHeight="false" outlineLevel="0" collapsed="false">
      <c r="A39" s="3" t="s">
        <v>110</v>
      </c>
    </row>
    <row r="40" customFormat="false" ht="15" hidden="false" customHeight="false" outlineLevel="0" collapsed="false">
      <c r="A40" s="2" t="s">
        <v>111</v>
      </c>
    </row>
    <row r="41" customFormat="false" ht="26.85" hidden="false" customHeight="false" outlineLevel="0" collapsed="false">
      <c r="A41" s="5" t="s">
        <v>112</v>
      </c>
      <c r="B41" s="5" t="s">
        <v>113</v>
      </c>
      <c r="C41" s="5" t="s">
        <v>114</v>
      </c>
      <c r="D41" s="5" t="s">
        <v>115</v>
      </c>
    </row>
    <row r="42" customFormat="false" ht="52.2" hidden="false" customHeight="false" outlineLevel="0" collapsed="false">
      <c r="A42" s="7" t="s">
        <v>116</v>
      </c>
      <c r="B42" s="8" t="s">
        <v>117</v>
      </c>
      <c r="C42" s="8" t="s">
        <v>118</v>
      </c>
      <c r="D42" s="8" t="s">
        <v>119</v>
      </c>
    </row>
    <row r="43" customFormat="false" ht="26.85" hidden="false" customHeight="false" outlineLevel="0" collapsed="false">
      <c r="A43" s="7" t="s">
        <v>120</v>
      </c>
      <c r="B43" s="8" t="s">
        <v>121</v>
      </c>
      <c r="C43" s="8" t="s">
        <v>122</v>
      </c>
      <c r="D43" s="8" t="s">
        <v>123</v>
      </c>
    </row>
    <row r="44" customFormat="false" ht="39.55" hidden="false" customHeight="false" outlineLevel="0" collapsed="false">
      <c r="A44" s="7" t="s">
        <v>124</v>
      </c>
      <c r="B44" s="8" t="s">
        <v>125</v>
      </c>
      <c r="C44" s="8" t="s">
        <v>126</v>
      </c>
      <c r="D44" s="8" t="s">
        <v>127</v>
      </c>
    </row>
    <row r="45" customFormat="false" ht="39.55" hidden="false" customHeight="false" outlineLevel="0" collapsed="false">
      <c r="A45" s="7" t="s">
        <v>128</v>
      </c>
      <c r="B45" s="8" t="s">
        <v>129</v>
      </c>
      <c r="C45" s="8" t="s">
        <v>130</v>
      </c>
      <c r="D45" s="8" t="s">
        <v>131</v>
      </c>
    </row>
    <row r="46" customFormat="false" ht="26.85" hidden="false" customHeight="false" outlineLevel="0" collapsed="false">
      <c r="A46" s="7" t="s">
        <v>132</v>
      </c>
      <c r="B46" s="8" t="s">
        <v>133</v>
      </c>
      <c r="C46" s="8" t="s">
        <v>134</v>
      </c>
      <c r="D46" s="8" t="s">
        <v>135</v>
      </c>
    </row>
    <row r="47" customFormat="false" ht="26.85" hidden="false" customHeight="false" outlineLevel="0" collapsed="false">
      <c r="A47" s="7" t="s">
        <v>136</v>
      </c>
      <c r="B47" s="8" t="s">
        <v>137</v>
      </c>
      <c r="C47" s="8" t="s">
        <v>138</v>
      </c>
      <c r="D47" s="8" t="s">
        <v>139</v>
      </c>
    </row>
    <row r="48" customFormat="false" ht="39.55" hidden="false" customHeight="false" outlineLevel="0" collapsed="false">
      <c r="A48" s="7" t="s">
        <v>140</v>
      </c>
      <c r="B48" s="8" t="s">
        <v>141</v>
      </c>
      <c r="C48" s="8" t="s">
        <v>142</v>
      </c>
      <c r="D48" s="8" t="s">
        <v>143</v>
      </c>
    </row>
    <row r="49" customFormat="false" ht="26.85" hidden="false" customHeight="false" outlineLevel="0" collapsed="false">
      <c r="A49" s="7" t="s">
        <v>144</v>
      </c>
      <c r="B49" s="8" t="s">
        <v>145</v>
      </c>
      <c r="C49" s="8" t="s">
        <v>146</v>
      </c>
      <c r="D49" s="8" t="s">
        <v>147</v>
      </c>
    </row>
    <row r="50" customFormat="false" ht="39.55" hidden="false" customHeight="false" outlineLevel="0" collapsed="false">
      <c r="A50" s="7" t="s">
        <v>148</v>
      </c>
      <c r="B50" s="8" t="s">
        <v>149</v>
      </c>
      <c r="C50" s="8" t="s">
        <v>150</v>
      </c>
      <c r="D50" s="8" t="s">
        <v>151</v>
      </c>
    </row>
    <row r="51" customFormat="false" ht="26.85" hidden="false" customHeight="false" outlineLevel="0" collapsed="false">
      <c r="A51" s="7" t="s">
        <v>152</v>
      </c>
      <c r="B51" s="8" t="s">
        <v>153</v>
      </c>
      <c r="C51" s="8" t="s">
        <v>154</v>
      </c>
      <c r="D51" s="8" t="s">
        <v>155</v>
      </c>
    </row>
    <row r="52" customFormat="false" ht="26.85" hidden="false" customHeight="false" outlineLevel="0" collapsed="false">
      <c r="A52" s="7" t="s">
        <v>156</v>
      </c>
      <c r="B52" s="8" t="s">
        <v>157</v>
      </c>
      <c r="C52" s="8" t="s">
        <v>158</v>
      </c>
      <c r="D52" s="8" t="s">
        <v>159</v>
      </c>
    </row>
    <row r="53" customFormat="false" ht="26.85" hidden="false" customHeight="false" outlineLevel="0" collapsed="false">
      <c r="A53" s="7" t="s">
        <v>160</v>
      </c>
      <c r="B53" s="8" t="s">
        <v>161</v>
      </c>
      <c r="C53" s="8" t="s">
        <v>162</v>
      </c>
      <c r="D53" s="8" t="s">
        <v>163</v>
      </c>
    </row>
    <row r="54" customFormat="false" ht="26.85" hidden="false" customHeight="false" outlineLevel="0" collapsed="false">
      <c r="A54" s="7" t="s">
        <v>164</v>
      </c>
      <c r="B54" s="8" t="s">
        <v>165</v>
      </c>
      <c r="C54" s="8" t="s">
        <v>166</v>
      </c>
      <c r="D54" s="8" t="s">
        <v>167</v>
      </c>
    </row>
    <row r="55" customFormat="false" ht="26.85" hidden="false" customHeight="false" outlineLevel="0" collapsed="false">
      <c r="A55" s="7" t="s">
        <v>168</v>
      </c>
      <c r="B55" s="8" t="s">
        <v>169</v>
      </c>
      <c r="C55" s="8" t="s">
        <v>170</v>
      </c>
      <c r="D55" s="8" t="s">
        <v>171</v>
      </c>
    </row>
    <row r="56" customFormat="false" ht="26.85" hidden="false" customHeight="false" outlineLevel="0" collapsed="false">
      <c r="A56" s="7" t="s">
        <v>172</v>
      </c>
      <c r="B56" s="8" t="s">
        <v>173</v>
      </c>
      <c r="C56" s="8" t="s">
        <v>174</v>
      </c>
      <c r="D56" s="8" t="s">
        <v>175</v>
      </c>
    </row>
    <row r="57" customFormat="false" ht="26.85" hidden="false" customHeight="false" outlineLevel="0" collapsed="false">
      <c r="A57" s="7" t="s">
        <v>176</v>
      </c>
      <c r="B57" s="8" t="s">
        <v>177</v>
      </c>
      <c r="C57" s="8" t="s">
        <v>178</v>
      </c>
      <c r="D57" s="8" t="s">
        <v>179</v>
      </c>
    </row>
    <row r="59" customFormat="false" ht="15" hidden="false" customHeight="false" outlineLevel="0" collapsed="false">
      <c r="A59" s="3" t="s">
        <v>180</v>
      </c>
    </row>
    <row r="60" customFormat="false" ht="15" hidden="false" customHeight="false" outlineLevel="0" collapsed="false">
      <c r="A60" s="2" t="s">
        <v>181</v>
      </c>
    </row>
    <row r="61" customFormat="false" ht="39.55" hidden="false" customHeight="false" outlineLevel="0" collapsed="false">
      <c r="A61" s="5" t="s">
        <v>182</v>
      </c>
      <c r="B61" s="5" t="s">
        <v>183</v>
      </c>
      <c r="C61" s="5" t="s">
        <v>184</v>
      </c>
    </row>
    <row r="62" customFormat="false" ht="102.95" hidden="false" customHeight="false" outlineLevel="0" collapsed="false">
      <c r="A62" s="8" t="s">
        <v>185</v>
      </c>
      <c r="B62" s="8" t="s">
        <v>186</v>
      </c>
      <c r="C62" s="8" t="s">
        <v>187</v>
      </c>
    </row>
    <row r="63" customFormat="false" ht="15" hidden="false" customHeight="false" outlineLevel="0" collapsed="false">
      <c r="A63" s="8" t="s">
        <v>188</v>
      </c>
      <c r="B63" s="8" t="s">
        <v>189</v>
      </c>
      <c r="C63" s="8" t="s">
        <v>190</v>
      </c>
    </row>
    <row r="64" customFormat="false" ht="52.2" hidden="false" customHeight="false" outlineLevel="0" collapsed="false">
      <c r="A64" s="8" t="s">
        <v>191</v>
      </c>
      <c r="B64" s="8" t="s">
        <v>192</v>
      </c>
      <c r="C64" s="8" t="s">
        <v>193</v>
      </c>
    </row>
    <row r="65" customFormat="false" ht="39.55" hidden="false" customHeight="false" outlineLevel="0" collapsed="false">
      <c r="A65" s="8" t="s">
        <v>194</v>
      </c>
      <c r="B65" s="8" t="s">
        <v>195</v>
      </c>
      <c r="C65" s="8" t="s">
        <v>196</v>
      </c>
    </row>
    <row r="66" customFormat="false" ht="39.55" hidden="false" customHeight="false" outlineLevel="0" collapsed="false">
      <c r="A66" s="8" t="s">
        <v>197</v>
      </c>
      <c r="B66" s="8" t="s">
        <v>198</v>
      </c>
      <c r="C66" s="8" t="s">
        <v>199</v>
      </c>
    </row>
    <row r="67" customFormat="false" ht="52.2" hidden="false" customHeight="false" outlineLevel="0" collapsed="false">
      <c r="A67" s="8" t="s">
        <v>200</v>
      </c>
      <c r="B67" s="8" t="s">
        <v>201</v>
      </c>
      <c r="C67" s="8" t="s">
        <v>202</v>
      </c>
    </row>
    <row r="68" customFormat="false" ht="52.2" hidden="false" customHeight="false" outlineLevel="0" collapsed="false">
      <c r="A68" s="8" t="s">
        <v>203</v>
      </c>
      <c r="B68" s="8" t="s">
        <v>204</v>
      </c>
      <c r="C68" s="8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14" min="9" style="0" width="10"/>
    <col collapsed="false" customWidth="true" hidden="false" outlineLevel="0" max="16" min="15" style="0" width="13"/>
    <col collapsed="false" customWidth="true" hidden="false" outlineLevel="0" max="24" min="17" style="0" width="11"/>
    <col collapsed="false" customWidth="true" hidden="false" outlineLevel="0" max="26" min="25" style="0" width="10"/>
    <col collapsed="false" customWidth="true" hidden="false" outlineLevel="0" max="27" min="27" style="0" width="8"/>
    <col collapsed="false" customWidth="true" hidden="false" outlineLevel="0" max="28" min="28" style="0" width="40"/>
    <col collapsed="false" customWidth="true" hidden="true" outlineLevel="0" max="29" min="29" style="0" width="6"/>
  </cols>
  <sheetData>
    <row r="1" customFormat="false" ht="18.5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true" outlineLevel="0" collapsed="false">
      <c r="I4" s="10" t="s">
        <v>208</v>
      </c>
      <c r="J4" s="10"/>
      <c r="K4" s="10"/>
      <c r="L4" s="10"/>
      <c r="M4" s="10"/>
      <c r="N4" s="10"/>
      <c r="O4" s="10"/>
      <c r="P4" s="10"/>
      <c r="Q4" s="10" t="s">
        <v>209</v>
      </c>
      <c r="R4" s="10"/>
      <c r="S4" s="10"/>
      <c r="T4" s="10"/>
      <c r="U4" s="10"/>
      <c r="V4" s="10"/>
      <c r="W4" s="10"/>
      <c r="X4" s="10"/>
      <c r="Y4" s="10"/>
      <c r="Z4" s="10"/>
    </row>
    <row r="5" customFormat="false" ht="45" hidden="false" customHeight="true" outlineLevel="0" collapsed="false">
      <c r="A5" s="5" t="s">
        <v>210</v>
      </c>
      <c r="B5" s="5" t="s">
        <v>211</v>
      </c>
      <c r="C5" s="5" t="s">
        <v>212</v>
      </c>
      <c r="D5" s="5" t="s">
        <v>182</v>
      </c>
      <c r="E5" s="5" t="s">
        <v>183</v>
      </c>
      <c r="F5" s="5" t="s">
        <v>184</v>
      </c>
      <c r="G5" s="5" t="s">
        <v>213</v>
      </c>
      <c r="H5" s="5" t="s">
        <v>214</v>
      </c>
      <c r="I5" s="5" t="s">
        <v>215</v>
      </c>
      <c r="J5" s="5" t="s">
        <v>216</v>
      </c>
      <c r="K5" s="5" t="s">
        <v>217</v>
      </c>
      <c r="L5" s="5" t="s">
        <v>218</v>
      </c>
      <c r="M5" s="5" t="s">
        <v>219</v>
      </c>
      <c r="N5" s="5" t="s">
        <v>220</v>
      </c>
      <c r="O5" s="5" t="s">
        <v>221</v>
      </c>
      <c r="P5" s="5" t="s">
        <v>222</v>
      </c>
      <c r="Q5" s="5" t="s">
        <v>223</v>
      </c>
      <c r="R5" s="5" t="s">
        <v>224</v>
      </c>
      <c r="S5" s="5" t="s">
        <v>225</v>
      </c>
      <c r="T5" s="5" t="s">
        <v>226</v>
      </c>
      <c r="U5" s="5" t="s">
        <v>227</v>
      </c>
      <c r="V5" s="5" t="s">
        <v>228</v>
      </c>
      <c r="W5" s="5" t="s">
        <v>229</v>
      </c>
      <c r="X5" s="5" t="s">
        <v>230</v>
      </c>
      <c r="Y5" s="5" t="s">
        <v>231</v>
      </c>
      <c r="Z5" s="5" t="s">
        <v>97</v>
      </c>
      <c r="AA5" s="5" t="s">
        <v>232</v>
      </c>
      <c r="AB5" s="5" t="s">
        <v>233</v>
      </c>
      <c r="AC5" s="5" t="s">
        <v>234</v>
      </c>
    </row>
    <row r="6" customFormat="false" ht="75" hidden="false" customHeight="true" outlineLevel="0" collapsed="false">
      <c r="I6" s="11" t="s">
        <v>15</v>
      </c>
      <c r="J6" s="11" t="s">
        <v>19</v>
      </c>
      <c r="K6" s="11" t="s">
        <v>23</v>
      </c>
      <c r="L6" s="11" t="s">
        <v>27</v>
      </c>
      <c r="M6" s="11" t="s">
        <v>31</v>
      </c>
      <c r="N6" s="11" t="s">
        <v>35</v>
      </c>
      <c r="Q6" s="11" t="s">
        <v>47</v>
      </c>
      <c r="R6" s="11" t="s">
        <v>54</v>
      </c>
      <c r="S6" s="11" t="s">
        <v>60</v>
      </c>
      <c r="T6" s="11" t="s">
        <v>67</v>
      </c>
      <c r="U6" s="11" t="s">
        <v>73</v>
      </c>
      <c r="V6" s="11" t="s">
        <v>79</v>
      </c>
      <c r="W6" s="11" t="s">
        <v>85</v>
      </c>
      <c r="X6" s="11" t="s">
        <v>91</v>
      </c>
    </row>
    <row r="7" customFormat="false" ht="15" hidden="false" customHeight="false" outlineLevel="0" collapsed="false">
      <c r="A7" s="12" t="s">
        <v>235</v>
      </c>
      <c r="B7" s="12" t="s">
        <v>236</v>
      </c>
      <c r="C7" s="12" t="s">
        <v>237</v>
      </c>
      <c r="D7" s="12" t="s">
        <v>194</v>
      </c>
      <c r="E7" s="12" t="s">
        <v>192</v>
      </c>
      <c r="F7" s="12" t="s">
        <v>187</v>
      </c>
      <c r="G7" s="12" t="s">
        <v>128</v>
      </c>
      <c r="H7" s="13" t="n">
        <v>2500000</v>
      </c>
      <c r="I7" s="14" t="s">
        <v>238</v>
      </c>
      <c r="J7" s="14" t="s">
        <v>238</v>
      </c>
      <c r="K7" s="14" t="s">
        <v>238</v>
      </c>
      <c r="L7" s="14" t="s">
        <v>238</v>
      </c>
      <c r="M7" s="14" t="s">
        <v>238</v>
      </c>
      <c r="N7" s="14" t="s">
        <v>238</v>
      </c>
      <c r="O7" s="15" t="str">
        <f aca="false">IF(A7="","",IF(COUNTIF(I7:N7,"No")&gt;0,"No",IF(COUNTIF(I7:N7,"Sí")=6,"Sí","Falta información")))</f>
        <v>Sí</v>
      </c>
      <c r="P7" s="15" t="str">
        <f aca="false">TRIM(IF(I7="No","R1 ","")&amp;IF(J7="No","R2 ","")&amp;IF(K7="No","R3 ","")&amp;IF(L7="No","R4 ","")&amp;IF(M7="No","R5 ","")&amp;IF(N7="No","R6 ",""))</f>
        <v/>
      </c>
      <c r="Q7" s="14" t="n">
        <v>3</v>
      </c>
      <c r="R7" s="14" t="n">
        <v>3</v>
      </c>
      <c r="S7" s="14" t="n">
        <v>2</v>
      </c>
      <c r="T7" s="14" t="n">
        <v>2</v>
      </c>
      <c r="U7" s="14" t="n">
        <v>2</v>
      </c>
      <c r="V7" s="14" t="n">
        <v>3</v>
      </c>
      <c r="W7" s="14" t="n">
        <v>3</v>
      </c>
      <c r="X7" s="14" t="n">
        <v>3</v>
      </c>
      <c r="Y7" s="15" t="n">
        <f aca="false">IF(AND(O7="Sí",COUNT(Q7:X7)=8),2*Q7+2*R7+S7+T7+U7+V7+W7+X7,"")</f>
        <v>27</v>
      </c>
      <c r="Z7" s="15" t="str">
        <f aca="false">IF(Y7="","",IF(Y7&gt;=24,"Alta",IF(Y7&gt;=18,"Media","Baja")))</f>
        <v>Alta</v>
      </c>
      <c r="AA7" s="15" t="n">
        <f aca="false">IF(Y7="","",COUNTIF($AC$7:$AC$56,"&gt;"&amp;AC7)+1)</f>
        <v>1</v>
      </c>
      <c r="AB7" s="12" t="s">
        <v>239</v>
      </c>
      <c r="AC7" s="15" t="n">
        <f aca="false">IF(A7="","",IF(Y7&lt;&gt;"",Y7*10000+Q7*100+R7-ROW()/1000,-ROW()))</f>
        <v>270302.993</v>
      </c>
    </row>
    <row r="8" customFormat="false" ht="15" hidden="false" customHeight="false" outlineLevel="0" collapsed="false">
      <c r="A8" s="12" t="s">
        <v>240</v>
      </c>
      <c r="B8" s="12" t="s">
        <v>241</v>
      </c>
      <c r="C8" s="12" t="s">
        <v>242</v>
      </c>
      <c r="D8" s="12" t="s">
        <v>185</v>
      </c>
      <c r="E8" s="12" t="s">
        <v>192</v>
      </c>
      <c r="F8" s="12" t="s">
        <v>190</v>
      </c>
      <c r="G8" s="12" t="s">
        <v>136</v>
      </c>
      <c r="H8" s="13" t="n">
        <v>4000000</v>
      </c>
      <c r="I8" s="14" t="s">
        <v>238</v>
      </c>
      <c r="J8" s="14" t="s">
        <v>238</v>
      </c>
      <c r="K8" s="14" t="s">
        <v>238</v>
      </c>
      <c r="L8" s="14" t="s">
        <v>238</v>
      </c>
      <c r="M8" s="14" t="s">
        <v>238</v>
      </c>
      <c r="N8" s="14" t="s">
        <v>238</v>
      </c>
      <c r="O8" s="15" t="str">
        <f aca="false">IF(A8="","",IF(COUNTIF(I8:N8,"No")&gt;0,"No",IF(COUNTIF(I8:N8,"Sí")=6,"Sí","Falta información")))</f>
        <v>Sí</v>
      </c>
      <c r="P8" s="15" t="str">
        <f aca="false">TRIM(IF(I8="No","R1 ","")&amp;IF(J8="No","R2 ","")&amp;IF(K8="No","R3 ","")&amp;IF(L8="No","R4 ","")&amp;IF(M8="No","R5 ","")&amp;IF(N8="No","R6 ",""))</f>
        <v/>
      </c>
      <c r="Q8" s="14" t="n">
        <v>2</v>
      </c>
      <c r="R8" s="14" t="n">
        <v>2</v>
      </c>
      <c r="S8" s="14" t="n">
        <v>3</v>
      </c>
      <c r="T8" s="14" t="n">
        <v>3</v>
      </c>
      <c r="U8" s="14" t="n">
        <v>3</v>
      </c>
      <c r="V8" s="14" t="n">
        <v>2</v>
      </c>
      <c r="W8" s="14" t="n">
        <v>1</v>
      </c>
      <c r="X8" s="14" t="n">
        <v>2</v>
      </c>
      <c r="Y8" s="15" t="n">
        <f aca="false">IF(AND(O8="Sí",COUNT(Q8:X8)=8),2*Q8+2*R8+S8+T8+U8+V8+W8+X8,"")</f>
        <v>22</v>
      </c>
      <c r="Z8" s="15" t="str">
        <f aca="false">IF(Y8="","",IF(Y8&gt;=24,"Alta",IF(Y8&gt;=18,"Media","Baja")))</f>
        <v>Media</v>
      </c>
      <c r="AA8" s="15" t="n">
        <f aca="false">IF(Y8="","",COUNTIF($AC$7:$AC$56,"&gt;"&amp;AC8)+1)</f>
        <v>2</v>
      </c>
      <c r="AB8" s="12" t="s">
        <v>243</v>
      </c>
      <c r="AC8" s="15" t="n">
        <f aca="false">IF(A8="","",IF(Y8&lt;&gt;"",Y8*10000+Q8*100+R8-ROW()/1000,-ROW()))</f>
        <v>220201.992</v>
      </c>
    </row>
    <row r="9" customFormat="false" ht="15" hidden="false" customHeight="false" outlineLevel="0" collapsed="false">
      <c r="A9" s="12" t="s">
        <v>244</v>
      </c>
      <c r="B9" s="12" t="s">
        <v>245</v>
      </c>
      <c r="C9" s="12" t="s">
        <v>246</v>
      </c>
      <c r="D9" s="12" t="s">
        <v>188</v>
      </c>
      <c r="E9" s="12" t="s">
        <v>192</v>
      </c>
      <c r="F9" s="12" t="s">
        <v>190</v>
      </c>
      <c r="G9" s="12" t="s">
        <v>148</v>
      </c>
      <c r="H9" s="13" t="n">
        <v>3000000</v>
      </c>
      <c r="I9" s="14" t="s">
        <v>238</v>
      </c>
      <c r="J9" s="14" t="s">
        <v>238</v>
      </c>
      <c r="K9" s="14" t="s">
        <v>238</v>
      </c>
      <c r="L9" s="14" t="s">
        <v>238</v>
      </c>
      <c r="M9" s="14" t="s">
        <v>238</v>
      </c>
      <c r="N9" s="14" t="s">
        <v>238</v>
      </c>
      <c r="O9" s="15" t="str">
        <f aca="false">IF(A9="","",IF(COUNTIF(I9:N9,"No")&gt;0,"No",IF(COUNTIF(I9:N9,"Sí")=6,"Sí","Falta información")))</f>
        <v>Sí</v>
      </c>
      <c r="P9" s="15" t="str">
        <f aca="false">TRIM(IF(I9="No","R1 ","")&amp;IF(J9="No","R2 ","")&amp;IF(K9="No","R3 ","")&amp;IF(L9="No","R4 ","")&amp;IF(M9="No","R5 ","")&amp;IF(N9="No","R6 ",""))</f>
        <v/>
      </c>
      <c r="Q9" s="14" t="n">
        <v>2</v>
      </c>
      <c r="R9" s="14" t="n">
        <v>1</v>
      </c>
      <c r="S9" s="14" t="n">
        <v>2</v>
      </c>
      <c r="T9" s="14" t="n">
        <v>2</v>
      </c>
      <c r="U9" s="14" t="n">
        <v>2</v>
      </c>
      <c r="V9" s="14" t="n">
        <v>2</v>
      </c>
      <c r="W9" s="14" t="n">
        <v>2</v>
      </c>
      <c r="X9" s="14" t="n">
        <v>1</v>
      </c>
      <c r="Y9" s="15" t="n">
        <f aca="false">IF(AND(O9="Sí",COUNT(Q9:X9)=8),2*Q9+2*R9+S9+T9+U9+V9+W9+X9,"")</f>
        <v>17</v>
      </c>
      <c r="Z9" s="15" t="str">
        <f aca="false">IF(Y9="","",IF(Y9&gt;=24,"Alta",IF(Y9&gt;=18,"Media","Baja")))</f>
        <v>Baja</v>
      </c>
      <c r="AA9" s="15" t="n">
        <f aca="false">IF(Y9="","",COUNTIF($AC$7:$AC$56,"&gt;"&amp;AC9)+1)</f>
        <v>3</v>
      </c>
      <c r="AB9" s="12" t="s">
        <v>247</v>
      </c>
      <c r="AC9" s="15" t="n">
        <f aca="false">IF(A9="","",IF(Y9&lt;&gt;"",Y9*10000+Q9*100+R9-ROW()/1000,-ROW()))</f>
        <v>170200.991</v>
      </c>
    </row>
    <row r="10" customFormat="false" ht="15" hidden="false" customHeight="false" outlineLevel="0" collapsed="false">
      <c r="A10" s="12" t="s">
        <v>248</v>
      </c>
      <c r="B10" s="12" t="s">
        <v>249</v>
      </c>
      <c r="C10" s="12" t="s">
        <v>250</v>
      </c>
      <c r="D10" s="12" t="s">
        <v>194</v>
      </c>
      <c r="E10" s="12" t="s">
        <v>198</v>
      </c>
      <c r="F10" s="12" t="s">
        <v>187</v>
      </c>
      <c r="G10" s="12" t="s">
        <v>152</v>
      </c>
      <c r="H10" s="13" t="n">
        <v>600000</v>
      </c>
      <c r="I10" s="14" t="s">
        <v>238</v>
      </c>
      <c r="J10" s="14" t="s">
        <v>251</v>
      </c>
      <c r="K10" s="14" t="s">
        <v>238</v>
      </c>
      <c r="L10" s="14" t="s">
        <v>238</v>
      </c>
      <c r="M10" s="14" t="s">
        <v>238</v>
      </c>
      <c r="N10" s="14" t="s">
        <v>238</v>
      </c>
      <c r="O10" s="15" t="str">
        <f aca="false">IF(A10="","",IF(COUNTIF(I10:N10,"No")&gt;0,"No",IF(COUNTIF(I10:N10,"Sí")=6,"Sí","Falta información")))</f>
        <v>No</v>
      </c>
      <c r="P10" s="15" t="str">
        <f aca="false">TRIM(IF(I10="No","R1 ","")&amp;IF(J10="No","R2 ","")&amp;IF(K10="No","R3 ","")&amp;IF(L10="No","R4 ","")&amp;IF(M10="No","R5 ","")&amp;IF(N10="No","R6 ",""))</f>
        <v>R2</v>
      </c>
      <c r="Q10" s="16"/>
      <c r="R10" s="16"/>
      <c r="S10" s="16"/>
      <c r="T10" s="16"/>
      <c r="U10" s="16"/>
      <c r="V10" s="16"/>
      <c r="W10" s="16"/>
      <c r="X10" s="16"/>
      <c r="Y10" s="15" t="str">
        <f aca="false">IF(AND(O10="Sí",COUNT(Q10:X10)=8),2*Q10+2*R10+S10+T10+U10+V10+W10+X10,"")</f>
        <v/>
      </c>
      <c r="Z10" s="15" t="str">
        <f aca="false">IF(Y10="","",IF(Y10&gt;=24,"Alta",IF(Y10&gt;=18,"Media","Baja")))</f>
        <v/>
      </c>
      <c r="AA10" s="15" t="str">
        <f aca="false">IF(Y10="","",COUNTIF($AC$7:$AC$56,"&gt;"&amp;AC10)+1)</f>
        <v/>
      </c>
      <c r="AB10" s="12" t="s">
        <v>252</v>
      </c>
      <c r="AC10" s="15" t="n">
        <f aca="false">IF(A10="","",IF(Y10&lt;&gt;"",Y10*10000+Q10*100+R10-ROW()/1000,-ROW()))</f>
        <v>-10</v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8"/>
      <c r="I11" s="16"/>
      <c r="J11" s="16"/>
      <c r="K11" s="16"/>
      <c r="L11" s="16"/>
      <c r="M11" s="16"/>
      <c r="N11" s="16"/>
      <c r="O11" s="15" t="str">
        <f aca="false">IF(A11="","",IF(COUNTIF(I11:N11,"No")&gt;0,"No",IF(COUNTIF(I11:N11,"Sí")=6,"Sí","Falta información")))</f>
        <v/>
      </c>
      <c r="P11" s="15" t="str">
        <f aca="false">TRIM(IF(I11="No","R1 ","")&amp;IF(J11="No","R2 ","")&amp;IF(K11="No","R3 ","")&amp;IF(L11="No","R4 ","")&amp;IF(M11="No","R5 ","")&amp;IF(N11="No","R6 ",""))</f>
        <v/>
      </c>
      <c r="Q11" s="16"/>
      <c r="R11" s="16"/>
      <c r="S11" s="16"/>
      <c r="T11" s="16"/>
      <c r="U11" s="16"/>
      <c r="V11" s="16"/>
      <c r="W11" s="16"/>
      <c r="X11" s="16"/>
      <c r="Y11" s="15" t="str">
        <f aca="false">IF(AND(O11="Sí",COUNT(Q11:X11)=8),2*Q11+2*R11+S11+T11+U11+V11+W11+X11,"")</f>
        <v/>
      </c>
      <c r="Z11" s="15" t="str">
        <f aca="false">IF(Y11="","",IF(Y11&gt;=24,"Alta",IF(Y11&gt;=18,"Media","Baja")))</f>
        <v/>
      </c>
      <c r="AA11" s="15" t="str">
        <f aca="false">IF(Y11="","",COUNTIF($AC$7:$AC$56,"&gt;"&amp;AC11)+1)</f>
        <v/>
      </c>
      <c r="AB11" s="17"/>
      <c r="AC11" s="15" t="str">
        <f aca="false">IF(A11="","",IF(Y11&lt;&gt;"",Y11*10000+Q11*100+R11-ROW()/1000,-ROW()))</f>
        <v/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8"/>
      <c r="I12" s="16"/>
      <c r="J12" s="16"/>
      <c r="K12" s="16"/>
      <c r="L12" s="16"/>
      <c r="M12" s="16"/>
      <c r="N12" s="16"/>
      <c r="O12" s="15" t="str">
        <f aca="false">IF(A12="","",IF(COUNTIF(I12:N12,"No")&gt;0,"No",IF(COUNTIF(I12:N12,"Sí")=6,"Sí","Falta información")))</f>
        <v/>
      </c>
      <c r="P12" s="15" t="str">
        <f aca="false">TRIM(IF(I12="No","R1 ","")&amp;IF(J12="No","R2 ","")&amp;IF(K12="No","R3 ","")&amp;IF(L12="No","R4 ","")&amp;IF(M12="No","R5 ","")&amp;IF(N12="No","R6 ",""))</f>
        <v/>
      </c>
      <c r="Q12" s="16"/>
      <c r="R12" s="16"/>
      <c r="S12" s="16"/>
      <c r="T12" s="16"/>
      <c r="U12" s="16"/>
      <c r="V12" s="16"/>
      <c r="W12" s="16"/>
      <c r="X12" s="16"/>
      <c r="Y12" s="15" t="str">
        <f aca="false">IF(AND(O12="Sí",COUNT(Q12:X12)=8),2*Q12+2*R12+S12+T12+U12+V12+W12+X12,"")</f>
        <v/>
      </c>
      <c r="Z12" s="15" t="str">
        <f aca="false">IF(Y12="","",IF(Y12&gt;=24,"Alta",IF(Y12&gt;=18,"Media","Baja")))</f>
        <v/>
      </c>
      <c r="AA12" s="15" t="str">
        <f aca="false">IF(Y12="","",COUNTIF($AC$7:$AC$56,"&gt;"&amp;AC12)+1)</f>
        <v/>
      </c>
      <c r="AB12" s="17"/>
      <c r="AC12" s="15" t="str">
        <f aca="false">IF(A12="","",IF(Y12&lt;&gt;"",Y12*10000+Q12*100+R12-ROW()/1000,-ROW()))</f>
        <v/>
      </c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8"/>
      <c r="I13" s="16"/>
      <c r="J13" s="16"/>
      <c r="K13" s="16"/>
      <c r="L13" s="16"/>
      <c r="M13" s="16"/>
      <c r="N13" s="16"/>
      <c r="O13" s="15" t="str">
        <f aca="false">IF(A13="","",IF(COUNTIF(I13:N13,"No")&gt;0,"No",IF(COUNTIF(I13:N13,"Sí")=6,"Sí","Falta información")))</f>
        <v/>
      </c>
      <c r="P13" s="15" t="str">
        <f aca="false">TRIM(IF(I13="No","R1 ","")&amp;IF(J13="No","R2 ","")&amp;IF(K13="No","R3 ","")&amp;IF(L13="No","R4 ","")&amp;IF(M13="No","R5 ","")&amp;IF(N13="No","R6 ",""))</f>
        <v/>
      </c>
      <c r="Q13" s="16"/>
      <c r="R13" s="16"/>
      <c r="S13" s="16"/>
      <c r="T13" s="16"/>
      <c r="U13" s="16"/>
      <c r="V13" s="16"/>
      <c r="W13" s="16"/>
      <c r="X13" s="16"/>
      <c r="Y13" s="15" t="str">
        <f aca="false">IF(AND(O13="Sí",COUNT(Q13:X13)=8),2*Q13+2*R13+S13+T13+U13+V13+W13+X13,"")</f>
        <v/>
      </c>
      <c r="Z13" s="15" t="str">
        <f aca="false">IF(Y13="","",IF(Y13&gt;=24,"Alta",IF(Y13&gt;=18,"Media","Baja")))</f>
        <v/>
      </c>
      <c r="AA13" s="15" t="str">
        <f aca="false">IF(Y13="","",COUNTIF($AC$7:$AC$56,"&gt;"&amp;AC13)+1)</f>
        <v/>
      </c>
      <c r="AB13" s="17"/>
      <c r="AC13" s="15" t="str">
        <f aca="false">IF(A13="","",IF(Y13&lt;&gt;"",Y13*10000+Q13*100+R13-ROW()/1000,-ROW()))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8"/>
      <c r="I14" s="16"/>
      <c r="J14" s="16"/>
      <c r="K14" s="16"/>
      <c r="L14" s="16"/>
      <c r="M14" s="16"/>
      <c r="N14" s="16"/>
      <c r="O14" s="15" t="str">
        <f aca="false">IF(A14="","",IF(COUNTIF(I14:N14,"No")&gt;0,"No",IF(COUNTIF(I14:N14,"Sí")=6,"Sí","Falta información")))</f>
        <v/>
      </c>
      <c r="P14" s="15" t="str">
        <f aca="false">TRIM(IF(I14="No","R1 ","")&amp;IF(J14="No","R2 ","")&amp;IF(K14="No","R3 ","")&amp;IF(L14="No","R4 ","")&amp;IF(M14="No","R5 ","")&amp;IF(N14="No","R6 ",""))</f>
        <v/>
      </c>
      <c r="Q14" s="16"/>
      <c r="R14" s="16"/>
      <c r="S14" s="16"/>
      <c r="T14" s="16"/>
      <c r="U14" s="16"/>
      <c r="V14" s="16"/>
      <c r="W14" s="16"/>
      <c r="X14" s="16"/>
      <c r="Y14" s="15" t="str">
        <f aca="false">IF(AND(O14="Sí",COUNT(Q14:X14)=8),2*Q14+2*R14+S14+T14+U14+V14+W14+X14,"")</f>
        <v/>
      </c>
      <c r="Z14" s="15" t="str">
        <f aca="false">IF(Y14="","",IF(Y14&gt;=24,"Alta",IF(Y14&gt;=18,"Media","Baja")))</f>
        <v/>
      </c>
      <c r="AA14" s="15" t="str">
        <f aca="false">IF(Y14="","",COUNTIF($AC$7:$AC$56,"&gt;"&amp;AC14)+1)</f>
        <v/>
      </c>
      <c r="AB14" s="17"/>
      <c r="AC14" s="15" t="str">
        <f aca="false">IF(A14="","",IF(Y14&lt;&gt;"",Y14*10000+Q14*100+R14-ROW()/1000,-ROW()))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8"/>
      <c r="I15" s="16"/>
      <c r="J15" s="16"/>
      <c r="K15" s="16"/>
      <c r="L15" s="16"/>
      <c r="M15" s="16"/>
      <c r="N15" s="16"/>
      <c r="O15" s="15" t="str">
        <f aca="false">IF(A15="","",IF(COUNTIF(I15:N15,"No")&gt;0,"No",IF(COUNTIF(I15:N15,"Sí")=6,"Sí","Falta información")))</f>
        <v/>
      </c>
      <c r="P15" s="15" t="str">
        <f aca="false">TRIM(IF(I15="No","R1 ","")&amp;IF(J15="No","R2 ","")&amp;IF(K15="No","R3 ","")&amp;IF(L15="No","R4 ","")&amp;IF(M15="No","R5 ","")&amp;IF(N15="No","R6 ",""))</f>
        <v/>
      </c>
      <c r="Q15" s="16"/>
      <c r="R15" s="16"/>
      <c r="S15" s="16"/>
      <c r="T15" s="16"/>
      <c r="U15" s="16"/>
      <c r="V15" s="16"/>
      <c r="W15" s="16"/>
      <c r="X15" s="16"/>
      <c r="Y15" s="15" t="str">
        <f aca="false">IF(AND(O15="Sí",COUNT(Q15:X15)=8),2*Q15+2*R15+S15+T15+U15+V15+W15+X15,"")</f>
        <v/>
      </c>
      <c r="Z15" s="15" t="str">
        <f aca="false">IF(Y15="","",IF(Y15&gt;=24,"Alta",IF(Y15&gt;=18,"Media","Baja")))</f>
        <v/>
      </c>
      <c r="AA15" s="15" t="str">
        <f aca="false">IF(Y15="","",COUNTIF($AC$7:$AC$56,"&gt;"&amp;AC15)+1)</f>
        <v/>
      </c>
      <c r="AB15" s="17"/>
      <c r="AC15" s="15" t="str">
        <f aca="false">IF(A15="","",IF(Y15&lt;&gt;"",Y15*10000+Q15*100+R15-ROW()/1000,-ROW()))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8"/>
      <c r="I16" s="16"/>
      <c r="J16" s="16"/>
      <c r="K16" s="16"/>
      <c r="L16" s="16"/>
      <c r="M16" s="16"/>
      <c r="N16" s="16"/>
      <c r="O16" s="15" t="str">
        <f aca="false">IF(A16="","",IF(COUNTIF(I16:N16,"No")&gt;0,"No",IF(COUNTIF(I16:N16,"Sí")=6,"Sí","Falta información")))</f>
        <v/>
      </c>
      <c r="P16" s="15" t="str">
        <f aca="false">TRIM(IF(I16="No","R1 ","")&amp;IF(J16="No","R2 ","")&amp;IF(K16="No","R3 ","")&amp;IF(L16="No","R4 ","")&amp;IF(M16="No","R5 ","")&amp;IF(N16="No","R6 ",""))</f>
        <v/>
      </c>
      <c r="Q16" s="16"/>
      <c r="R16" s="16"/>
      <c r="S16" s="16"/>
      <c r="T16" s="16"/>
      <c r="U16" s="16"/>
      <c r="V16" s="16"/>
      <c r="W16" s="16"/>
      <c r="X16" s="16"/>
      <c r="Y16" s="15" t="str">
        <f aca="false">IF(AND(O16="Sí",COUNT(Q16:X16)=8),2*Q16+2*R16+S16+T16+U16+V16+W16+X16,"")</f>
        <v/>
      </c>
      <c r="Z16" s="15" t="str">
        <f aca="false">IF(Y16="","",IF(Y16&gt;=24,"Alta",IF(Y16&gt;=18,"Media","Baja")))</f>
        <v/>
      </c>
      <c r="AA16" s="15" t="str">
        <f aca="false">IF(Y16="","",COUNTIF($AC$7:$AC$56,"&gt;"&amp;AC16)+1)</f>
        <v/>
      </c>
      <c r="AB16" s="17"/>
      <c r="AC16" s="15" t="str">
        <f aca="false">IF(A16="","",IF(Y16&lt;&gt;"",Y16*10000+Q16*100+R16-ROW()/1000,-ROW()))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8"/>
      <c r="I17" s="16"/>
      <c r="J17" s="16"/>
      <c r="K17" s="16"/>
      <c r="L17" s="16"/>
      <c r="M17" s="16"/>
      <c r="N17" s="16"/>
      <c r="O17" s="15" t="str">
        <f aca="false">IF(A17="","",IF(COUNTIF(I17:N17,"No")&gt;0,"No",IF(COUNTIF(I17:N17,"Sí")=6,"Sí","Falta información")))</f>
        <v/>
      </c>
      <c r="P17" s="15" t="str">
        <f aca="false">TRIM(IF(I17="No","R1 ","")&amp;IF(J17="No","R2 ","")&amp;IF(K17="No","R3 ","")&amp;IF(L17="No","R4 ","")&amp;IF(M17="No","R5 ","")&amp;IF(N17="No","R6 ",""))</f>
        <v/>
      </c>
      <c r="Q17" s="16"/>
      <c r="R17" s="16"/>
      <c r="S17" s="16"/>
      <c r="T17" s="16"/>
      <c r="U17" s="16"/>
      <c r="V17" s="16"/>
      <c r="W17" s="16"/>
      <c r="X17" s="16"/>
      <c r="Y17" s="15" t="str">
        <f aca="false">IF(AND(O17="Sí",COUNT(Q17:X17)=8),2*Q17+2*R17+S17+T17+U17+V17+W17+X17,"")</f>
        <v/>
      </c>
      <c r="Z17" s="15" t="str">
        <f aca="false">IF(Y17="","",IF(Y17&gt;=24,"Alta",IF(Y17&gt;=18,"Media","Baja")))</f>
        <v/>
      </c>
      <c r="AA17" s="15" t="str">
        <f aca="false">IF(Y17="","",COUNTIF($AC$7:$AC$56,"&gt;"&amp;AC17)+1)</f>
        <v/>
      </c>
      <c r="AB17" s="17"/>
      <c r="AC17" s="15" t="str">
        <f aca="false">IF(A17="","",IF(Y17&lt;&gt;"",Y17*10000+Q17*100+R17-ROW()/1000,-ROW()))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8"/>
      <c r="I18" s="16"/>
      <c r="J18" s="16"/>
      <c r="K18" s="16"/>
      <c r="L18" s="16"/>
      <c r="M18" s="16"/>
      <c r="N18" s="16"/>
      <c r="O18" s="15" t="str">
        <f aca="false">IF(A18="","",IF(COUNTIF(I18:N18,"No")&gt;0,"No",IF(COUNTIF(I18:N18,"Sí")=6,"Sí","Falta información")))</f>
        <v/>
      </c>
      <c r="P18" s="15" t="str">
        <f aca="false">TRIM(IF(I18="No","R1 ","")&amp;IF(J18="No","R2 ","")&amp;IF(K18="No","R3 ","")&amp;IF(L18="No","R4 ","")&amp;IF(M18="No","R5 ","")&amp;IF(N18="No","R6 ",""))</f>
        <v/>
      </c>
      <c r="Q18" s="16"/>
      <c r="R18" s="16"/>
      <c r="S18" s="16"/>
      <c r="T18" s="16"/>
      <c r="U18" s="16"/>
      <c r="V18" s="16"/>
      <c r="W18" s="16"/>
      <c r="X18" s="16"/>
      <c r="Y18" s="15" t="str">
        <f aca="false">IF(AND(O18="Sí",COUNT(Q18:X18)=8),2*Q18+2*R18+S18+T18+U18+V18+W18+X18,"")</f>
        <v/>
      </c>
      <c r="Z18" s="15" t="str">
        <f aca="false">IF(Y18="","",IF(Y18&gt;=24,"Alta",IF(Y18&gt;=18,"Media","Baja")))</f>
        <v/>
      </c>
      <c r="AA18" s="15" t="str">
        <f aca="false">IF(Y18="","",COUNTIF($AC$7:$AC$56,"&gt;"&amp;AC18)+1)</f>
        <v/>
      </c>
      <c r="AB18" s="17"/>
      <c r="AC18" s="15" t="str">
        <f aca="false">IF(A18="","",IF(Y18&lt;&gt;"",Y18*10000+Q18*100+R18-ROW()/1000,-ROW()))</f>
        <v/>
      </c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8"/>
      <c r="I19" s="16"/>
      <c r="J19" s="16"/>
      <c r="K19" s="16"/>
      <c r="L19" s="16"/>
      <c r="M19" s="16"/>
      <c r="N19" s="16"/>
      <c r="O19" s="15" t="str">
        <f aca="false">IF(A19="","",IF(COUNTIF(I19:N19,"No")&gt;0,"No",IF(COUNTIF(I19:N19,"Sí")=6,"Sí","Falta información")))</f>
        <v/>
      </c>
      <c r="P19" s="15" t="str">
        <f aca="false">TRIM(IF(I19="No","R1 ","")&amp;IF(J19="No","R2 ","")&amp;IF(K19="No","R3 ","")&amp;IF(L19="No","R4 ","")&amp;IF(M19="No","R5 ","")&amp;IF(N19="No","R6 ",""))</f>
        <v/>
      </c>
      <c r="Q19" s="16"/>
      <c r="R19" s="16"/>
      <c r="S19" s="16"/>
      <c r="T19" s="16"/>
      <c r="U19" s="16"/>
      <c r="V19" s="16"/>
      <c r="W19" s="16"/>
      <c r="X19" s="16"/>
      <c r="Y19" s="15" t="str">
        <f aca="false">IF(AND(O19="Sí",COUNT(Q19:X19)=8),2*Q19+2*R19+S19+T19+U19+V19+W19+X19,"")</f>
        <v/>
      </c>
      <c r="Z19" s="15" t="str">
        <f aca="false">IF(Y19="","",IF(Y19&gt;=24,"Alta",IF(Y19&gt;=18,"Media","Baja")))</f>
        <v/>
      </c>
      <c r="AA19" s="15" t="str">
        <f aca="false">IF(Y19="","",COUNTIF($AC$7:$AC$56,"&gt;"&amp;AC19)+1)</f>
        <v/>
      </c>
      <c r="AB19" s="17"/>
      <c r="AC19" s="15" t="str">
        <f aca="false">IF(A19="","",IF(Y19&lt;&gt;"",Y19*10000+Q19*100+R19-ROW()/1000,-ROW()))</f>
        <v/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8"/>
      <c r="I20" s="16"/>
      <c r="J20" s="16"/>
      <c r="K20" s="16"/>
      <c r="L20" s="16"/>
      <c r="M20" s="16"/>
      <c r="N20" s="16"/>
      <c r="O20" s="15" t="str">
        <f aca="false">IF(A20="","",IF(COUNTIF(I20:N20,"No")&gt;0,"No",IF(COUNTIF(I20:N20,"Sí")=6,"Sí","Falta información")))</f>
        <v/>
      </c>
      <c r="P20" s="15" t="str">
        <f aca="false">TRIM(IF(I20="No","R1 ","")&amp;IF(J20="No","R2 ","")&amp;IF(K20="No","R3 ","")&amp;IF(L20="No","R4 ","")&amp;IF(M20="No","R5 ","")&amp;IF(N20="No","R6 ",""))</f>
        <v/>
      </c>
      <c r="Q20" s="16"/>
      <c r="R20" s="16"/>
      <c r="S20" s="16"/>
      <c r="T20" s="16"/>
      <c r="U20" s="16"/>
      <c r="V20" s="16"/>
      <c r="W20" s="16"/>
      <c r="X20" s="16"/>
      <c r="Y20" s="15" t="str">
        <f aca="false">IF(AND(O20="Sí",COUNT(Q20:X20)=8),2*Q20+2*R20+S20+T20+U20+V20+W20+X20,"")</f>
        <v/>
      </c>
      <c r="Z20" s="15" t="str">
        <f aca="false">IF(Y20="","",IF(Y20&gt;=24,"Alta",IF(Y20&gt;=18,"Media","Baja")))</f>
        <v/>
      </c>
      <c r="AA20" s="15" t="str">
        <f aca="false">IF(Y20="","",COUNTIF($AC$7:$AC$56,"&gt;"&amp;AC20)+1)</f>
        <v/>
      </c>
      <c r="AB20" s="17"/>
      <c r="AC20" s="15" t="str">
        <f aca="false">IF(A20="","",IF(Y20&lt;&gt;"",Y20*10000+Q20*100+R20-ROW()/1000,-ROW()))</f>
        <v/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8"/>
      <c r="I21" s="16"/>
      <c r="J21" s="16"/>
      <c r="K21" s="16"/>
      <c r="L21" s="16"/>
      <c r="M21" s="16"/>
      <c r="N21" s="16"/>
      <c r="O21" s="15" t="str">
        <f aca="false">IF(A21="","",IF(COUNTIF(I21:N21,"No")&gt;0,"No",IF(COUNTIF(I21:N21,"Sí")=6,"Sí","Falta información")))</f>
        <v/>
      </c>
      <c r="P21" s="15" t="str">
        <f aca="false">TRIM(IF(I21="No","R1 ","")&amp;IF(J21="No","R2 ","")&amp;IF(K21="No","R3 ","")&amp;IF(L21="No","R4 ","")&amp;IF(M21="No","R5 ","")&amp;IF(N21="No","R6 ",""))</f>
        <v/>
      </c>
      <c r="Q21" s="16"/>
      <c r="R21" s="16"/>
      <c r="S21" s="16"/>
      <c r="T21" s="16"/>
      <c r="U21" s="16"/>
      <c r="V21" s="16"/>
      <c r="W21" s="16"/>
      <c r="X21" s="16"/>
      <c r="Y21" s="15" t="str">
        <f aca="false">IF(AND(O21="Sí",COUNT(Q21:X21)=8),2*Q21+2*R21+S21+T21+U21+V21+W21+X21,"")</f>
        <v/>
      </c>
      <c r="Z21" s="15" t="str">
        <f aca="false">IF(Y21="","",IF(Y21&gt;=24,"Alta",IF(Y21&gt;=18,"Media","Baja")))</f>
        <v/>
      </c>
      <c r="AA21" s="15" t="str">
        <f aca="false">IF(Y21="","",COUNTIF($AC$7:$AC$56,"&gt;"&amp;AC21)+1)</f>
        <v/>
      </c>
      <c r="AB21" s="17"/>
      <c r="AC21" s="15" t="str">
        <f aca="false">IF(A21="","",IF(Y21&lt;&gt;"",Y21*10000+Q21*100+R21-ROW()/1000,-ROW()))</f>
        <v/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8"/>
      <c r="I22" s="16"/>
      <c r="J22" s="16"/>
      <c r="K22" s="16"/>
      <c r="L22" s="16"/>
      <c r="M22" s="16"/>
      <c r="N22" s="16"/>
      <c r="O22" s="15" t="str">
        <f aca="false">IF(A22="","",IF(COUNTIF(I22:N22,"No")&gt;0,"No",IF(COUNTIF(I22:N22,"Sí")=6,"Sí","Falta información")))</f>
        <v/>
      </c>
      <c r="P22" s="15" t="str">
        <f aca="false">TRIM(IF(I22="No","R1 ","")&amp;IF(J22="No","R2 ","")&amp;IF(K22="No","R3 ","")&amp;IF(L22="No","R4 ","")&amp;IF(M22="No","R5 ","")&amp;IF(N22="No","R6 ",""))</f>
        <v/>
      </c>
      <c r="Q22" s="16"/>
      <c r="R22" s="16"/>
      <c r="S22" s="16"/>
      <c r="T22" s="16"/>
      <c r="U22" s="16"/>
      <c r="V22" s="16"/>
      <c r="W22" s="16"/>
      <c r="X22" s="16"/>
      <c r="Y22" s="15" t="str">
        <f aca="false">IF(AND(O22="Sí",COUNT(Q22:X22)=8),2*Q22+2*R22+S22+T22+U22+V22+W22+X22,"")</f>
        <v/>
      </c>
      <c r="Z22" s="15" t="str">
        <f aca="false">IF(Y22="","",IF(Y22&gt;=24,"Alta",IF(Y22&gt;=18,"Media","Baja")))</f>
        <v/>
      </c>
      <c r="AA22" s="15" t="str">
        <f aca="false">IF(Y22="","",COUNTIF($AC$7:$AC$56,"&gt;"&amp;AC22)+1)</f>
        <v/>
      </c>
      <c r="AB22" s="17"/>
      <c r="AC22" s="15" t="str">
        <f aca="false">IF(A22="","",IF(Y22&lt;&gt;"",Y22*10000+Q22*100+R22-ROW()/1000,-ROW()))</f>
        <v/>
      </c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8"/>
      <c r="I23" s="16"/>
      <c r="J23" s="16"/>
      <c r="K23" s="16"/>
      <c r="L23" s="16"/>
      <c r="M23" s="16"/>
      <c r="N23" s="16"/>
      <c r="O23" s="15" t="str">
        <f aca="false">IF(A23="","",IF(COUNTIF(I23:N23,"No")&gt;0,"No",IF(COUNTIF(I23:N23,"Sí")=6,"Sí","Falta información")))</f>
        <v/>
      </c>
      <c r="P23" s="15" t="str">
        <f aca="false">TRIM(IF(I23="No","R1 ","")&amp;IF(J23="No","R2 ","")&amp;IF(K23="No","R3 ","")&amp;IF(L23="No","R4 ","")&amp;IF(M23="No","R5 ","")&amp;IF(N23="No","R6 ",""))</f>
        <v/>
      </c>
      <c r="Q23" s="16"/>
      <c r="R23" s="16"/>
      <c r="S23" s="16"/>
      <c r="T23" s="16"/>
      <c r="U23" s="16"/>
      <c r="V23" s="16"/>
      <c r="W23" s="16"/>
      <c r="X23" s="16"/>
      <c r="Y23" s="15" t="str">
        <f aca="false">IF(AND(O23="Sí",COUNT(Q23:X23)=8),2*Q23+2*R23+S23+T23+U23+V23+W23+X23,"")</f>
        <v/>
      </c>
      <c r="Z23" s="15" t="str">
        <f aca="false">IF(Y23="","",IF(Y23&gt;=24,"Alta",IF(Y23&gt;=18,"Media","Baja")))</f>
        <v/>
      </c>
      <c r="AA23" s="15" t="str">
        <f aca="false">IF(Y23="","",COUNTIF($AC$7:$AC$56,"&gt;"&amp;AC23)+1)</f>
        <v/>
      </c>
      <c r="AB23" s="17"/>
      <c r="AC23" s="15" t="str">
        <f aca="false">IF(A23="","",IF(Y23&lt;&gt;"",Y23*10000+Q23*100+R23-ROW()/1000,-ROW()))</f>
        <v/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8"/>
      <c r="I24" s="16"/>
      <c r="J24" s="16"/>
      <c r="K24" s="16"/>
      <c r="L24" s="16"/>
      <c r="M24" s="16"/>
      <c r="N24" s="16"/>
      <c r="O24" s="15" t="str">
        <f aca="false">IF(A24="","",IF(COUNTIF(I24:N24,"No")&gt;0,"No",IF(COUNTIF(I24:N24,"Sí")=6,"Sí","Falta información")))</f>
        <v/>
      </c>
      <c r="P24" s="15" t="str">
        <f aca="false">TRIM(IF(I24="No","R1 ","")&amp;IF(J24="No","R2 ","")&amp;IF(K24="No","R3 ","")&amp;IF(L24="No","R4 ","")&amp;IF(M24="No","R5 ","")&amp;IF(N24="No","R6 ",""))</f>
        <v/>
      </c>
      <c r="Q24" s="16"/>
      <c r="R24" s="16"/>
      <c r="S24" s="16"/>
      <c r="T24" s="16"/>
      <c r="U24" s="16"/>
      <c r="V24" s="16"/>
      <c r="W24" s="16"/>
      <c r="X24" s="16"/>
      <c r="Y24" s="15" t="str">
        <f aca="false">IF(AND(O24="Sí",COUNT(Q24:X24)=8),2*Q24+2*R24+S24+T24+U24+V24+W24+X24,"")</f>
        <v/>
      </c>
      <c r="Z24" s="15" t="str">
        <f aca="false">IF(Y24="","",IF(Y24&gt;=24,"Alta",IF(Y24&gt;=18,"Media","Baja")))</f>
        <v/>
      </c>
      <c r="AA24" s="15" t="str">
        <f aca="false">IF(Y24="","",COUNTIF($AC$7:$AC$56,"&gt;"&amp;AC24)+1)</f>
        <v/>
      </c>
      <c r="AB24" s="17"/>
      <c r="AC24" s="15" t="str">
        <f aca="false">IF(A24="","",IF(Y24&lt;&gt;"",Y24*10000+Q24*100+R24-ROW()/1000,-ROW()))</f>
        <v/>
      </c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8"/>
      <c r="I25" s="16"/>
      <c r="J25" s="16"/>
      <c r="K25" s="16"/>
      <c r="L25" s="16"/>
      <c r="M25" s="16"/>
      <c r="N25" s="16"/>
      <c r="O25" s="15" t="str">
        <f aca="false">IF(A25="","",IF(COUNTIF(I25:N25,"No")&gt;0,"No",IF(COUNTIF(I25:N25,"Sí")=6,"Sí","Falta información")))</f>
        <v/>
      </c>
      <c r="P25" s="15" t="str">
        <f aca="false">TRIM(IF(I25="No","R1 ","")&amp;IF(J25="No","R2 ","")&amp;IF(K25="No","R3 ","")&amp;IF(L25="No","R4 ","")&amp;IF(M25="No","R5 ","")&amp;IF(N25="No","R6 ",""))</f>
        <v/>
      </c>
      <c r="Q25" s="16"/>
      <c r="R25" s="16"/>
      <c r="S25" s="16"/>
      <c r="T25" s="16"/>
      <c r="U25" s="16"/>
      <c r="V25" s="16"/>
      <c r="W25" s="16"/>
      <c r="X25" s="16"/>
      <c r="Y25" s="15" t="str">
        <f aca="false">IF(AND(O25="Sí",COUNT(Q25:X25)=8),2*Q25+2*R25+S25+T25+U25+V25+W25+X25,"")</f>
        <v/>
      </c>
      <c r="Z25" s="15" t="str">
        <f aca="false">IF(Y25="","",IF(Y25&gt;=24,"Alta",IF(Y25&gt;=18,"Media","Baja")))</f>
        <v/>
      </c>
      <c r="AA25" s="15" t="str">
        <f aca="false">IF(Y25="","",COUNTIF($AC$7:$AC$56,"&gt;"&amp;AC25)+1)</f>
        <v/>
      </c>
      <c r="AB25" s="17"/>
      <c r="AC25" s="15" t="str">
        <f aca="false">IF(A25="","",IF(Y25&lt;&gt;"",Y25*10000+Q25*100+R25-ROW()/1000,-ROW()))</f>
        <v/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8"/>
      <c r="I26" s="16"/>
      <c r="J26" s="16"/>
      <c r="K26" s="16"/>
      <c r="L26" s="16"/>
      <c r="M26" s="16"/>
      <c r="N26" s="16"/>
      <c r="O26" s="15" t="str">
        <f aca="false">IF(A26="","",IF(COUNTIF(I26:N26,"No")&gt;0,"No",IF(COUNTIF(I26:N26,"Sí")=6,"Sí","Falta información")))</f>
        <v/>
      </c>
      <c r="P26" s="15" t="str">
        <f aca="false">TRIM(IF(I26="No","R1 ","")&amp;IF(J26="No","R2 ","")&amp;IF(K26="No","R3 ","")&amp;IF(L26="No","R4 ","")&amp;IF(M26="No","R5 ","")&amp;IF(N26="No","R6 ",""))</f>
        <v/>
      </c>
      <c r="Q26" s="16"/>
      <c r="R26" s="16"/>
      <c r="S26" s="16"/>
      <c r="T26" s="16"/>
      <c r="U26" s="16"/>
      <c r="V26" s="16"/>
      <c r="W26" s="16"/>
      <c r="X26" s="16"/>
      <c r="Y26" s="15" t="str">
        <f aca="false">IF(AND(O26="Sí",COUNT(Q26:X26)=8),2*Q26+2*R26+S26+T26+U26+V26+W26+X26,"")</f>
        <v/>
      </c>
      <c r="Z26" s="15" t="str">
        <f aca="false">IF(Y26="","",IF(Y26&gt;=24,"Alta",IF(Y26&gt;=18,"Media","Baja")))</f>
        <v/>
      </c>
      <c r="AA26" s="15" t="str">
        <f aca="false">IF(Y26="","",COUNTIF($AC$7:$AC$56,"&gt;"&amp;AC26)+1)</f>
        <v/>
      </c>
      <c r="AB26" s="17"/>
      <c r="AC26" s="15" t="str">
        <f aca="false">IF(A26="","",IF(Y26&lt;&gt;"",Y26*10000+Q26*100+R26-ROW()/1000,-ROW()))</f>
        <v/>
      </c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8"/>
      <c r="I27" s="16"/>
      <c r="J27" s="16"/>
      <c r="K27" s="16"/>
      <c r="L27" s="16"/>
      <c r="M27" s="16"/>
      <c r="N27" s="16"/>
      <c r="O27" s="15" t="str">
        <f aca="false">IF(A27="","",IF(COUNTIF(I27:N27,"No")&gt;0,"No",IF(COUNTIF(I27:N27,"Sí")=6,"Sí","Falta información")))</f>
        <v/>
      </c>
      <c r="P27" s="15" t="str">
        <f aca="false">TRIM(IF(I27="No","R1 ","")&amp;IF(J27="No","R2 ","")&amp;IF(K27="No","R3 ","")&amp;IF(L27="No","R4 ","")&amp;IF(M27="No","R5 ","")&amp;IF(N27="No","R6 ",""))</f>
        <v/>
      </c>
      <c r="Q27" s="16"/>
      <c r="R27" s="16"/>
      <c r="S27" s="16"/>
      <c r="T27" s="16"/>
      <c r="U27" s="16"/>
      <c r="V27" s="16"/>
      <c r="W27" s="16"/>
      <c r="X27" s="16"/>
      <c r="Y27" s="15" t="str">
        <f aca="false">IF(AND(O27="Sí",COUNT(Q27:X27)=8),2*Q27+2*R27+S27+T27+U27+V27+W27+X27,"")</f>
        <v/>
      </c>
      <c r="Z27" s="15" t="str">
        <f aca="false">IF(Y27="","",IF(Y27&gt;=24,"Alta",IF(Y27&gt;=18,"Media","Baja")))</f>
        <v/>
      </c>
      <c r="AA27" s="15" t="str">
        <f aca="false">IF(Y27="","",COUNTIF($AC$7:$AC$56,"&gt;"&amp;AC27)+1)</f>
        <v/>
      </c>
      <c r="AB27" s="17"/>
      <c r="AC27" s="15" t="str">
        <f aca="false">IF(A27="","",IF(Y27&lt;&gt;"",Y27*10000+Q27*100+R27-ROW()/1000,-ROW()))</f>
        <v/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8"/>
      <c r="I28" s="16"/>
      <c r="J28" s="16"/>
      <c r="K28" s="16"/>
      <c r="L28" s="16"/>
      <c r="M28" s="16"/>
      <c r="N28" s="16"/>
      <c r="O28" s="15" t="str">
        <f aca="false">IF(A28="","",IF(COUNTIF(I28:N28,"No")&gt;0,"No",IF(COUNTIF(I28:N28,"Sí")=6,"Sí","Falta información")))</f>
        <v/>
      </c>
      <c r="P28" s="15" t="str">
        <f aca="false">TRIM(IF(I28="No","R1 ","")&amp;IF(J28="No","R2 ","")&amp;IF(K28="No","R3 ","")&amp;IF(L28="No","R4 ","")&amp;IF(M28="No","R5 ","")&amp;IF(N28="No","R6 ",""))</f>
        <v/>
      </c>
      <c r="Q28" s="16"/>
      <c r="R28" s="16"/>
      <c r="S28" s="16"/>
      <c r="T28" s="16"/>
      <c r="U28" s="16"/>
      <c r="V28" s="16"/>
      <c r="W28" s="16"/>
      <c r="X28" s="16"/>
      <c r="Y28" s="15" t="str">
        <f aca="false">IF(AND(O28="Sí",COUNT(Q28:X28)=8),2*Q28+2*R28+S28+T28+U28+V28+W28+X28,"")</f>
        <v/>
      </c>
      <c r="Z28" s="15" t="str">
        <f aca="false">IF(Y28="","",IF(Y28&gt;=24,"Alta",IF(Y28&gt;=18,"Media","Baja")))</f>
        <v/>
      </c>
      <c r="AA28" s="15" t="str">
        <f aca="false">IF(Y28="","",COUNTIF($AC$7:$AC$56,"&gt;"&amp;AC28)+1)</f>
        <v/>
      </c>
      <c r="AB28" s="17"/>
      <c r="AC28" s="15" t="str">
        <f aca="false">IF(A28="","",IF(Y28&lt;&gt;"",Y28*10000+Q28*100+R28-ROW()/1000,-ROW()))</f>
        <v/>
      </c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8"/>
      <c r="I29" s="16"/>
      <c r="J29" s="16"/>
      <c r="K29" s="16"/>
      <c r="L29" s="16"/>
      <c r="M29" s="16"/>
      <c r="N29" s="16"/>
      <c r="O29" s="15" t="str">
        <f aca="false">IF(A29="","",IF(COUNTIF(I29:N29,"No")&gt;0,"No",IF(COUNTIF(I29:N29,"Sí")=6,"Sí","Falta información")))</f>
        <v/>
      </c>
      <c r="P29" s="15" t="str">
        <f aca="false">TRIM(IF(I29="No","R1 ","")&amp;IF(J29="No","R2 ","")&amp;IF(K29="No","R3 ","")&amp;IF(L29="No","R4 ","")&amp;IF(M29="No","R5 ","")&amp;IF(N29="No","R6 ",""))</f>
        <v/>
      </c>
      <c r="Q29" s="16"/>
      <c r="R29" s="16"/>
      <c r="S29" s="16"/>
      <c r="T29" s="16"/>
      <c r="U29" s="16"/>
      <c r="V29" s="16"/>
      <c r="W29" s="16"/>
      <c r="X29" s="16"/>
      <c r="Y29" s="15" t="str">
        <f aca="false">IF(AND(O29="Sí",COUNT(Q29:X29)=8),2*Q29+2*R29+S29+T29+U29+V29+W29+X29,"")</f>
        <v/>
      </c>
      <c r="Z29" s="15" t="str">
        <f aca="false">IF(Y29="","",IF(Y29&gt;=24,"Alta",IF(Y29&gt;=18,"Media","Baja")))</f>
        <v/>
      </c>
      <c r="AA29" s="15" t="str">
        <f aca="false">IF(Y29="","",COUNTIF($AC$7:$AC$56,"&gt;"&amp;AC29)+1)</f>
        <v/>
      </c>
      <c r="AB29" s="17"/>
      <c r="AC29" s="15" t="str">
        <f aca="false">IF(A29="","",IF(Y29&lt;&gt;"",Y29*10000+Q29*100+R29-ROW()/1000,-ROW()))</f>
        <v/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8"/>
      <c r="I30" s="16"/>
      <c r="J30" s="16"/>
      <c r="K30" s="16"/>
      <c r="L30" s="16"/>
      <c r="M30" s="16"/>
      <c r="N30" s="16"/>
      <c r="O30" s="15" t="str">
        <f aca="false">IF(A30="","",IF(COUNTIF(I30:N30,"No")&gt;0,"No",IF(COUNTIF(I30:N30,"Sí")=6,"Sí","Falta información")))</f>
        <v/>
      </c>
      <c r="P30" s="15" t="str">
        <f aca="false">TRIM(IF(I30="No","R1 ","")&amp;IF(J30="No","R2 ","")&amp;IF(K30="No","R3 ","")&amp;IF(L30="No","R4 ","")&amp;IF(M30="No","R5 ","")&amp;IF(N30="No","R6 ",""))</f>
        <v/>
      </c>
      <c r="Q30" s="16"/>
      <c r="R30" s="16"/>
      <c r="S30" s="16"/>
      <c r="T30" s="16"/>
      <c r="U30" s="16"/>
      <c r="V30" s="16"/>
      <c r="W30" s="16"/>
      <c r="X30" s="16"/>
      <c r="Y30" s="15" t="str">
        <f aca="false">IF(AND(O30="Sí",COUNT(Q30:X30)=8),2*Q30+2*R30+S30+T30+U30+V30+W30+X30,"")</f>
        <v/>
      </c>
      <c r="Z30" s="15" t="str">
        <f aca="false">IF(Y30="","",IF(Y30&gt;=24,"Alta",IF(Y30&gt;=18,"Media","Baja")))</f>
        <v/>
      </c>
      <c r="AA30" s="15" t="str">
        <f aca="false">IF(Y30="","",COUNTIF($AC$7:$AC$56,"&gt;"&amp;AC30)+1)</f>
        <v/>
      </c>
      <c r="AB30" s="17"/>
      <c r="AC30" s="15" t="str">
        <f aca="false">IF(A30="","",IF(Y30&lt;&gt;"",Y30*10000+Q30*100+R30-ROW()/1000,-ROW()))</f>
        <v/>
      </c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8"/>
      <c r="I31" s="16"/>
      <c r="J31" s="16"/>
      <c r="K31" s="16"/>
      <c r="L31" s="16"/>
      <c r="M31" s="16"/>
      <c r="N31" s="16"/>
      <c r="O31" s="15" t="str">
        <f aca="false">IF(A31="","",IF(COUNTIF(I31:N31,"No")&gt;0,"No",IF(COUNTIF(I31:N31,"Sí")=6,"Sí","Falta información")))</f>
        <v/>
      </c>
      <c r="P31" s="15" t="str">
        <f aca="false">TRIM(IF(I31="No","R1 ","")&amp;IF(J31="No","R2 ","")&amp;IF(K31="No","R3 ","")&amp;IF(L31="No","R4 ","")&amp;IF(M31="No","R5 ","")&amp;IF(N31="No","R6 ",""))</f>
        <v/>
      </c>
      <c r="Q31" s="16"/>
      <c r="R31" s="16"/>
      <c r="S31" s="16"/>
      <c r="T31" s="16"/>
      <c r="U31" s="16"/>
      <c r="V31" s="16"/>
      <c r="W31" s="16"/>
      <c r="X31" s="16"/>
      <c r="Y31" s="15" t="str">
        <f aca="false">IF(AND(O31="Sí",COUNT(Q31:X31)=8),2*Q31+2*R31+S31+T31+U31+V31+W31+X31,"")</f>
        <v/>
      </c>
      <c r="Z31" s="15" t="str">
        <f aca="false">IF(Y31="","",IF(Y31&gt;=24,"Alta",IF(Y31&gt;=18,"Media","Baja")))</f>
        <v/>
      </c>
      <c r="AA31" s="15" t="str">
        <f aca="false">IF(Y31="","",COUNTIF($AC$7:$AC$56,"&gt;"&amp;AC31)+1)</f>
        <v/>
      </c>
      <c r="AB31" s="17"/>
      <c r="AC31" s="15" t="str">
        <f aca="false">IF(A31="","",IF(Y31&lt;&gt;"",Y31*10000+Q31*100+R31-ROW()/1000,-ROW()))</f>
        <v/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8"/>
      <c r="I32" s="16"/>
      <c r="J32" s="16"/>
      <c r="K32" s="16"/>
      <c r="L32" s="16"/>
      <c r="M32" s="16"/>
      <c r="N32" s="16"/>
      <c r="O32" s="15" t="str">
        <f aca="false">IF(A32="","",IF(COUNTIF(I32:N32,"No")&gt;0,"No",IF(COUNTIF(I32:N32,"Sí")=6,"Sí","Falta información")))</f>
        <v/>
      </c>
      <c r="P32" s="15" t="str">
        <f aca="false">TRIM(IF(I32="No","R1 ","")&amp;IF(J32="No","R2 ","")&amp;IF(K32="No","R3 ","")&amp;IF(L32="No","R4 ","")&amp;IF(M32="No","R5 ","")&amp;IF(N32="No","R6 ",""))</f>
        <v/>
      </c>
      <c r="Q32" s="16"/>
      <c r="R32" s="16"/>
      <c r="S32" s="16"/>
      <c r="T32" s="16"/>
      <c r="U32" s="16"/>
      <c r="V32" s="16"/>
      <c r="W32" s="16"/>
      <c r="X32" s="16"/>
      <c r="Y32" s="15" t="str">
        <f aca="false">IF(AND(O32="Sí",COUNT(Q32:X32)=8),2*Q32+2*R32+S32+T32+U32+V32+W32+X32,"")</f>
        <v/>
      </c>
      <c r="Z32" s="15" t="str">
        <f aca="false">IF(Y32="","",IF(Y32&gt;=24,"Alta",IF(Y32&gt;=18,"Media","Baja")))</f>
        <v/>
      </c>
      <c r="AA32" s="15" t="str">
        <f aca="false">IF(Y32="","",COUNTIF($AC$7:$AC$56,"&gt;"&amp;AC32)+1)</f>
        <v/>
      </c>
      <c r="AB32" s="17"/>
      <c r="AC32" s="15" t="str">
        <f aca="false">IF(A32="","",IF(Y32&lt;&gt;"",Y32*10000+Q32*100+R32-ROW()/1000,-ROW()))</f>
        <v/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8"/>
      <c r="I33" s="16"/>
      <c r="J33" s="16"/>
      <c r="K33" s="16"/>
      <c r="L33" s="16"/>
      <c r="M33" s="16"/>
      <c r="N33" s="16"/>
      <c r="O33" s="15" t="str">
        <f aca="false">IF(A33="","",IF(COUNTIF(I33:N33,"No")&gt;0,"No",IF(COUNTIF(I33:N33,"Sí")=6,"Sí","Falta información")))</f>
        <v/>
      </c>
      <c r="P33" s="15" t="str">
        <f aca="false">TRIM(IF(I33="No","R1 ","")&amp;IF(J33="No","R2 ","")&amp;IF(K33="No","R3 ","")&amp;IF(L33="No","R4 ","")&amp;IF(M33="No","R5 ","")&amp;IF(N33="No","R6 ",""))</f>
        <v/>
      </c>
      <c r="Q33" s="16"/>
      <c r="R33" s="16"/>
      <c r="S33" s="16"/>
      <c r="T33" s="16"/>
      <c r="U33" s="16"/>
      <c r="V33" s="16"/>
      <c r="W33" s="16"/>
      <c r="X33" s="16"/>
      <c r="Y33" s="15" t="str">
        <f aca="false">IF(AND(O33="Sí",COUNT(Q33:X33)=8),2*Q33+2*R33+S33+T33+U33+V33+W33+X33,"")</f>
        <v/>
      </c>
      <c r="Z33" s="15" t="str">
        <f aca="false">IF(Y33="","",IF(Y33&gt;=24,"Alta",IF(Y33&gt;=18,"Media","Baja")))</f>
        <v/>
      </c>
      <c r="AA33" s="15" t="str">
        <f aca="false">IF(Y33="","",COUNTIF($AC$7:$AC$56,"&gt;"&amp;AC33)+1)</f>
        <v/>
      </c>
      <c r="AB33" s="17"/>
      <c r="AC33" s="15" t="str">
        <f aca="false">IF(A33="","",IF(Y33&lt;&gt;"",Y33*10000+Q33*100+R33-ROW()/1000,-ROW()))</f>
        <v/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8"/>
      <c r="I34" s="16"/>
      <c r="J34" s="16"/>
      <c r="K34" s="16"/>
      <c r="L34" s="16"/>
      <c r="M34" s="16"/>
      <c r="N34" s="16"/>
      <c r="O34" s="15" t="str">
        <f aca="false">IF(A34="","",IF(COUNTIF(I34:N34,"No")&gt;0,"No",IF(COUNTIF(I34:N34,"Sí")=6,"Sí","Falta información")))</f>
        <v/>
      </c>
      <c r="P34" s="15" t="str">
        <f aca="false">TRIM(IF(I34="No","R1 ","")&amp;IF(J34="No","R2 ","")&amp;IF(K34="No","R3 ","")&amp;IF(L34="No","R4 ","")&amp;IF(M34="No","R5 ","")&amp;IF(N34="No","R6 ",""))</f>
        <v/>
      </c>
      <c r="Q34" s="16"/>
      <c r="R34" s="16"/>
      <c r="S34" s="16"/>
      <c r="T34" s="16"/>
      <c r="U34" s="16"/>
      <c r="V34" s="16"/>
      <c r="W34" s="16"/>
      <c r="X34" s="16"/>
      <c r="Y34" s="15" t="str">
        <f aca="false">IF(AND(O34="Sí",COUNT(Q34:X34)=8),2*Q34+2*R34+S34+T34+U34+V34+W34+X34,"")</f>
        <v/>
      </c>
      <c r="Z34" s="15" t="str">
        <f aca="false">IF(Y34="","",IF(Y34&gt;=24,"Alta",IF(Y34&gt;=18,"Media","Baja")))</f>
        <v/>
      </c>
      <c r="AA34" s="15" t="str">
        <f aca="false">IF(Y34="","",COUNTIF($AC$7:$AC$56,"&gt;"&amp;AC34)+1)</f>
        <v/>
      </c>
      <c r="AB34" s="17"/>
      <c r="AC34" s="15" t="str">
        <f aca="false">IF(A34="","",IF(Y34&lt;&gt;"",Y34*10000+Q34*100+R34-ROW()/1000,-ROW()))</f>
        <v/>
      </c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8"/>
      <c r="I35" s="16"/>
      <c r="J35" s="16"/>
      <c r="K35" s="16"/>
      <c r="L35" s="16"/>
      <c r="M35" s="16"/>
      <c r="N35" s="16"/>
      <c r="O35" s="15" t="str">
        <f aca="false">IF(A35="","",IF(COUNTIF(I35:N35,"No")&gt;0,"No",IF(COUNTIF(I35:N35,"Sí")=6,"Sí","Falta información")))</f>
        <v/>
      </c>
      <c r="P35" s="15" t="str">
        <f aca="false">TRIM(IF(I35="No","R1 ","")&amp;IF(J35="No","R2 ","")&amp;IF(K35="No","R3 ","")&amp;IF(L35="No","R4 ","")&amp;IF(M35="No","R5 ","")&amp;IF(N35="No","R6 ",""))</f>
        <v/>
      </c>
      <c r="Q35" s="16"/>
      <c r="R35" s="16"/>
      <c r="S35" s="16"/>
      <c r="T35" s="16"/>
      <c r="U35" s="16"/>
      <c r="V35" s="16"/>
      <c r="W35" s="16"/>
      <c r="X35" s="16"/>
      <c r="Y35" s="15" t="str">
        <f aca="false">IF(AND(O35="Sí",COUNT(Q35:X35)=8),2*Q35+2*R35+S35+T35+U35+V35+W35+X35,"")</f>
        <v/>
      </c>
      <c r="Z35" s="15" t="str">
        <f aca="false">IF(Y35="","",IF(Y35&gt;=24,"Alta",IF(Y35&gt;=18,"Media","Baja")))</f>
        <v/>
      </c>
      <c r="AA35" s="15" t="str">
        <f aca="false">IF(Y35="","",COUNTIF($AC$7:$AC$56,"&gt;"&amp;AC35)+1)</f>
        <v/>
      </c>
      <c r="AB35" s="17"/>
      <c r="AC35" s="15" t="str">
        <f aca="false">IF(A35="","",IF(Y35&lt;&gt;"",Y35*10000+Q35*100+R35-ROW()/1000,-ROW()))</f>
        <v/>
      </c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8"/>
      <c r="I36" s="16"/>
      <c r="J36" s="16"/>
      <c r="K36" s="16"/>
      <c r="L36" s="16"/>
      <c r="M36" s="16"/>
      <c r="N36" s="16"/>
      <c r="O36" s="15" t="str">
        <f aca="false">IF(A36="","",IF(COUNTIF(I36:N36,"No")&gt;0,"No",IF(COUNTIF(I36:N36,"Sí")=6,"Sí","Falta información")))</f>
        <v/>
      </c>
      <c r="P36" s="15" t="str">
        <f aca="false">TRIM(IF(I36="No","R1 ","")&amp;IF(J36="No","R2 ","")&amp;IF(K36="No","R3 ","")&amp;IF(L36="No","R4 ","")&amp;IF(M36="No","R5 ","")&amp;IF(N36="No","R6 ",""))</f>
        <v/>
      </c>
      <c r="Q36" s="16"/>
      <c r="R36" s="16"/>
      <c r="S36" s="16"/>
      <c r="T36" s="16"/>
      <c r="U36" s="16"/>
      <c r="V36" s="16"/>
      <c r="W36" s="16"/>
      <c r="X36" s="16"/>
      <c r="Y36" s="15" t="str">
        <f aca="false">IF(AND(O36="Sí",COUNT(Q36:X36)=8),2*Q36+2*R36+S36+T36+U36+V36+W36+X36,"")</f>
        <v/>
      </c>
      <c r="Z36" s="15" t="str">
        <f aca="false">IF(Y36="","",IF(Y36&gt;=24,"Alta",IF(Y36&gt;=18,"Media","Baja")))</f>
        <v/>
      </c>
      <c r="AA36" s="15" t="str">
        <f aca="false">IF(Y36="","",COUNTIF($AC$7:$AC$56,"&gt;"&amp;AC36)+1)</f>
        <v/>
      </c>
      <c r="AB36" s="17"/>
      <c r="AC36" s="15" t="str">
        <f aca="false">IF(A36="","",IF(Y36&lt;&gt;"",Y36*10000+Q36*100+R36-ROW()/1000,-ROW()))</f>
        <v/>
      </c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8"/>
      <c r="I37" s="16"/>
      <c r="J37" s="16"/>
      <c r="K37" s="16"/>
      <c r="L37" s="16"/>
      <c r="M37" s="16"/>
      <c r="N37" s="16"/>
      <c r="O37" s="15" t="str">
        <f aca="false">IF(A37="","",IF(COUNTIF(I37:N37,"No")&gt;0,"No",IF(COUNTIF(I37:N37,"Sí")=6,"Sí","Falta información")))</f>
        <v/>
      </c>
      <c r="P37" s="15" t="str">
        <f aca="false">TRIM(IF(I37="No","R1 ","")&amp;IF(J37="No","R2 ","")&amp;IF(K37="No","R3 ","")&amp;IF(L37="No","R4 ","")&amp;IF(M37="No","R5 ","")&amp;IF(N37="No","R6 ",""))</f>
        <v/>
      </c>
      <c r="Q37" s="16"/>
      <c r="R37" s="16"/>
      <c r="S37" s="16"/>
      <c r="T37" s="16"/>
      <c r="U37" s="16"/>
      <c r="V37" s="16"/>
      <c r="W37" s="16"/>
      <c r="X37" s="16"/>
      <c r="Y37" s="15" t="str">
        <f aca="false">IF(AND(O37="Sí",COUNT(Q37:X37)=8),2*Q37+2*R37+S37+T37+U37+V37+W37+X37,"")</f>
        <v/>
      </c>
      <c r="Z37" s="15" t="str">
        <f aca="false">IF(Y37="","",IF(Y37&gt;=24,"Alta",IF(Y37&gt;=18,"Media","Baja")))</f>
        <v/>
      </c>
      <c r="AA37" s="15" t="str">
        <f aca="false">IF(Y37="","",COUNTIF($AC$7:$AC$56,"&gt;"&amp;AC37)+1)</f>
        <v/>
      </c>
      <c r="AB37" s="17"/>
      <c r="AC37" s="15" t="str">
        <f aca="false">IF(A37="","",IF(Y37&lt;&gt;"",Y37*10000+Q37*100+R37-ROW()/1000,-ROW()))</f>
        <v/>
      </c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8"/>
      <c r="I38" s="16"/>
      <c r="J38" s="16"/>
      <c r="K38" s="16"/>
      <c r="L38" s="16"/>
      <c r="M38" s="16"/>
      <c r="N38" s="16"/>
      <c r="O38" s="15" t="str">
        <f aca="false">IF(A38="","",IF(COUNTIF(I38:N38,"No")&gt;0,"No",IF(COUNTIF(I38:N38,"Sí")=6,"Sí","Falta información")))</f>
        <v/>
      </c>
      <c r="P38" s="15" t="str">
        <f aca="false">TRIM(IF(I38="No","R1 ","")&amp;IF(J38="No","R2 ","")&amp;IF(K38="No","R3 ","")&amp;IF(L38="No","R4 ","")&amp;IF(M38="No","R5 ","")&amp;IF(N38="No","R6 ",""))</f>
        <v/>
      </c>
      <c r="Q38" s="16"/>
      <c r="R38" s="16"/>
      <c r="S38" s="16"/>
      <c r="T38" s="16"/>
      <c r="U38" s="16"/>
      <c r="V38" s="16"/>
      <c r="W38" s="16"/>
      <c r="X38" s="16"/>
      <c r="Y38" s="15" t="str">
        <f aca="false">IF(AND(O38="Sí",COUNT(Q38:X38)=8),2*Q38+2*R38+S38+T38+U38+V38+W38+X38,"")</f>
        <v/>
      </c>
      <c r="Z38" s="15" t="str">
        <f aca="false">IF(Y38="","",IF(Y38&gt;=24,"Alta",IF(Y38&gt;=18,"Media","Baja")))</f>
        <v/>
      </c>
      <c r="AA38" s="15" t="str">
        <f aca="false">IF(Y38="","",COUNTIF($AC$7:$AC$56,"&gt;"&amp;AC38)+1)</f>
        <v/>
      </c>
      <c r="AB38" s="17"/>
      <c r="AC38" s="15" t="str">
        <f aca="false">IF(A38="","",IF(Y38&lt;&gt;"",Y38*10000+Q38*100+R38-ROW()/1000,-ROW()))</f>
        <v/>
      </c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8"/>
      <c r="I39" s="16"/>
      <c r="J39" s="16"/>
      <c r="K39" s="16"/>
      <c r="L39" s="16"/>
      <c r="M39" s="16"/>
      <c r="N39" s="16"/>
      <c r="O39" s="15" t="str">
        <f aca="false">IF(A39="","",IF(COUNTIF(I39:N39,"No")&gt;0,"No",IF(COUNTIF(I39:N39,"Sí")=6,"Sí","Falta información")))</f>
        <v/>
      </c>
      <c r="P39" s="15" t="str">
        <f aca="false">TRIM(IF(I39="No","R1 ","")&amp;IF(J39="No","R2 ","")&amp;IF(K39="No","R3 ","")&amp;IF(L39="No","R4 ","")&amp;IF(M39="No","R5 ","")&amp;IF(N39="No","R6 ",""))</f>
        <v/>
      </c>
      <c r="Q39" s="16"/>
      <c r="R39" s="16"/>
      <c r="S39" s="16"/>
      <c r="T39" s="16"/>
      <c r="U39" s="16"/>
      <c r="V39" s="16"/>
      <c r="W39" s="16"/>
      <c r="X39" s="16"/>
      <c r="Y39" s="15" t="str">
        <f aca="false">IF(AND(O39="Sí",COUNT(Q39:X39)=8),2*Q39+2*R39+S39+T39+U39+V39+W39+X39,"")</f>
        <v/>
      </c>
      <c r="Z39" s="15" t="str">
        <f aca="false">IF(Y39="","",IF(Y39&gt;=24,"Alta",IF(Y39&gt;=18,"Media","Baja")))</f>
        <v/>
      </c>
      <c r="AA39" s="15" t="str">
        <f aca="false">IF(Y39="","",COUNTIF($AC$7:$AC$56,"&gt;"&amp;AC39)+1)</f>
        <v/>
      </c>
      <c r="AB39" s="17"/>
      <c r="AC39" s="15" t="str">
        <f aca="false">IF(A39="","",IF(Y39&lt;&gt;"",Y39*10000+Q39*100+R39-ROW()/1000,-ROW()))</f>
        <v/>
      </c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8"/>
      <c r="I40" s="16"/>
      <c r="J40" s="16"/>
      <c r="K40" s="16"/>
      <c r="L40" s="16"/>
      <c r="M40" s="16"/>
      <c r="N40" s="16"/>
      <c r="O40" s="15" t="str">
        <f aca="false">IF(A40="","",IF(COUNTIF(I40:N40,"No")&gt;0,"No",IF(COUNTIF(I40:N40,"Sí")=6,"Sí","Falta información")))</f>
        <v/>
      </c>
      <c r="P40" s="15" t="str">
        <f aca="false">TRIM(IF(I40="No","R1 ","")&amp;IF(J40="No","R2 ","")&amp;IF(K40="No","R3 ","")&amp;IF(L40="No","R4 ","")&amp;IF(M40="No","R5 ","")&amp;IF(N40="No","R6 ",""))</f>
        <v/>
      </c>
      <c r="Q40" s="16"/>
      <c r="R40" s="16"/>
      <c r="S40" s="16"/>
      <c r="T40" s="16"/>
      <c r="U40" s="16"/>
      <c r="V40" s="16"/>
      <c r="W40" s="16"/>
      <c r="X40" s="16"/>
      <c r="Y40" s="15" t="str">
        <f aca="false">IF(AND(O40="Sí",COUNT(Q40:X40)=8),2*Q40+2*R40+S40+T40+U40+V40+W40+X40,"")</f>
        <v/>
      </c>
      <c r="Z40" s="15" t="str">
        <f aca="false">IF(Y40="","",IF(Y40&gt;=24,"Alta",IF(Y40&gt;=18,"Media","Baja")))</f>
        <v/>
      </c>
      <c r="AA40" s="15" t="str">
        <f aca="false">IF(Y40="","",COUNTIF($AC$7:$AC$56,"&gt;"&amp;AC40)+1)</f>
        <v/>
      </c>
      <c r="AB40" s="17"/>
      <c r="AC40" s="15" t="str">
        <f aca="false">IF(A40="","",IF(Y40&lt;&gt;"",Y40*10000+Q40*100+R40-ROW()/1000,-ROW()))</f>
        <v/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8"/>
      <c r="I41" s="16"/>
      <c r="J41" s="16"/>
      <c r="K41" s="16"/>
      <c r="L41" s="16"/>
      <c r="M41" s="16"/>
      <c r="N41" s="16"/>
      <c r="O41" s="15" t="str">
        <f aca="false">IF(A41="","",IF(COUNTIF(I41:N41,"No")&gt;0,"No",IF(COUNTIF(I41:N41,"Sí")=6,"Sí","Falta información")))</f>
        <v/>
      </c>
      <c r="P41" s="15" t="str">
        <f aca="false">TRIM(IF(I41="No","R1 ","")&amp;IF(J41="No","R2 ","")&amp;IF(K41="No","R3 ","")&amp;IF(L41="No","R4 ","")&amp;IF(M41="No","R5 ","")&amp;IF(N41="No","R6 ",""))</f>
        <v/>
      </c>
      <c r="Q41" s="16"/>
      <c r="R41" s="16"/>
      <c r="S41" s="16"/>
      <c r="T41" s="16"/>
      <c r="U41" s="16"/>
      <c r="V41" s="16"/>
      <c r="W41" s="16"/>
      <c r="X41" s="16"/>
      <c r="Y41" s="15" t="str">
        <f aca="false">IF(AND(O41="Sí",COUNT(Q41:X41)=8),2*Q41+2*R41+S41+T41+U41+V41+W41+X41,"")</f>
        <v/>
      </c>
      <c r="Z41" s="15" t="str">
        <f aca="false">IF(Y41="","",IF(Y41&gt;=24,"Alta",IF(Y41&gt;=18,"Media","Baja")))</f>
        <v/>
      </c>
      <c r="AA41" s="15" t="str">
        <f aca="false">IF(Y41="","",COUNTIF($AC$7:$AC$56,"&gt;"&amp;AC41)+1)</f>
        <v/>
      </c>
      <c r="AB41" s="17"/>
      <c r="AC41" s="15" t="str">
        <f aca="false">IF(A41="","",IF(Y41&lt;&gt;"",Y41*10000+Q41*100+R41-ROW()/1000,-ROW()))</f>
        <v/>
      </c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8"/>
      <c r="I42" s="16"/>
      <c r="J42" s="16"/>
      <c r="K42" s="16"/>
      <c r="L42" s="16"/>
      <c r="M42" s="16"/>
      <c r="N42" s="16"/>
      <c r="O42" s="15" t="str">
        <f aca="false">IF(A42="","",IF(COUNTIF(I42:N42,"No")&gt;0,"No",IF(COUNTIF(I42:N42,"Sí")=6,"Sí","Falta información")))</f>
        <v/>
      </c>
      <c r="P42" s="15" t="str">
        <f aca="false">TRIM(IF(I42="No","R1 ","")&amp;IF(J42="No","R2 ","")&amp;IF(K42="No","R3 ","")&amp;IF(L42="No","R4 ","")&amp;IF(M42="No","R5 ","")&amp;IF(N42="No","R6 ",""))</f>
        <v/>
      </c>
      <c r="Q42" s="16"/>
      <c r="R42" s="16"/>
      <c r="S42" s="16"/>
      <c r="T42" s="16"/>
      <c r="U42" s="16"/>
      <c r="V42" s="16"/>
      <c r="W42" s="16"/>
      <c r="X42" s="16"/>
      <c r="Y42" s="15" t="str">
        <f aca="false">IF(AND(O42="Sí",COUNT(Q42:X42)=8),2*Q42+2*R42+S42+T42+U42+V42+W42+X42,"")</f>
        <v/>
      </c>
      <c r="Z42" s="15" t="str">
        <f aca="false">IF(Y42="","",IF(Y42&gt;=24,"Alta",IF(Y42&gt;=18,"Media","Baja")))</f>
        <v/>
      </c>
      <c r="AA42" s="15" t="str">
        <f aca="false">IF(Y42="","",COUNTIF($AC$7:$AC$56,"&gt;"&amp;AC42)+1)</f>
        <v/>
      </c>
      <c r="AB42" s="17"/>
      <c r="AC42" s="15" t="str">
        <f aca="false">IF(A42="","",IF(Y42&lt;&gt;"",Y42*10000+Q42*100+R42-ROW()/1000,-ROW()))</f>
        <v/>
      </c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8"/>
      <c r="I43" s="16"/>
      <c r="J43" s="16"/>
      <c r="K43" s="16"/>
      <c r="L43" s="16"/>
      <c r="M43" s="16"/>
      <c r="N43" s="16"/>
      <c r="O43" s="15" t="str">
        <f aca="false">IF(A43="","",IF(COUNTIF(I43:N43,"No")&gt;0,"No",IF(COUNTIF(I43:N43,"Sí")=6,"Sí","Falta información")))</f>
        <v/>
      </c>
      <c r="P43" s="15" t="str">
        <f aca="false">TRIM(IF(I43="No","R1 ","")&amp;IF(J43="No","R2 ","")&amp;IF(K43="No","R3 ","")&amp;IF(L43="No","R4 ","")&amp;IF(M43="No","R5 ","")&amp;IF(N43="No","R6 ",""))</f>
        <v/>
      </c>
      <c r="Q43" s="16"/>
      <c r="R43" s="16"/>
      <c r="S43" s="16"/>
      <c r="T43" s="16"/>
      <c r="U43" s="16"/>
      <c r="V43" s="16"/>
      <c r="W43" s="16"/>
      <c r="X43" s="16"/>
      <c r="Y43" s="15" t="str">
        <f aca="false">IF(AND(O43="Sí",COUNT(Q43:X43)=8),2*Q43+2*R43+S43+T43+U43+V43+W43+X43,"")</f>
        <v/>
      </c>
      <c r="Z43" s="15" t="str">
        <f aca="false">IF(Y43="","",IF(Y43&gt;=24,"Alta",IF(Y43&gt;=18,"Media","Baja")))</f>
        <v/>
      </c>
      <c r="AA43" s="15" t="str">
        <f aca="false">IF(Y43="","",COUNTIF($AC$7:$AC$56,"&gt;"&amp;AC43)+1)</f>
        <v/>
      </c>
      <c r="AB43" s="17"/>
      <c r="AC43" s="15" t="str">
        <f aca="false">IF(A43="","",IF(Y43&lt;&gt;"",Y43*10000+Q43*100+R43-ROW()/1000,-ROW()))</f>
        <v/>
      </c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8"/>
      <c r="I44" s="16"/>
      <c r="J44" s="16"/>
      <c r="K44" s="16"/>
      <c r="L44" s="16"/>
      <c r="M44" s="16"/>
      <c r="N44" s="16"/>
      <c r="O44" s="15" t="str">
        <f aca="false">IF(A44="","",IF(COUNTIF(I44:N44,"No")&gt;0,"No",IF(COUNTIF(I44:N44,"Sí")=6,"Sí","Falta información")))</f>
        <v/>
      </c>
      <c r="P44" s="15" t="str">
        <f aca="false">TRIM(IF(I44="No","R1 ","")&amp;IF(J44="No","R2 ","")&amp;IF(K44="No","R3 ","")&amp;IF(L44="No","R4 ","")&amp;IF(M44="No","R5 ","")&amp;IF(N44="No","R6 ",""))</f>
        <v/>
      </c>
      <c r="Q44" s="16"/>
      <c r="R44" s="16"/>
      <c r="S44" s="16"/>
      <c r="T44" s="16"/>
      <c r="U44" s="16"/>
      <c r="V44" s="16"/>
      <c r="W44" s="16"/>
      <c r="X44" s="16"/>
      <c r="Y44" s="15" t="str">
        <f aca="false">IF(AND(O44="Sí",COUNT(Q44:X44)=8),2*Q44+2*R44+S44+T44+U44+V44+W44+X44,"")</f>
        <v/>
      </c>
      <c r="Z44" s="15" t="str">
        <f aca="false">IF(Y44="","",IF(Y44&gt;=24,"Alta",IF(Y44&gt;=18,"Media","Baja")))</f>
        <v/>
      </c>
      <c r="AA44" s="15" t="str">
        <f aca="false">IF(Y44="","",COUNTIF($AC$7:$AC$56,"&gt;"&amp;AC44)+1)</f>
        <v/>
      </c>
      <c r="AB44" s="17"/>
      <c r="AC44" s="15" t="str">
        <f aca="false">IF(A44="","",IF(Y44&lt;&gt;"",Y44*10000+Q44*100+R44-ROW()/1000,-ROW()))</f>
        <v/>
      </c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8"/>
      <c r="I45" s="16"/>
      <c r="J45" s="16"/>
      <c r="K45" s="16"/>
      <c r="L45" s="16"/>
      <c r="M45" s="16"/>
      <c r="N45" s="16"/>
      <c r="O45" s="15" t="str">
        <f aca="false">IF(A45="","",IF(COUNTIF(I45:N45,"No")&gt;0,"No",IF(COUNTIF(I45:N45,"Sí")=6,"Sí","Falta información")))</f>
        <v/>
      </c>
      <c r="P45" s="15" t="str">
        <f aca="false">TRIM(IF(I45="No","R1 ","")&amp;IF(J45="No","R2 ","")&amp;IF(K45="No","R3 ","")&amp;IF(L45="No","R4 ","")&amp;IF(M45="No","R5 ","")&amp;IF(N45="No","R6 ",""))</f>
        <v/>
      </c>
      <c r="Q45" s="16"/>
      <c r="R45" s="16"/>
      <c r="S45" s="16"/>
      <c r="T45" s="16"/>
      <c r="U45" s="16"/>
      <c r="V45" s="16"/>
      <c r="W45" s="16"/>
      <c r="X45" s="16"/>
      <c r="Y45" s="15" t="str">
        <f aca="false">IF(AND(O45="Sí",COUNT(Q45:X45)=8),2*Q45+2*R45+S45+T45+U45+V45+W45+X45,"")</f>
        <v/>
      </c>
      <c r="Z45" s="15" t="str">
        <f aca="false">IF(Y45="","",IF(Y45&gt;=24,"Alta",IF(Y45&gt;=18,"Media","Baja")))</f>
        <v/>
      </c>
      <c r="AA45" s="15" t="str">
        <f aca="false">IF(Y45="","",COUNTIF($AC$7:$AC$56,"&gt;"&amp;AC45)+1)</f>
        <v/>
      </c>
      <c r="AB45" s="17"/>
      <c r="AC45" s="15" t="str">
        <f aca="false">IF(A45="","",IF(Y45&lt;&gt;"",Y45*10000+Q45*100+R45-ROW()/1000,-ROW()))</f>
        <v/>
      </c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8"/>
      <c r="I46" s="16"/>
      <c r="J46" s="16"/>
      <c r="K46" s="16"/>
      <c r="L46" s="16"/>
      <c r="M46" s="16"/>
      <c r="N46" s="16"/>
      <c r="O46" s="15" t="str">
        <f aca="false">IF(A46="","",IF(COUNTIF(I46:N46,"No")&gt;0,"No",IF(COUNTIF(I46:N46,"Sí")=6,"Sí","Falta información")))</f>
        <v/>
      </c>
      <c r="P46" s="15" t="str">
        <f aca="false">TRIM(IF(I46="No","R1 ","")&amp;IF(J46="No","R2 ","")&amp;IF(K46="No","R3 ","")&amp;IF(L46="No","R4 ","")&amp;IF(M46="No","R5 ","")&amp;IF(N46="No","R6 ",""))</f>
        <v/>
      </c>
      <c r="Q46" s="16"/>
      <c r="R46" s="16"/>
      <c r="S46" s="16"/>
      <c r="T46" s="16"/>
      <c r="U46" s="16"/>
      <c r="V46" s="16"/>
      <c r="W46" s="16"/>
      <c r="X46" s="16"/>
      <c r="Y46" s="15" t="str">
        <f aca="false">IF(AND(O46="Sí",COUNT(Q46:X46)=8),2*Q46+2*R46+S46+T46+U46+V46+W46+X46,"")</f>
        <v/>
      </c>
      <c r="Z46" s="15" t="str">
        <f aca="false">IF(Y46="","",IF(Y46&gt;=24,"Alta",IF(Y46&gt;=18,"Media","Baja")))</f>
        <v/>
      </c>
      <c r="AA46" s="15" t="str">
        <f aca="false">IF(Y46="","",COUNTIF($AC$7:$AC$56,"&gt;"&amp;AC46)+1)</f>
        <v/>
      </c>
      <c r="AB46" s="17"/>
      <c r="AC46" s="15" t="str">
        <f aca="false">IF(A46="","",IF(Y46&lt;&gt;"",Y46*10000+Q46*100+R46-ROW()/1000,-ROW()))</f>
        <v/>
      </c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8"/>
      <c r="I47" s="16"/>
      <c r="J47" s="16"/>
      <c r="K47" s="16"/>
      <c r="L47" s="16"/>
      <c r="M47" s="16"/>
      <c r="N47" s="16"/>
      <c r="O47" s="15" t="str">
        <f aca="false">IF(A47="","",IF(COUNTIF(I47:N47,"No")&gt;0,"No",IF(COUNTIF(I47:N47,"Sí")=6,"Sí","Falta información")))</f>
        <v/>
      </c>
      <c r="P47" s="15" t="str">
        <f aca="false">TRIM(IF(I47="No","R1 ","")&amp;IF(J47="No","R2 ","")&amp;IF(K47="No","R3 ","")&amp;IF(L47="No","R4 ","")&amp;IF(M47="No","R5 ","")&amp;IF(N47="No","R6 ",""))</f>
        <v/>
      </c>
      <c r="Q47" s="16"/>
      <c r="R47" s="16"/>
      <c r="S47" s="16"/>
      <c r="T47" s="16"/>
      <c r="U47" s="16"/>
      <c r="V47" s="16"/>
      <c r="W47" s="16"/>
      <c r="X47" s="16"/>
      <c r="Y47" s="15" t="str">
        <f aca="false">IF(AND(O47="Sí",COUNT(Q47:X47)=8),2*Q47+2*R47+S47+T47+U47+V47+W47+X47,"")</f>
        <v/>
      </c>
      <c r="Z47" s="15" t="str">
        <f aca="false">IF(Y47="","",IF(Y47&gt;=24,"Alta",IF(Y47&gt;=18,"Media","Baja")))</f>
        <v/>
      </c>
      <c r="AA47" s="15" t="str">
        <f aca="false">IF(Y47="","",COUNTIF($AC$7:$AC$56,"&gt;"&amp;AC47)+1)</f>
        <v/>
      </c>
      <c r="AB47" s="17"/>
      <c r="AC47" s="15" t="str">
        <f aca="false">IF(A47="","",IF(Y47&lt;&gt;"",Y47*10000+Q47*100+R47-ROW()/1000,-ROW()))</f>
        <v/>
      </c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8"/>
      <c r="I48" s="16"/>
      <c r="J48" s="16"/>
      <c r="K48" s="16"/>
      <c r="L48" s="16"/>
      <c r="M48" s="16"/>
      <c r="N48" s="16"/>
      <c r="O48" s="15" t="str">
        <f aca="false">IF(A48="","",IF(COUNTIF(I48:N48,"No")&gt;0,"No",IF(COUNTIF(I48:N48,"Sí")=6,"Sí","Falta información")))</f>
        <v/>
      </c>
      <c r="P48" s="15" t="str">
        <f aca="false">TRIM(IF(I48="No","R1 ","")&amp;IF(J48="No","R2 ","")&amp;IF(K48="No","R3 ","")&amp;IF(L48="No","R4 ","")&amp;IF(M48="No","R5 ","")&amp;IF(N48="No","R6 ",""))</f>
        <v/>
      </c>
      <c r="Q48" s="16"/>
      <c r="R48" s="16"/>
      <c r="S48" s="16"/>
      <c r="T48" s="16"/>
      <c r="U48" s="16"/>
      <c r="V48" s="16"/>
      <c r="W48" s="16"/>
      <c r="X48" s="16"/>
      <c r="Y48" s="15" t="str">
        <f aca="false">IF(AND(O48="Sí",COUNT(Q48:X48)=8),2*Q48+2*R48+S48+T48+U48+V48+W48+X48,"")</f>
        <v/>
      </c>
      <c r="Z48" s="15" t="str">
        <f aca="false">IF(Y48="","",IF(Y48&gt;=24,"Alta",IF(Y48&gt;=18,"Media","Baja")))</f>
        <v/>
      </c>
      <c r="AA48" s="15" t="str">
        <f aca="false">IF(Y48="","",COUNTIF($AC$7:$AC$56,"&gt;"&amp;AC48)+1)</f>
        <v/>
      </c>
      <c r="AB48" s="17"/>
      <c r="AC48" s="15" t="str">
        <f aca="false">IF(A48="","",IF(Y48&lt;&gt;"",Y48*10000+Q48*100+R48-ROW()/1000,-ROW()))</f>
        <v/>
      </c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8"/>
      <c r="I49" s="16"/>
      <c r="J49" s="16"/>
      <c r="K49" s="16"/>
      <c r="L49" s="16"/>
      <c r="M49" s="16"/>
      <c r="N49" s="16"/>
      <c r="O49" s="15" t="str">
        <f aca="false">IF(A49="","",IF(COUNTIF(I49:N49,"No")&gt;0,"No",IF(COUNTIF(I49:N49,"Sí")=6,"Sí","Falta información")))</f>
        <v/>
      </c>
      <c r="P49" s="15" t="str">
        <f aca="false">TRIM(IF(I49="No","R1 ","")&amp;IF(J49="No","R2 ","")&amp;IF(K49="No","R3 ","")&amp;IF(L49="No","R4 ","")&amp;IF(M49="No","R5 ","")&amp;IF(N49="No","R6 ",""))</f>
        <v/>
      </c>
      <c r="Q49" s="16"/>
      <c r="R49" s="16"/>
      <c r="S49" s="16"/>
      <c r="T49" s="16"/>
      <c r="U49" s="16"/>
      <c r="V49" s="16"/>
      <c r="W49" s="16"/>
      <c r="X49" s="16"/>
      <c r="Y49" s="15" t="str">
        <f aca="false">IF(AND(O49="Sí",COUNT(Q49:X49)=8),2*Q49+2*R49+S49+T49+U49+V49+W49+X49,"")</f>
        <v/>
      </c>
      <c r="Z49" s="15" t="str">
        <f aca="false">IF(Y49="","",IF(Y49&gt;=24,"Alta",IF(Y49&gt;=18,"Media","Baja")))</f>
        <v/>
      </c>
      <c r="AA49" s="15" t="str">
        <f aca="false">IF(Y49="","",COUNTIF($AC$7:$AC$56,"&gt;"&amp;AC49)+1)</f>
        <v/>
      </c>
      <c r="AB49" s="17"/>
      <c r="AC49" s="15" t="str">
        <f aca="false">IF(A49="","",IF(Y49&lt;&gt;"",Y49*10000+Q49*100+R49-ROW()/1000,-ROW()))</f>
        <v/>
      </c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8"/>
      <c r="I50" s="16"/>
      <c r="J50" s="16"/>
      <c r="K50" s="16"/>
      <c r="L50" s="16"/>
      <c r="M50" s="16"/>
      <c r="N50" s="16"/>
      <c r="O50" s="15" t="str">
        <f aca="false">IF(A50="","",IF(COUNTIF(I50:N50,"No")&gt;0,"No",IF(COUNTIF(I50:N50,"Sí")=6,"Sí","Falta información")))</f>
        <v/>
      </c>
      <c r="P50" s="15" t="str">
        <f aca="false">TRIM(IF(I50="No","R1 ","")&amp;IF(J50="No","R2 ","")&amp;IF(K50="No","R3 ","")&amp;IF(L50="No","R4 ","")&amp;IF(M50="No","R5 ","")&amp;IF(N50="No","R6 ",""))</f>
        <v/>
      </c>
      <c r="Q50" s="16"/>
      <c r="R50" s="16"/>
      <c r="S50" s="16"/>
      <c r="T50" s="16"/>
      <c r="U50" s="16"/>
      <c r="V50" s="16"/>
      <c r="W50" s="16"/>
      <c r="X50" s="16"/>
      <c r="Y50" s="15" t="str">
        <f aca="false">IF(AND(O50="Sí",COUNT(Q50:X50)=8),2*Q50+2*R50+S50+T50+U50+V50+W50+X50,"")</f>
        <v/>
      </c>
      <c r="Z50" s="15" t="str">
        <f aca="false">IF(Y50="","",IF(Y50&gt;=24,"Alta",IF(Y50&gt;=18,"Media","Baja")))</f>
        <v/>
      </c>
      <c r="AA50" s="15" t="str">
        <f aca="false">IF(Y50="","",COUNTIF($AC$7:$AC$56,"&gt;"&amp;AC50)+1)</f>
        <v/>
      </c>
      <c r="AB50" s="17"/>
      <c r="AC50" s="15" t="str">
        <f aca="false">IF(A50="","",IF(Y50&lt;&gt;"",Y50*10000+Q50*100+R50-ROW()/1000,-ROW()))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8"/>
      <c r="I51" s="16"/>
      <c r="J51" s="16"/>
      <c r="K51" s="16"/>
      <c r="L51" s="16"/>
      <c r="M51" s="16"/>
      <c r="N51" s="16"/>
      <c r="O51" s="15" t="str">
        <f aca="false">IF(A51="","",IF(COUNTIF(I51:N51,"No")&gt;0,"No",IF(COUNTIF(I51:N51,"Sí")=6,"Sí","Falta información")))</f>
        <v/>
      </c>
      <c r="P51" s="15" t="str">
        <f aca="false">TRIM(IF(I51="No","R1 ","")&amp;IF(J51="No","R2 ","")&amp;IF(K51="No","R3 ","")&amp;IF(L51="No","R4 ","")&amp;IF(M51="No","R5 ","")&amp;IF(N51="No","R6 ",""))</f>
        <v/>
      </c>
      <c r="Q51" s="16"/>
      <c r="R51" s="16"/>
      <c r="S51" s="16"/>
      <c r="T51" s="16"/>
      <c r="U51" s="16"/>
      <c r="V51" s="16"/>
      <c r="W51" s="16"/>
      <c r="X51" s="16"/>
      <c r="Y51" s="15" t="str">
        <f aca="false">IF(AND(O51="Sí",COUNT(Q51:X51)=8),2*Q51+2*R51+S51+T51+U51+V51+W51+X51,"")</f>
        <v/>
      </c>
      <c r="Z51" s="15" t="str">
        <f aca="false">IF(Y51="","",IF(Y51&gt;=24,"Alta",IF(Y51&gt;=18,"Media","Baja")))</f>
        <v/>
      </c>
      <c r="AA51" s="15" t="str">
        <f aca="false">IF(Y51="","",COUNTIF($AC$7:$AC$56,"&gt;"&amp;AC51)+1)</f>
        <v/>
      </c>
      <c r="AB51" s="17"/>
      <c r="AC51" s="15" t="str">
        <f aca="false">IF(A51="","",IF(Y51&lt;&gt;"",Y51*10000+Q51*100+R51-ROW()/1000,-ROW()))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8"/>
      <c r="I52" s="16"/>
      <c r="J52" s="16"/>
      <c r="K52" s="16"/>
      <c r="L52" s="16"/>
      <c r="M52" s="16"/>
      <c r="N52" s="16"/>
      <c r="O52" s="15" t="str">
        <f aca="false">IF(A52="","",IF(COUNTIF(I52:N52,"No")&gt;0,"No",IF(COUNTIF(I52:N52,"Sí")=6,"Sí","Falta información")))</f>
        <v/>
      </c>
      <c r="P52" s="15" t="str">
        <f aca="false">TRIM(IF(I52="No","R1 ","")&amp;IF(J52="No","R2 ","")&amp;IF(K52="No","R3 ","")&amp;IF(L52="No","R4 ","")&amp;IF(M52="No","R5 ","")&amp;IF(N52="No","R6 ",""))</f>
        <v/>
      </c>
      <c r="Q52" s="16"/>
      <c r="R52" s="16"/>
      <c r="S52" s="16"/>
      <c r="T52" s="16"/>
      <c r="U52" s="16"/>
      <c r="V52" s="16"/>
      <c r="W52" s="16"/>
      <c r="X52" s="16"/>
      <c r="Y52" s="15" t="str">
        <f aca="false">IF(AND(O52="Sí",COUNT(Q52:X52)=8),2*Q52+2*R52+S52+T52+U52+V52+W52+X52,"")</f>
        <v/>
      </c>
      <c r="Z52" s="15" t="str">
        <f aca="false">IF(Y52="","",IF(Y52&gt;=24,"Alta",IF(Y52&gt;=18,"Media","Baja")))</f>
        <v/>
      </c>
      <c r="AA52" s="15" t="str">
        <f aca="false">IF(Y52="","",COUNTIF($AC$7:$AC$56,"&gt;"&amp;AC52)+1)</f>
        <v/>
      </c>
      <c r="AB52" s="17"/>
      <c r="AC52" s="15" t="str">
        <f aca="false">IF(A52="","",IF(Y52&lt;&gt;"",Y52*10000+Q52*100+R52-ROW()/1000,-ROW()))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8"/>
      <c r="I53" s="16"/>
      <c r="J53" s="16"/>
      <c r="K53" s="16"/>
      <c r="L53" s="16"/>
      <c r="M53" s="16"/>
      <c r="N53" s="16"/>
      <c r="O53" s="15" t="str">
        <f aca="false">IF(A53="","",IF(COUNTIF(I53:N53,"No")&gt;0,"No",IF(COUNTIF(I53:N53,"Sí")=6,"Sí","Falta información")))</f>
        <v/>
      </c>
      <c r="P53" s="15" t="str">
        <f aca="false">TRIM(IF(I53="No","R1 ","")&amp;IF(J53="No","R2 ","")&amp;IF(K53="No","R3 ","")&amp;IF(L53="No","R4 ","")&amp;IF(M53="No","R5 ","")&amp;IF(N53="No","R6 ",""))</f>
        <v/>
      </c>
      <c r="Q53" s="16"/>
      <c r="R53" s="16"/>
      <c r="S53" s="16"/>
      <c r="T53" s="16"/>
      <c r="U53" s="16"/>
      <c r="V53" s="16"/>
      <c r="W53" s="16"/>
      <c r="X53" s="16"/>
      <c r="Y53" s="15" t="str">
        <f aca="false">IF(AND(O53="Sí",COUNT(Q53:X53)=8),2*Q53+2*R53+S53+T53+U53+V53+W53+X53,"")</f>
        <v/>
      </c>
      <c r="Z53" s="15" t="str">
        <f aca="false">IF(Y53="","",IF(Y53&gt;=24,"Alta",IF(Y53&gt;=18,"Media","Baja")))</f>
        <v/>
      </c>
      <c r="AA53" s="15" t="str">
        <f aca="false">IF(Y53="","",COUNTIF($AC$7:$AC$56,"&gt;"&amp;AC53)+1)</f>
        <v/>
      </c>
      <c r="AB53" s="17"/>
      <c r="AC53" s="15" t="str">
        <f aca="false">IF(A53="","",IF(Y53&lt;&gt;"",Y53*10000+Q53*100+R53-ROW()/1000,-ROW()))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8"/>
      <c r="I54" s="16"/>
      <c r="J54" s="16"/>
      <c r="K54" s="16"/>
      <c r="L54" s="16"/>
      <c r="M54" s="16"/>
      <c r="N54" s="16"/>
      <c r="O54" s="15" t="str">
        <f aca="false">IF(A54="","",IF(COUNTIF(I54:N54,"No")&gt;0,"No",IF(COUNTIF(I54:N54,"Sí")=6,"Sí","Falta información")))</f>
        <v/>
      </c>
      <c r="P54" s="15" t="str">
        <f aca="false">TRIM(IF(I54="No","R1 ","")&amp;IF(J54="No","R2 ","")&amp;IF(K54="No","R3 ","")&amp;IF(L54="No","R4 ","")&amp;IF(M54="No","R5 ","")&amp;IF(N54="No","R6 ",""))</f>
        <v/>
      </c>
      <c r="Q54" s="16"/>
      <c r="R54" s="16"/>
      <c r="S54" s="16"/>
      <c r="T54" s="16"/>
      <c r="U54" s="16"/>
      <c r="V54" s="16"/>
      <c r="W54" s="16"/>
      <c r="X54" s="16"/>
      <c r="Y54" s="15" t="str">
        <f aca="false">IF(AND(O54="Sí",COUNT(Q54:X54)=8),2*Q54+2*R54+S54+T54+U54+V54+W54+X54,"")</f>
        <v/>
      </c>
      <c r="Z54" s="15" t="str">
        <f aca="false">IF(Y54="","",IF(Y54&gt;=24,"Alta",IF(Y54&gt;=18,"Media","Baja")))</f>
        <v/>
      </c>
      <c r="AA54" s="15" t="str">
        <f aca="false">IF(Y54="","",COUNTIF($AC$7:$AC$56,"&gt;"&amp;AC54)+1)</f>
        <v/>
      </c>
      <c r="AB54" s="17"/>
      <c r="AC54" s="15" t="str">
        <f aca="false">IF(A54="","",IF(Y54&lt;&gt;"",Y54*10000+Q54*100+R54-ROW()/1000,-ROW()))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8"/>
      <c r="I55" s="16"/>
      <c r="J55" s="16"/>
      <c r="K55" s="16"/>
      <c r="L55" s="16"/>
      <c r="M55" s="16"/>
      <c r="N55" s="16"/>
      <c r="O55" s="15" t="str">
        <f aca="false">IF(A55="","",IF(COUNTIF(I55:N55,"No")&gt;0,"No",IF(COUNTIF(I55:N55,"Sí")=6,"Sí","Falta información")))</f>
        <v/>
      </c>
      <c r="P55" s="15" t="str">
        <f aca="false">TRIM(IF(I55="No","R1 ","")&amp;IF(J55="No","R2 ","")&amp;IF(K55="No","R3 ","")&amp;IF(L55="No","R4 ","")&amp;IF(M55="No","R5 ","")&amp;IF(N55="No","R6 ",""))</f>
        <v/>
      </c>
      <c r="Q55" s="16"/>
      <c r="R55" s="16"/>
      <c r="S55" s="16"/>
      <c r="T55" s="16"/>
      <c r="U55" s="16"/>
      <c r="V55" s="16"/>
      <c r="W55" s="16"/>
      <c r="X55" s="16"/>
      <c r="Y55" s="15" t="str">
        <f aca="false">IF(AND(O55="Sí",COUNT(Q55:X55)=8),2*Q55+2*R55+S55+T55+U55+V55+W55+X55,"")</f>
        <v/>
      </c>
      <c r="Z55" s="15" t="str">
        <f aca="false">IF(Y55="","",IF(Y55&gt;=24,"Alta",IF(Y55&gt;=18,"Media","Baja")))</f>
        <v/>
      </c>
      <c r="AA55" s="15" t="str">
        <f aca="false">IF(Y55="","",COUNTIF($AC$7:$AC$56,"&gt;"&amp;AC55)+1)</f>
        <v/>
      </c>
      <c r="AB55" s="17"/>
      <c r="AC55" s="15" t="str">
        <f aca="false">IF(A55="","",IF(Y55&lt;&gt;"",Y55*10000+Q55*100+R55-ROW()/1000,-ROW()))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8"/>
      <c r="I56" s="16"/>
      <c r="J56" s="16"/>
      <c r="K56" s="16"/>
      <c r="L56" s="16"/>
      <c r="M56" s="16"/>
      <c r="N56" s="16"/>
      <c r="O56" s="15" t="str">
        <f aca="false">IF(A56="","",IF(COUNTIF(I56:N56,"No")&gt;0,"No",IF(COUNTIF(I56:N56,"Sí")=6,"Sí","Falta información")))</f>
        <v/>
      </c>
      <c r="P56" s="15" t="str">
        <f aca="false">TRIM(IF(I56="No","R1 ","")&amp;IF(J56="No","R2 ","")&amp;IF(K56="No","R3 ","")&amp;IF(L56="No","R4 ","")&amp;IF(M56="No","R5 ","")&amp;IF(N56="No","R6 ",""))</f>
        <v/>
      </c>
      <c r="Q56" s="16"/>
      <c r="R56" s="16"/>
      <c r="S56" s="16"/>
      <c r="T56" s="16"/>
      <c r="U56" s="16"/>
      <c r="V56" s="16"/>
      <c r="W56" s="16"/>
      <c r="X56" s="16"/>
      <c r="Y56" s="15" t="str">
        <f aca="false">IF(AND(O56="Sí",COUNT(Q56:X56)=8),2*Q56+2*R56+S56+T56+U56+V56+W56+X56,"")</f>
        <v/>
      </c>
      <c r="Z56" s="15" t="str">
        <f aca="false">IF(Y56="","",IF(Y56&gt;=24,"Alta",IF(Y56&gt;=18,"Media","Baja")))</f>
        <v/>
      </c>
      <c r="AA56" s="15" t="str">
        <f aca="false">IF(Y56="","",COUNTIF($AC$7:$AC$56,"&gt;"&amp;AC56)+1)</f>
        <v/>
      </c>
      <c r="AB56" s="17"/>
      <c r="AC56" s="15" t="str">
        <f aca="false">IF(A56="","",IF(Y56&lt;&gt;"",Y56*10000+Q56*100+R56-ROW()/1000,-ROW()))</f>
        <v/>
      </c>
    </row>
  </sheetData>
  <mergeCells count="2">
    <mergeCell ref="I4:P4"/>
    <mergeCell ref="Q4:Z4"/>
  </mergeCells>
  <conditionalFormatting sqref="O7:O56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"Falta información"</formula>
    </cfRule>
  </conditionalFormatting>
  <conditionalFormatting sqref="Z7:Z56">
    <cfRule type="cellIs" priority="5" operator="equal" aboveAverage="0" equalAverage="0" bottom="0" percent="0" rank="0" text="" dxfId="0">
      <formula>"Alta"</formula>
    </cfRule>
    <cfRule type="cellIs" priority="6" operator="equal" aboveAverage="0" equalAverage="0" bottom="0" percent="0" rank="0" text="" dxfId="2">
      <formula>"Media"</formula>
    </cfRule>
    <cfRule type="cellIs" priority="7" operator="equal" aboveAverage="0" equalAverage="0" bottom="0" percent="0" rank="0" text="" dxfId="3">
      <formula>"Baja"</formula>
    </cfRule>
  </conditionalFormatting>
  <dataValidations count="6">
    <dataValidation allowBlank="true" errorStyle="stop" operator="between" showDropDown="false" showErrorMessage="false" showInputMessage="false" sqref="I7:N56" type="list">
      <formula1>"Sí,No"</formula1>
      <formula2>0</formula2>
    </dataValidation>
    <dataValidation allowBlank="true" errorStyle="stop" operator="between" showDropDown="false" showErrorMessage="false" showInputMessage="false" sqref="Q7:X56" type="list">
      <formula1>"1,2,3"</formula1>
      <formula2>0</formula2>
    </dataValidation>
    <dataValidation allowBlank="true" errorStyle="stop" operator="between" showDropDown="false" showErrorMessage="false" showInputMessage="false" sqref="G7:G56" type="list">
      <formula1>Guía!$A$42:$A$57</formula1>
      <formula2>0</formula2>
    </dataValidation>
    <dataValidation allowBlank="true" errorStyle="stop" operator="between" showDropDown="false" showErrorMessage="false" showInputMessage="false" sqref="D7:D56" type="list">
      <formula1>Guía!$A$62:$A$68</formula1>
      <formula2>0</formula2>
    </dataValidation>
    <dataValidation allowBlank="true" errorStyle="stop" operator="between" showDropDown="false" showErrorMessage="false" showInputMessage="false" sqref="E7:E56" type="list">
      <formula1>Guía!$B$62:$B$68</formula1>
      <formula2>0</formula2>
    </dataValidation>
    <dataValidation allowBlank="true" errorStyle="stop" operator="between" showDropDown="false" showErrorMessage="false" showInputMessage="false" sqref="F7:F56" type="list">
      <formula1>Guía!$C$62:$C$68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true" outlineLevel="0" max="11" min="11" style="0" width="13"/>
  </cols>
  <sheetData>
    <row r="1" customFormat="false" ht="18.5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15" hidden="false" customHeight="false" outlineLevel="0" collapsed="false">
      <c r="A4" s="4" t="s">
        <v>255</v>
      </c>
      <c r="C4" s="19" t="n">
        <f aca="false">COUNTIF(Evaluación!$A$7:$A$56,"?*")</f>
        <v>4</v>
      </c>
    </row>
    <row r="5" customFormat="false" ht="15" hidden="false" customHeight="false" outlineLevel="0" collapsed="false">
      <c r="A5" s="4" t="s">
        <v>256</v>
      </c>
      <c r="C5" s="19" t="n">
        <f aca="false">COUNTIF(Evaluación!$O$7:$O$56,"Sí")</f>
        <v>3</v>
      </c>
    </row>
    <row r="6" customFormat="false" ht="15" hidden="false" customHeight="false" outlineLevel="0" collapsed="false">
      <c r="A6" s="4" t="s">
        <v>257</v>
      </c>
      <c r="C6" s="19" t="n">
        <f aca="false">COUNTIF(Evaluación!$O$7:$O$56,"No")</f>
        <v>1</v>
      </c>
    </row>
    <row r="7" customFormat="false" ht="15" hidden="false" customHeight="false" outlineLevel="0" collapsed="false">
      <c r="A7" s="4" t="s">
        <v>258</v>
      </c>
      <c r="C7" s="19" t="n">
        <f aca="false">COUNTIF(Evaluación!$O$7:$O$56,"Falta información")</f>
        <v>0</v>
      </c>
    </row>
    <row r="8" customFormat="false" ht="15" hidden="false" customHeight="false" outlineLevel="0" collapsed="false">
      <c r="A8" s="4" t="s">
        <v>259</v>
      </c>
      <c r="C8" s="19" t="n">
        <f aca="false">COUNTIF(Evaluación!$Z$7:$Z$56,"Alta")</f>
        <v>1</v>
      </c>
    </row>
    <row r="9" customFormat="false" ht="15" hidden="false" customHeight="false" outlineLevel="0" collapsed="false">
      <c r="A9" s="4" t="s">
        <v>260</v>
      </c>
      <c r="C9" s="19" t="n">
        <f aca="false">COUNTIF(Evaluación!$Z$7:$Z$56,"Media")</f>
        <v>1</v>
      </c>
    </row>
    <row r="10" customFormat="false" ht="15" hidden="false" customHeight="false" outlineLevel="0" collapsed="false">
      <c r="A10" s="4" t="s">
        <v>261</v>
      </c>
      <c r="C10" s="19" t="n">
        <f aca="false">COUNTIF(Evaluación!$Z$7:$Z$56,"Baja")</f>
        <v>1</v>
      </c>
    </row>
    <row r="11" customFormat="false" ht="15" hidden="false" customHeight="false" outlineLevel="0" collapsed="false">
      <c r="A11" s="4" t="s">
        <v>262</v>
      </c>
      <c r="C11" s="20" t="n">
        <f aca="false">SUMIF(Evaluación!$Z$7:$Z$56,"Alta",Evaluación!$H$7:$H$56)</f>
        <v>2500000</v>
      </c>
    </row>
    <row r="14" customFormat="false" ht="26.85" hidden="false" customHeight="false" outlineLevel="0" collapsed="false">
      <c r="A14" s="5" t="s">
        <v>232</v>
      </c>
      <c r="B14" s="5" t="s">
        <v>211</v>
      </c>
      <c r="C14" s="5" t="s">
        <v>212</v>
      </c>
      <c r="D14" s="5" t="s">
        <v>263</v>
      </c>
      <c r="E14" s="5" t="s">
        <v>113</v>
      </c>
      <c r="F14" s="5" t="s">
        <v>264</v>
      </c>
      <c r="G14" s="5" t="s">
        <v>98</v>
      </c>
      <c r="H14" s="5" t="s">
        <v>97</v>
      </c>
      <c r="I14" s="5" t="s">
        <v>221</v>
      </c>
      <c r="J14" s="5" t="s">
        <v>265</v>
      </c>
      <c r="K14" s="5" t="s">
        <v>266</v>
      </c>
    </row>
    <row r="15" customFormat="false" ht="15" hidden="false" customHeight="false" outlineLevel="0" collapsed="false">
      <c r="A15" s="15" t="n">
        <f aca="false">IF(K15="","",IF(INDEX(Evaluación!$AA$7:$AA$56,K15)="","—",INDEX(Evaluación!$AA$7:$AA$56,K15)))</f>
        <v>1</v>
      </c>
      <c r="B15" s="15" t="str">
        <f aca="false">IF($K15="","",IF(INDEX(Evaluación!$B$7:$B$56,$K15)="","",INDEX(Evaluación!$B$7:$B$56,$K15)))</f>
        <v>Restauración de manglar en laguna costera (ejemplo)</v>
      </c>
      <c r="C15" s="15" t="str">
        <f aca="false">IF($K15="","",IF(INDEX(Evaluación!$C$7:$C$56,$K15)="","",INDEX(Evaluación!$C$7:$C$56,$K15)))</f>
        <v>OSC local (ejemplo)</v>
      </c>
      <c r="D15" s="15" t="str">
        <f aca="false">IF($K15="","",IF(INDEX(Evaluación!$D$7:$D$56,$K15)="","",INDEX(Evaluación!$D$7:$D$56,$K15)))</f>
        <v>Sociedad civil (OSC)</v>
      </c>
      <c r="E15" s="15" t="str">
        <f aca="false">IF($K15="","",IF(INDEX(Evaluación!$G$7:$G$56,$K15)="","",INDEX(Evaluación!$G$7:$G$56,$K15)))</f>
        <v>IV</v>
      </c>
      <c r="F15" s="21" t="n">
        <f aca="false">IF($K15="","",IF(INDEX(Evaluación!$H$7:$H$56,$K15)="","",INDEX(Evaluación!$H$7:$H$56,$K15)))</f>
        <v>2500000</v>
      </c>
      <c r="G15" s="15" t="n">
        <f aca="false">IF($K15="","",IF(INDEX(Evaluación!$Y$7:$Y$56,$K15)="","",INDEX(Evaluación!$Y$7:$Y$56,$K15)))</f>
        <v>27</v>
      </c>
      <c r="H15" s="15" t="str">
        <f aca="false">IF($K15="","",IF(INDEX(Evaluación!$Z$7:$Z$56,$K15)="","",INDEX(Evaluación!$Z$7:$Z$56,$K15)))</f>
        <v>Alta</v>
      </c>
      <c r="I15" s="15" t="str">
        <f aca="false">IF($K15="","",IF(INDEX(Evaluación!$O$7:$O$56,$K15)="","",INDEX(Evaluación!$O$7:$O$56,$K15)))</f>
        <v>Sí</v>
      </c>
      <c r="J15" s="15" t="str">
        <f aca="false">IF($K15="","",IF(INDEX(Evaluación!$P$7:$P$56,$K15)="","",INDEX(Evaluación!$P$7:$P$56,$K15)))</f>
        <v/>
      </c>
      <c r="K15" s="22" t="n">
        <f aca="false">IFERROR(MATCH(LARGE(Evaluación!$AC$7:$AC$56,1),Evaluación!$AC$7:$AC$56,0),"")</f>
        <v>1</v>
      </c>
    </row>
    <row r="16" customFormat="false" ht="15" hidden="false" customHeight="false" outlineLevel="0" collapsed="false">
      <c r="A16" s="15" t="n">
        <f aca="false">IF(K16="","",IF(INDEX(Evaluación!$AA$7:$AA$56,K16)="","—",INDEX(Evaluación!$AA$7:$AA$56,K16)))</f>
        <v>2</v>
      </c>
      <c r="B16" s="15" t="str">
        <f aca="false">IF($K16="","",IF(INDEX(Evaluación!$B$7:$B$56,$K16)="","",INDEX(Evaluación!$B$7:$B$56,$K16)))</f>
        <v>Paneles solares en escuelas rurales (ejemplo)</v>
      </c>
      <c r="C16" s="15" t="str">
        <f aca="false">IF($K16="","",IF(INDEX(Evaluación!$C$7:$C$56,$K16)="","",INDEX(Evaluación!$C$7:$C$56,$K16)))</f>
        <v>Secretaría estatal (ejemplo)</v>
      </c>
      <c r="D16" s="15" t="str">
        <f aca="false">IF($K16="","",IF(INDEX(Evaluación!$D$7:$D$56,$K16)="","",INDEX(Evaluación!$D$7:$D$56,$K16)))</f>
        <v>Gobierno del Estado (dependencia u órgano desconcentrado)</v>
      </c>
      <c r="E16" s="15" t="str">
        <f aca="false">IF($K16="","",IF(INDEX(Evaluación!$G$7:$G$56,$K16)="","",INDEX(Evaluación!$G$7:$G$56,$K16)))</f>
        <v>VI</v>
      </c>
      <c r="F16" s="21" t="n">
        <f aca="false">IF($K16="","",IF(INDEX(Evaluación!$H$7:$H$56,$K16)="","",INDEX(Evaluación!$H$7:$H$56,$K16)))</f>
        <v>4000000</v>
      </c>
      <c r="G16" s="15" t="n">
        <f aca="false">IF($K16="","",IF(INDEX(Evaluación!$Y$7:$Y$56,$K16)="","",INDEX(Evaluación!$Y$7:$Y$56,$K16)))</f>
        <v>22</v>
      </c>
      <c r="H16" s="15" t="str">
        <f aca="false">IF($K16="","",IF(INDEX(Evaluación!$Z$7:$Z$56,$K16)="","",INDEX(Evaluación!$Z$7:$Z$56,$K16)))</f>
        <v>Media</v>
      </c>
      <c r="I16" s="15" t="str">
        <f aca="false">IF($K16="","",IF(INDEX(Evaluación!$O$7:$O$56,$K16)="","",INDEX(Evaluación!$O$7:$O$56,$K16)))</f>
        <v>Sí</v>
      </c>
      <c r="J16" s="15" t="str">
        <f aca="false">IF($K16="","",IF(INDEX(Evaluación!$P$7:$P$56,$K16)="","",INDEX(Evaluación!$P$7:$P$56,$K16)))</f>
        <v/>
      </c>
      <c r="K16" s="22" t="n">
        <f aca="false">IFERROR(MATCH(LARGE(Evaluación!$AC$7:$AC$56,2),Evaluación!$AC$7:$AC$56,0),"")</f>
        <v>2</v>
      </c>
    </row>
    <row r="17" customFormat="false" ht="15" hidden="false" customHeight="false" outlineLevel="0" collapsed="false">
      <c r="A17" s="15" t="n">
        <f aca="false">IF(K17="","",IF(INDEX(Evaluación!$AA$7:$AA$56,K17)="","—",INDEX(Evaluación!$AA$7:$AA$56,K17)))</f>
        <v>3</v>
      </c>
      <c r="B17" s="15" t="str">
        <f aca="false">IF($K17="","",IF(INDEX(Evaluación!$B$7:$B$56,$K17)="","",INDEX(Evaluación!$B$7:$B$56,$K17)))</f>
        <v>Planta municipal de composta (ejemplo)</v>
      </c>
      <c r="C17" s="15" t="str">
        <f aca="false">IF($K17="","",IF(INDEX(Evaluación!$C$7:$C$56,$K17)="","",INDEX(Evaluación!$C$7:$C$56,$K17)))</f>
        <v>Ayuntamiento (ejemplo)</v>
      </c>
      <c r="D17" s="15" t="str">
        <f aca="false">IF($K17="","",IF(INDEX(Evaluación!$D$7:$D$56,$K17)="","",INDEX(Evaluación!$D$7:$D$56,$K17)))</f>
        <v>Municipio</v>
      </c>
      <c r="E17" s="15" t="str">
        <f aca="false">IF($K17="","",IF(INDEX(Evaluación!$G$7:$G$56,$K17)="","",INDEX(Evaluación!$G$7:$G$56,$K17)))</f>
        <v>IX</v>
      </c>
      <c r="F17" s="21" t="n">
        <f aca="false">IF($K17="","",IF(INDEX(Evaluación!$H$7:$H$56,$K17)="","",INDEX(Evaluación!$H$7:$H$56,$K17)))</f>
        <v>3000000</v>
      </c>
      <c r="G17" s="15" t="n">
        <f aca="false">IF($K17="","",IF(INDEX(Evaluación!$Y$7:$Y$56,$K17)="","",INDEX(Evaluación!$Y$7:$Y$56,$K17)))</f>
        <v>17</v>
      </c>
      <c r="H17" s="15" t="str">
        <f aca="false">IF($K17="","",IF(INDEX(Evaluación!$Z$7:$Z$56,$K17)="","",INDEX(Evaluación!$Z$7:$Z$56,$K17)))</f>
        <v>Baja</v>
      </c>
      <c r="I17" s="15" t="str">
        <f aca="false">IF($K17="","",IF(INDEX(Evaluación!$O$7:$O$56,$K17)="","",INDEX(Evaluación!$O$7:$O$56,$K17)))</f>
        <v>Sí</v>
      </c>
      <c r="J17" s="15" t="str">
        <f aca="false">IF($K17="","",IF(INDEX(Evaluación!$P$7:$P$56,$K17)="","",INDEX(Evaluación!$P$7:$P$56,$K17)))</f>
        <v/>
      </c>
      <c r="K17" s="22" t="n">
        <f aca="false">IFERROR(MATCH(LARGE(Evaluación!$AC$7:$AC$56,3),Evaluación!$AC$7:$AC$56,0),"")</f>
        <v>3</v>
      </c>
    </row>
    <row r="18" customFormat="false" ht="15" hidden="false" customHeight="false" outlineLevel="0" collapsed="false">
      <c r="A18" s="15" t="str">
        <f aca="false">IF(K18="","",IF(INDEX(Evaluación!$AA$7:$AA$56,K18)="","—",INDEX(Evaluación!$AA$7:$AA$56,K18)))</f>
        <v>—</v>
      </c>
      <c r="B18" s="15" t="str">
        <f aca="false">IF($K18="","",IF(INDEX(Evaluación!$B$7:$B$56,$K18)="","",INDEX(Evaluación!$B$7:$B$56,$K18)))</f>
        <v>Campaña en redes sociales (ejemplo)</v>
      </c>
      <c r="C18" s="15" t="str">
        <f aca="false">IF($K18="","",IF(INDEX(Evaluación!$C$7:$C$56,$K18)="","",INDEX(Evaluación!$C$7:$C$56,$K18)))</f>
        <v>OSC (ejemplo)</v>
      </c>
      <c r="D18" s="15" t="str">
        <f aca="false">IF($K18="","",IF(INDEX(Evaluación!$D$7:$D$56,$K18)="","",INDEX(Evaluación!$D$7:$D$56,$K18)))</f>
        <v>Sociedad civil (OSC)</v>
      </c>
      <c r="E18" s="15" t="str">
        <f aca="false">IF($K18="","",IF(INDEX(Evaluación!$G$7:$G$56,$K18)="","",INDEX(Evaluación!$G$7:$G$56,$K18)))</f>
        <v>X</v>
      </c>
      <c r="F18" s="21" t="n">
        <f aca="false">IF($K18="","",IF(INDEX(Evaluación!$H$7:$H$56,$K18)="","",INDEX(Evaluación!$H$7:$H$56,$K18)))</f>
        <v>600000</v>
      </c>
      <c r="G18" s="15" t="str">
        <f aca="false">IF($K18="","",IF(INDEX(Evaluación!$Y$7:$Y$56,$K18)="","",INDEX(Evaluación!$Y$7:$Y$56,$K18)))</f>
        <v/>
      </c>
      <c r="H18" s="15" t="str">
        <f aca="false">IF($K18="","",IF(INDEX(Evaluación!$Z$7:$Z$56,$K18)="","",INDEX(Evaluación!$Z$7:$Z$56,$K18)))</f>
        <v/>
      </c>
      <c r="I18" s="15" t="str">
        <f aca="false">IF($K18="","",IF(INDEX(Evaluación!$O$7:$O$56,$K18)="","",INDEX(Evaluación!$O$7:$O$56,$K18)))</f>
        <v>No</v>
      </c>
      <c r="J18" s="15" t="str">
        <f aca="false">IF($K18="","",IF(INDEX(Evaluación!$P$7:$P$56,$K18)="","",INDEX(Evaluación!$P$7:$P$56,$K18)))</f>
        <v>R2</v>
      </c>
      <c r="K18" s="22" t="n">
        <f aca="false">IFERROR(MATCH(LARGE(Evaluación!$AC$7:$AC$56,4),Evaluación!$AC$7:$AC$56,0),"")</f>
        <v>4</v>
      </c>
    </row>
    <row r="19" customFormat="false" ht="15" hidden="false" customHeight="false" outlineLevel="0" collapsed="false">
      <c r="A19" s="15" t="str">
        <f aca="false">IF(K19="","",IF(INDEX(Evaluación!$AA$7:$AA$56,K19)="","—",INDEX(Evaluación!$AA$7:$AA$56,K19)))</f>
        <v/>
      </c>
      <c r="B19" s="15" t="str">
        <f aca="false">IF($K19="","",IF(INDEX(Evaluación!$B$7:$B$56,$K19)="","",INDEX(Evaluación!$B$7:$B$56,$K19)))</f>
        <v/>
      </c>
      <c r="C19" s="15" t="str">
        <f aca="false">IF($K19="","",IF(INDEX(Evaluación!$C$7:$C$56,$K19)="","",INDEX(Evaluación!$C$7:$C$56,$K19)))</f>
        <v/>
      </c>
      <c r="D19" s="15" t="str">
        <f aca="false">IF($K19="","",IF(INDEX(Evaluación!$D$7:$D$56,$K19)="","",INDEX(Evaluación!$D$7:$D$56,$K19)))</f>
        <v/>
      </c>
      <c r="E19" s="15" t="str">
        <f aca="false">IF($K19="","",IF(INDEX(Evaluación!$G$7:$G$56,$K19)="","",INDEX(Evaluación!$G$7:$G$56,$K19)))</f>
        <v/>
      </c>
      <c r="F19" s="21" t="str">
        <f aca="false">IF($K19="","",IF(INDEX(Evaluación!$H$7:$H$56,$K19)="","",INDEX(Evaluación!$H$7:$H$56,$K19)))</f>
        <v/>
      </c>
      <c r="G19" s="15" t="str">
        <f aca="false">IF($K19="","",IF(INDEX(Evaluación!$Y$7:$Y$56,$K19)="","",INDEX(Evaluación!$Y$7:$Y$56,$K19)))</f>
        <v/>
      </c>
      <c r="H19" s="15" t="str">
        <f aca="false">IF($K19="","",IF(INDEX(Evaluación!$Z$7:$Z$56,$K19)="","",INDEX(Evaluación!$Z$7:$Z$56,$K19)))</f>
        <v/>
      </c>
      <c r="I19" s="15" t="str">
        <f aca="false">IF($K19="","",IF(INDEX(Evaluación!$O$7:$O$56,$K19)="","",INDEX(Evaluación!$O$7:$O$56,$K19)))</f>
        <v/>
      </c>
      <c r="J19" s="15" t="str">
        <f aca="false">IF($K19="","",IF(INDEX(Evaluación!$P$7:$P$56,$K19)="","",INDEX(Evaluación!$P$7:$P$56,$K19)))</f>
        <v/>
      </c>
      <c r="K19" s="0" t="str">
        <f aca="false">IFERROR(MATCH(LARGE(Evaluación!$AC$7:$AC$56,5),Evaluación!$AC$7:$AC$56,0),"")</f>
        <v/>
      </c>
    </row>
    <row r="20" customFormat="false" ht="15" hidden="false" customHeight="false" outlineLevel="0" collapsed="false">
      <c r="A20" s="15" t="str">
        <f aca="false">IF(K20="","",IF(INDEX(Evaluación!$AA$7:$AA$56,K20)="","—",INDEX(Evaluación!$AA$7:$AA$56,K20)))</f>
        <v/>
      </c>
      <c r="B20" s="15" t="str">
        <f aca="false">IF($K20="","",IF(INDEX(Evaluación!$B$7:$B$56,$K20)="","",INDEX(Evaluación!$B$7:$B$56,$K20)))</f>
        <v/>
      </c>
      <c r="C20" s="15" t="str">
        <f aca="false">IF($K20="","",IF(INDEX(Evaluación!$C$7:$C$56,$K20)="","",INDEX(Evaluación!$C$7:$C$56,$K20)))</f>
        <v/>
      </c>
      <c r="D20" s="15" t="str">
        <f aca="false">IF($K20="","",IF(INDEX(Evaluación!$D$7:$D$56,$K20)="","",INDEX(Evaluación!$D$7:$D$56,$K20)))</f>
        <v/>
      </c>
      <c r="E20" s="15" t="str">
        <f aca="false">IF($K20="","",IF(INDEX(Evaluación!$G$7:$G$56,$K20)="","",INDEX(Evaluación!$G$7:$G$56,$K20)))</f>
        <v/>
      </c>
      <c r="F20" s="21" t="str">
        <f aca="false">IF($K20="","",IF(INDEX(Evaluación!$H$7:$H$56,$K20)="","",INDEX(Evaluación!$H$7:$H$56,$K20)))</f>
        <v/>
      </c>
      <c r="G20" s="15" t="str">
        <f aca="false">IF($K20="","",IF(INDEX(Evaluación!$Y$7:$Y$56,$K20)="","",INDEX(Evaluación!$Y$7:$Y$56,$K20)))</f>
        <v/>
      </c>
      <c r="H20" s="15" t="str">
        <f aca="false">IF($K20="","",IF(INDEX(Evaluación!$Z$7:$Z$56,$K20)="","",INDEX(Evaluación!$Z$7:$Z$56,$K20)))</f>
        <v/>
      </c>
      <c r="I20" s="15" t="str">
        <f aca="false">IF($K20="","",IF(INDEX(Evaluación!$O$7:$O$56,$K20)="","",INDEX(Evaluación!$O$7:$O$56,$K20)))</f>
        <v/>
      </c>
      <c r="J20" s="15" t="str">
        <f aca="false">IF($K20="","",IF(INDEX(Evaluación!$P$7:$P$56,$K20)="","",INDEX(Evaluación!$P$7:$P$56,$K20)))</f>
        <v/>
      </c>
      <c r="K20" s="0" t="str">
        <f aca="false">IFERROR(MATCH(LARGE(Evaluación!$AC$7:$AC$56,6),Evaluación!$AC$7:$AC$56,0),"")</f>
        <v/>
      </c>
    </row>
    <row r="21" customFormat="false" ht="15" hidden="false" customHeight="false" outlineLevel="0" collapsed="false">
      <c r="A21" s="15" t="str">
        <f aca="false">IF(K21="","",IF(INDEX(Evaluación!$AA$7:$AA$56,K21)="","—",INDEX(Evaluación!$AA$7:$AA$56,K21)))</f>
        <v/>
      </c>
      <c r="B21" s="15" t="str">
        <f aca="false">IF($K21="","",IF(INDEX(Evaluación!$B$7:$B$56,$K21)="","",INDEX(Evaluación!$B$7:$B$56,$K21)))</f>
        <v/>
      </c>
      <c r="C21" s="15" t="str">
        <f aca="false">IF($K21="","",IF(INDEX(Evaluación!$C$7:$C$56,$K21)="","",INDEX(Evaluación!$C$7:$C$56,$K21)))</f>
        <v/>
      </c>
      <c r="D21" s="15" t="str">
        <f aca="false">IF($K21="","",IF(INDEX(Evaluación!$D$7:$D$56,$K21)="","",INDEX(Evaluación!$D$7:$D$56,$K21)))</f>
        <v/>
      </c>
      <c r="E21" s="15" t="str">
        <f aca="false">IF($K21="","",IF(INDEX(Evaluación!$G$7:$G$56,$K21)="","",INDEX(Evaluación!$G$7:$G$56,$K21)))</f>
        <v/>
      </c>
      <c r="F21" s="21" t="str">
        <f aca="false">IF($K21="","",IF(INDEX(Evaluación!$H$7:$H$56,$K21)="","",INDEX(Evaluación!$H$7:$H$56,$K21)))</f>
        <v/>
      </c>
      <c r="G21" s="15" t="str">
        <f aca="false">IF($K21="","",IF(INDEX(Evaluación!$Y$7:$Y$56,$K21)="","",INDEX(Evaluación!$Y$7:$Y$56,$K21)))</f>
        <v/>
      </c>
      <c r="H21" s="15" t="str">
        <f aca="false">IF($K21="","",IF(INDEX(Evaluación!$Z$7:$Z$56,$K21)="","",INDEX(Evaluación!$Z$7:$Z$56,$K21)))</f>
        <v/>
      </c>
      <c r="I21" s="15" t="str">
        <f aca="false">IF($K21="","",IF(INDEX(Evaluación!$O$7:$O$56,$K21)="","",INDEX(Evaluación!$O$7:$O$56,$K21)))</f>
        <v/>
      </c>
      <c r="J21" s="15" t="str">
        <f aca="false">IF($K21="","",IF(INDEX(Evaluación!$P$7:$P$56,$K21)="","",INDEX(Evaluación!$P$7:$P$56,$K21)))</f>
        <v/>
      </c>
      <c r="K21" s="0" t="str">
        <f aca="false">IFERROR(MATCH(LARGE(Evaluación!$AC$7:$AC$56,7),Evaluación!$AC$7:$AC$56,0),"")</f>
        <v/>
      </c>
    </row>
    <row r="22" customFormat="false" ht="15" hidden="false" customHeight="false" outlineLevel="0" collapsed="false">
      <c r="A22" s="15" t="str">
        <f aca="false">IF(K22="","",IF(INDEX(Evaluación!$AA$7:$AA$56,K22)="","—",INDEX(Evaluación!$AA$7:$AA$56,K22)))</f>
        <v/>
      </c>
      <c r="B22" s="15" t="str">
        <f aca="false">IF($K22="","",IF(INDEX(Evaluación!$B$7:$B$56,$K22)="","",INDEX(Evaluación!$B$7:$B$56,$K22)))</f>
        <v/>
      </c>
      <c r="C22" s="15" t="str">
        <f aca="false">IF($K22="","",IF(INDEX(Evaluación!$C$7:$C$56,$K22)="","",INDEX(Evaluación!$C$7:$C$56,$K22)))</f>
        <v/>
      </c>
      <c r="D22" s="15" t="str">
        <f aca="false">IF($K22="","",IF(INDEX(Evaluación!$D$7:$D$56,$K22)="","",INDEX(Evaluación!$D$7:$D$56,$K22)))</f>
        <v/>
      </c>
      <c r="E22" s="15" t="str">
        <f aca="false">IF($K22="","",IF(INDEX(Evaluación!$G$7:$G$56,$K22)="","",INDEX(Evaluación!$G$7:$G$56,$K22)))</f>
        <v/>
      </c>
      <c r="F22" s="21" t="str">
        <f aca="false">IF($K22="","",IF(INDEX(Evaluación!$H$7:$H$56,$K22)="","",INDEX(Evaluación!$H$7:$H$56,$K22)))</f>
        <v/>
      </c>
      <c r="G22" s="15" t="str">
        <f aca="false">IF($K22="","",IF(INDEX(Evaluación!$Y$7:$Y$56,$K22)="","",INDEX(Evaluación!$Y$7:$Y$56,$K22)))</f>
        <v/>
      </c>
      <c r="H22" s="15" t="str">
        <f aca="false">IF($K22="","",IF(INDEX(Evaluación!$Z$7:$Z$56,$K22)="","",INDEX(Evaluación!$Z$7:$Z$56,$K22)))</f>
        <v/>
      </c>
      <c r="I22" s="15" t="str">
        <f aca="false">IF($K22="","",IF(INDEX(Evaluación!$O$7:$O$56,$K22)="","",INDEX(Evaluación!$O$7:$O$56,$K22)))</f>
        <v/>
      </c>
      <c r="J22" s="15" t="str">
        <f aca="false">IF($K22="","",IF(INDEX(Evaluación!$P$7:$P$56,$K22)="","",INDEX(Evaluación!$P$7:$P$56,$K22)))</f>
        <v/>
      </c>
      <c r="K22" s="0" t="str">
        <f aca="false">IFERROR(MATCH(LARGE(Evaluación!$AC$7:$AC$56,8),Evaluación!$AC$7:$AC$56,0),"")</f>
        <v/>
      </c>
    </row>
    <row r="23" customFormat="false" ht="15" hidden="false" customHeight="false" outlineLevel="0" collapsed="false">
      <c r="A23" s="15" t="str">
        <f aca="false">IF(K23="","",IF(INDEX(Evaluación!$AA$7:$AA$56,K23)="","—",INDEX(Evaluación!$AA$7:$AA$56,K23)))</f>
        <v/>
      </c>
      <c r="B23" s="15" t="str">
        <f aca="false">IF($K23="","",IF(INDEX(Evaluación!$B$7:$B$56,$K23)="","",INDEX(Evaluación!$B$7:$B$56,$K23)))</f>
        <v/>
      </c>
      <c r="C23" s="15" t="str">
        <f aca="false">IF($K23="","",IF(INDEX(Evaluación!$C$7:$C$56,$K23)="","",INDEX(Evaluación!$C$7:$C$56,$K23)))</f>
        <v/>
      </c>
      <c r="D23" s="15" t="str">
        <f aca="false">IF($K23="","",IF(INDEX(Evaluación!$D$7:$D$56,$K23)="","",INDEX(Evaluación!$D$7:$D$56,$K23)))</f>
        <v/>
      </c>
      <c r="E23" s="15" t="str">
        <f aca="false">IF($K23="","",IF(INDEX(Evaluación!$G$7:$G$56,$K23)="","",INDEX(Evaluación!$G$7:$G$56,$K23)))</f>
        <v/>
      </c>
      <c r="F23" s="21" t="str">
        <f aca="false">IF($K23="","",IF(INDEX(Evaluación!$H$7:$H$56,$K23)="","",INDEX(Evaluación!$H$7:$H$56,$K23)))</f>
        <v/>
      </c>
      <c r="G23" s="15" t="str">
        <f aca="false">IF($K23="","",IF(INDEX(Evaluación!$Y$7:$Y$56,$K23)="","",INDEX(Evaluación!$Y$7:$Y$56,$K23)))</f>
        <v/>
      </c>
      <c r="H23" s="15" t="str">
        <f aca="false">IF($K23="","",IF(INDEX(Evaluación!$Z$7:$Z$56,$K23)="","",INDEX(Evaluación!$Z$7:$Z$56,$K23)))</f>
        <v/>
      </c>
      <c r="I23" s="15" t="str">
        <f aca="false">IF($K23="","",IF(INDEX(Evaluación!$O$7:$O$56,$K23)="","",INDEX(Evaluación!$O$7:$O$56,$K23)))</f>
        <v/>
      </c>
      <c r="J23" s="15" t="str">
        <f aca="false">IF($K23="","",IF(INDEX(Evaluación!$P$7:$P$56,$K23)="","",INDEX(Evaluación!$P$7:$P$56,$K23)))</f>
        <v/>
      </c>
      <c r="K23" s="0" t="str">
        <f aca="false">IFERROR(MATCH(LARGE(Evaluación!$AC$7:$AC$56,9),Evaluación!$AC$7:$AC$56,0),"")</f>
        <v/>
      </c>
    </row>
    <row r="24" customFormat="false" ht="15" hidden="false" customHeight="false" outlineLevel="0" collapsed="false">
      <c r="A24" s="15" t="str">
        <f aca="false">IF(K24="","",IF(INDEX(Evaluación!$AA$7:$AA$56,K24)="","—",INDEX(Evaluación!$AA$7:$AA$56,K24)))</f>
        <v/>
      </c>
      <c r="B24" s="15" t="str">
        <f aca="false">IF($K24="","",IF(INDEX(Evaluación!$B$7:$B$56,$K24)="","",INDEX(Evaluación!$B$7:$B$56,$K24)))</f>
        <v/>
      </c>
      <c r="C24" s="15" t="str">
        <f aca="false">IF($K24="","",IF(INDEX(Evaluación!$C$7:$C$56,$K24)="","",INDEX(Evaluación!$C$7:$C$56,$K24)))</f>
        <v/>
      </c>
      <c r="D24" s="15" t="str">
        <f aca="false">IF($K24="","",IF(INDEX(Evaluación!$D$7:$D$56,$K24)="","",INDEX(Evaluación!$D$7:$D$56,$K24)))</f>
        <v/>
      </c>
      <c r="E24" s="15" t="str">
        <f aca="false">IF($K24="","",IF(INDEX(Evaluación!$G$7:$G$56,$K24)="","",INDEX(Evaluación!$G$7:$G$56,$K24)))</f>
        <v/>
      </c>
      <c r="F24" s="21" t="str">
        <f aca="false">IF($K24="","",IF(INDEX(Evaluación!$H$7:$H$56,$K24)="","",INDEX(Evaluación!$H$7:$H$56,$K24)))</f>
        <v/>
      </c>
      <c r="G24" s="15" t="str">
        <f aca="false">IF($K24="","",IF(INDEX(Evaluación!$Y$7:$Y$56,$K24)="","",INDEX(Evaluación!$Y$7:$Y$56,$K24)))</f>
        <v/>
      </c>
      <c r="H24" s="15" t="str">
        <f aca="false">IF($K24="","",IF(INDEX(Evaluación!$Z$7:$Z$56,$K24)="","",INDEX(Evaluación!$Z$7:$Z$56,$K24)))</f>
        <v/>
      </c>
      <c r="I24" s="15" t="str">
        <f aca="false">IF($K24="","",IF(INDEX(Evaluación!$O$7:$O$56,$K24)="","",INDEX(Evaluación!$O$7:$O$56,$K24)))</f>
        <v/>
      </c>
      <c r="J24" s="15" t="str">
        <f aca="false">IF($K24="","",IF(INDEX(Evaluación!$P$7:$P$56,$K24)="","",INDEX(Evaluación!$P$7:$P$56,$K24)))</f>
        <v/>
      </c>
      <c r="K24" s="0" t="str">
        <f aca="false">IFERROR(MATCH(LARGE(Evaluación!$AC$7:$AC$56,10),Evaluación!$AC$7:$AC$56,0),"")</f>
        <v/>
      </c>
    </row>
    <row r="25" customFormat="false" ht="15" hidden="false" customHeight="false" outlineLevel="0" collapsed="false">
      <c r="A25" s="15" t="str">
        <f aca="false">IF(K25="","",IF(INDEX(Evaluación!$AA$7:$AA$56,K25)="","—",INDEX(Evaluación!$AA$7:$AA$56,K25)))</f>
        <v/>
      </c>
      <c r="B25" s="15" t="str">
        <f aca="false">IF($K25="","",IF(INDEX(Evaluación!$B$7:$B$56,$K25)="","",INDEX(Evaluación!$B$7:$B$56,$K25)))</f>
        <v/>
      </c>
      <c r="C25" s="15" t="str">
        <f aca="false">IF($K25="","",IF(INDEX(Evaluación!$C$7:$C$56,$K25)="","",INDEX(Evaluación!$C$7:$C$56,$K25)))</f>
        <v/>
      </c>
      <c r="D25" s="15" t="str">
        <f aca="false">IF($K25="","",IF(INDEX(Evaluación!$D$7:$D$56,$K25)="","",INDEX(Evaluación!$D$7:$D$56,$K25)))</f>
        <v/>
      </c>
      <c r="E25" s="15" t="str">
        <f aca="false">IF($K25="","",IF(INDEX(Evaluación!$G$7:$G$56,$K25)="","",INDEX(Evaluación!$G$7:$G$56,$K25)))</f>
        <v/>
      </c>
      <c r="F25" s="21" t="str">
        <f aca="false">IF($K25="","",IF(INDEX(Evaluación!$H$7:$H$56,$K25)="","",INDEX(Evaluación!$H$7:$H$56,$K25)))</f>
        <v/>
      </c>
      <c r="G25" s="15" t="str">
        <f aca="false">IF($K25="","",IF(INDEX(Evaluación!$Y$7:$Y$56,$K25)="","",INDEX(Evaluación!$Y$7:$Y$56,$K25)))</f>
        <v/>
      </c>
      <c r="H25" s="15" t="str">
        <f aca="false">IF($K25="","",IF(INDEX(Evaluación!$Z$7:$Z$56,$K25)="","",INDEX(Evaluación!$Z$7:$Z$56,$K25)))</f>
        <v/>
      </c>
      <c r="I25" s="15" t="str">
        <f aca="false">IF($K25="","",IF(INDEX(Evaluación!$O$7:$O$56,$K25)="","",INDEX(Evaluación!$O$7:$O$56,$K25)))</f>
        <v/>
      </c>
      <c r="J25" s="15" t="str">
        <f aca="false">IF($K25="","",IF(INDEX(Evaluación!$P$7:$P$56,$K25)="","",INDEX(Evaluación!$P$7:$P$56,$K25)))</f>
        <v/>
      </c>
      <c r="K25" s="0" t="str">
        <f aca="false">IFERROR(MATCH(LARGE(Evaluación!$AC$7:$AC$56,11),Evaluación!$AC$7:$AC$56,0),"")</f>
        <v/>
      </c>
    </row>
    <row r="26" customFormat="false" ht="15" hidden="false" customHeight="false" outlineLevel="0" collapsed="false">
      <c r="A26" s="15" t="str">
        <f aca="false">IF(K26="","",IF(INDEX(Evaluación!$AA$7:$AA$56,K26)="","—",INDEX(Evaluación!$AA$7:$AA$56,K26)))</f>
        <v/>
      </c>
      <c r="B26" s="15" t="str">
        <f aca="false">IF($K26="","",IF(INDEX(Evaluación!$B$7:$B$56,$K26)="","",INDEX(Evaluación!$B$7:$B$56,$K26)))</f>
        <v/>
      </c>
      <c r="C26" s="15" t="str">
        <f aca="false">IF($K26="","",IF(INDEX(Evaluación!$C$7:$C$56,$K26)="","",INDEX(Evaluación!$C$7:$C$56,$K26)))</f>
        <v/>
      </c>
      <c r="D26" s="15" t="str">
        <f aca="false">IF($K26="","",IF(INDEX(Evaluación!$D$7:$D$56,$K26)="","",INDEX(Evaluación!$D$7:$D$56,$K26)))</f>
        <v/>
      </c>
      <c r="E26" s="15" t="str">
        <f aca="false">IF($K26="","",IF(INDEX(Evaluación!$G$7:$G$56,$K26)="","",INDEX(Evaluación!$G$7:$G$56,$K26)))</f>
        <v/>
      </c>
      <c r="F26" s="21" t="str">
        <f aca="false">IF($K26="","",IF(INDEX(Evaluación!$H$7:$H$56,$K26)="","",INDEX(Evaluación!$H$7:$H$56,$K26)))</f>
        <v/>
      </c>
      <c r="G26" s="15" t="str">
        <f aca="false">IF($K26="","",IF(INDEX(Evaluación!$Y$7:$Y$56,$K26)="","",INDEX(Evaluación!$Y$7:$Y$56,$K26)))</f>
        <v/>
      </c>
      <c r="H26" s="15" t="str">
        <f aca="false">IF($K26="","",IF(INDEX(Evaluación!$Z$7:$Z$56,$K26)="","",INDEX(Evaluación!$Z$7:$Z$56,$K26)))</f>
        <v/>
      </c>
      <c r="I26" s="15" t="str">
        <f aca="false">IF($K26="","",IF(INDEX(Evaluación!$O$7:$O$56,$K26)="","",INDEX(Evaluación!$O$7:$O$56,$K26)))</f>
        <v/>
      </c>
      <c r="J26" s="15" t="str">
        <f aca="false">IF($K26="","",IF(INDEX(Evaluación!$P$7:$P$56,$K26)="","",INDEX(Evaluación!$P$7:$P$56,$K26)))</f>
        <v/>
      </c>
      <c r="K26" s="0" t="str">
        <f aca="false">IFERROR(MATCH(LARGE(Evaluación!$AC$7:$AC$56,12),Evaluación!$AC$7:$AC$56,0),"")</f>
        <v/>
      </c>
    </row>
    <row r="27" customFormat="false" ht="15" hidden="false" customHeight="false" outlineLevel="0" collapsed="false">
      <c r="A27" s="15" t="str">
        <f aca="false">IF(K27="","",IF(INDEX(Evaluación!$AA$7:$AA$56,K27)="","—",INDEX(Evaluación!$AA$7:$AA$56,K27)))</f>
        <v/>
      </c>
      <c r="B27" s="15" t="str">
        <f aca="false">IF($K27="","",IF(INDEX(Evaluación!$B$7:$B$56,$K27)="","",INDEX(Evaluación!$B$7:$B$56,$K27)))</f>
        <v/>
      </c>
      <c r="C27" s="15" t="str">
        <f aca="false">IF($K27="","",IF(INDEX(Evaluación!$C$7:$C$56,$K27)="","",INDEX(Evaluación!$C$7:$C$56,$K27)))</f>
        <v/>
      </c>
      <c r="D27" s="15" t="str">
        <f aca="false">IF($K27="","",IF(INDEX(Evaluación!$D$7:$D$56,$K27)="","",INDEX(Evaluación!$D$7:$D$56,$K27)))</f>
        <v/>
      </c>
      <c r="E27" s="15" t="str">
        <f aca="false">IF($K27="","",IF(INDEX(Evaluación!$G$7:$G$56,$K27)="","",INDEX(Evaluación!$G$7:$G$56,$K27)))</f>
        <v/>
      </c>
      <c r="F27" s="21" t="str">
        <f aca="false">IF($K27="","",IF(INDEX(Evaluación!$H$7:$H$56,$K27)="","",INDEX(Evaluación!$H$7:$H$56,$K27)))</f>
        <v/>
      </c>
      <c r="G27" s="15" t="str">
        <f aca="false">IF($K27="","",IF(INDEX(Evaluación!$Y$7:$Y$56,$K27)="","",INDEX(Evaluación!$Y$7:$Y$56,$K27)))</f>
        <v/>
      </c>
      <c r="H27" s="15" t="str">
        <f aca="false">IF($K27="","",IF(INDEX(Evaluación!$Z$7:$Z$56,$K27)="","",INDEX(Evaluación!$Z$7:$Z$56,$K27)))</f>
        <v/>
      </c>
      <c r="I27" s="15" t="str">
        <f aca="false">IF($K27="","",IF(INDEX(Evaluación!$O$7:$O$56,$K27)="","",INDEX(Evaluación!$O$7:$O$56,$K27)))</f>
        <v/>
      </c>
      <c r="J27" s="15" t="str">
        <f aca="false">IF($K27="","",IF(INDEX(Evaluación!$P$7:$P$56,$K27)="","",INDEX(Evaluación!$P$7:$P$56,$K27)))</f>
        <v/>
      </c>
      <c r="K27" s="0" t="str">
        <f aca="false">IFERROR(MATCH(LARGE(Evaluación!$AC$7:$AC$56,13),Evaluación!$AC$7:$AC$56,0),"")</f>
        <v/>
      </c>
    </row>
    <row r="28" customFormat="false" ht="15" hidden="false" customHeight="false" outlineLevel="0" collapsed="false">
      <c r="A28" s="15" t="str">
        <f aca="false">IF(K28="","",IF(INDEX(Evaluación!$AA$7:$AA$56,K28)="","—",INDEX(Evaluación!$AA$7:$AA$56,K28)))</f>
        <v/>
      </c>
      <c r="B28" s="15" t="str">
        <f aca="false">IF($K28="","",IF(INDEX(Evaluación!$B$7:$B$56,$K28)="","",INDEX(Evaluación!$B$7:$B$56,$K28)))</f>
        <v/>
      </c>
      <c r="C28" s="15" t="str">
        <f aca="false">IF($K28="","",IF(INDEX(Evaluación!$C$7:$C$56,$K28)="","",INDEX(Evaluación!$C$7:$C$56,$K28)))</f>
        <v/>
      </c>
      <c r="D28" s="15" t="str">
        <f aca="false">IF($K28="","",IF(INDEX(Evaluación!$D$7:$D$56,$K28)="","",INDEX(Evaluación!$D$7:$D$56,$K28)))</f>
        <v/>
      </c>
      <c r="E28" s="15" t="str">
        <f aca="false">IF($K28="","",IF(INDEX(Evaluación!$G$7:$G$56,$K28)="","",INDEX(Evaluación!$G$7:$G$56,$K28)))</f>
        <v/>
      </c>
      <c r="F28" s="21" t="str">
        <f aca="false">IF($K28="","",IF(INDEX(Evaluación!$H$7:$H$56,$K28)="","",INDEX(Evaluación!$H$7:$H$56,$K28)))</f>
        <v/>
      </c>
      <c r="G28" s="15" t="str">
        <f aca="false">IF($K28="","",IF(INDEX(Evaluación!$Y$7:$Y$56,$K28)="","",INDEX(Evaluación!$Y$7:$Y$56,$K28)))</f>
        <v/>
      </c>
      <c r="H28" s="15" t="str">
        <f aca="false">IF($K28="","",IF(INDEX(Evaluación!$Z$7:$Z$56,$K28)="","",INDEX(Evaluación!$Z$7:$Z$56,$K28)))</f>
        <v/>
      </c>
      <c r="I28" s="15" t="str">
        <f aca="false">IF($K28="","",IF(INDEX(Evaluación!$O$7:$O$56,$K28)="","",INDEX(Evaluación!$O$7:$O$56,$K28)))</f>
        <v/>
      </c>
      <c r="J28" s="15" t="str">
        <f aca="false">IF($K28="","",IF(INDEX(Evaluación!$P$7:$P$56,$K28)="","",INDEX(Evaluación!$P$7:$P$56,$K28)))</f>
        <v/>
      </c>
      <c r="K28" s="0" t="str">
        <f aca="false">IFERROR(MATCH(LARGE(Evaluación!$AC$7:$AC$56,14),Evaluación!$AC$7:$AC$56,0),"")</f>
        <v/>
      </c>
    </row>
    <row r="29" customFormat="false" ht="15" hidden="false" customHeight="false" outlineLevel="0" collapsed="false">
      <c r="A29" s="15" t="str">
        <f aca="false">IF(K29="","",IF(INDEX(Evaluación!$AA$7:$AA$56,K29)="","—",INDEX(Evaluación!$AA$7:$AA$56,K29)))</f>
        <v/>
      </c>
      <c r="B29" s="15" t="str">
        <f aca="false">IF($K29="","",IF(INDEX(Evaluación!$B$7:$B$56,$K29)="","",INDEX(Evaluación!$B$7:$B$56,$K29)))</f>
        <v/>
      </c>
      <c r="C29" s="15" t="str">
        <f aca="false">IF($K29="","",IF(INDEX(Evaluación!$C$7:$C$56,$K29)="","",INDEX(Evaluación!$C$7:$C$56,$K29)))</f>
        <v/>
      </c>
      <c r="D29" s="15" t="str">
        <f aca="false">IF($K29="","",IF(INDEX(Evaluación!$D$7:$D$56,$K29)="","",INDEX(Evaluación!$D$7:$D$56,$K29)))</f>
        <v/>
      </c>
      <c r="E29" s="15" t="str">
        <f aca="false">IF($K29="","",IF(INDEX(Evaluación!$G$7:$G$56,$K29)="","",INDEX(Evaluación!$G$7:$G$56,$K29)))</f>
        <v/>
      </c>
      <c r="F29" s="21" t="str">
        <f aca="false">IF($K29="","",IF(INDEX(Evaluación!$H$7:$H$56,$K29)="","",INDEX(Evaluación!$H$7:$H$56,$K29)))</f>
        <v/>
      </c>
      <c r="G29" s="15" t="str">
        <f aca="false">IF($K29="","",IF(INDEX(Evaluación!$Y$7:$Y$56,$K29)="","",INDEX(Evaluación!$Y$7:$Y$56,$K29)))</f>
        <v/>
      </c>
      <c r="H29" s="15" t="str">
        <f aca="false">IF($K29="","",IF(INDEX(Evaluación!$Z$7:$Z$56,$K29)="","",INDEX(Evaluación!$Z$7:$Z$56,$K29)))</f>
        <v/>
      </c>
      <c r="I29" s="15" t="str">
        <f aca="false">IF($K29="","",IF(INDEX(Evaluación!$O$7:$O$56,$K29)="","",INDEX(Evaluación!$O$7:$O$56,$K29)))</f>
        <v/>
      </c>
      <c r="J29" s="15" t="str">
        <f aca="false">IF($K29="","",IF(INDEX(Evaluación!$P$7:$P$56,$K29)="","",INDEX(Evaluación!$P$7:$P$56,$K29)))</f>
        <v/>
      </c>
      <c r="K29" s="0" t="str">
        <f aca="false">IFERROR(MATCH(LARGE(Evaluación!$AC$7:$AC$56,15),Evaluación!$AC$7:$AC$56,0),"")</f>
        <v/>
      </c>
    </row>
    <row r="30" customFormat="false" ht="15" hidden="false" customHeight="false" outlineLevel="0" collapsed="false">
      <c r="A30" s="15" t="str">
        <f aca="false">IF(K30="","",IF(INDEX(Evaluación!$AA$7:$AA$56,K30)="","—",INDEX(Evaluación!$AA$7:$AA$56,K30)))</f>
        <v/>
      </c>
      <c r="B30" s="15" t="str">
        <f aca="false">IF($K30="","",IF(INDEX(Evaluación!$B$7:$B$56,$K30)="","",INDEX(Evaluación!$B$7:$B$56,$K30)))</f>
        <v/>
      </c>
      <c r="C30" s="15" t="str">
        <f aca="false">IF($K30="","",IF(INDEX(Evaluación!$C$7:$C$56,$K30)="","",INDEX(Evaluación!$C$7:$C$56,$K30)))</f>
        <v/>
      </c>
      <c r="D30" s="15" t="str">
        <f aca="false">IF($K30="","",IF(INDEX(Evaluación!$D$7:$D$56,$K30)="","",INDEX(Evaluación!$D$7:$D$56,$K30)))</f>
        <v/>
      </c>
      <c r="E30" s="15" t="str">
        <f aca="false">IF($K30="","",IF(INDEX(Evaluación!$G$7:$G$56,$K30)="","",INDEX(Evaluación!$G$7:$G$56,$K30)))</f>
        <v/>
      </c>
      <c r="F30" s="21" t="str">
        <f aca="false">IF($K30="","",IF(INDEX(Evaluación!$H$7:$H$56,$K30)="","",INDEX(Evaluación!$H$7:$H$56,$K30)))</f>
        <v/>
      </c>
      <c r="G30" s="15" t="str">
        <f aca="false">IF($K30="","",IF(INDEX(Evaluación!$Y$7:$Y$56,$K30)="","",INDEX(Evaluación!$Y$7:$Y$56,$K30)))</f>
        <v/>
      </c>
      <c r="H30" s="15" t="str">
        <f aca="false">IF($K30="","",IF(INDEX(Evaluación!$Z$7:$Z$56,$K30)="","",INDEX(Evaluación!$Z$7:$Z$56,$K30)))</f>
        <v/>
      </c>
      <c r="I30" s="15" t="str">
        <f aca="false">IF($K30="","",IF(INDEX(Evaluación!$O$7:$O$56,$K30)="","",INDEX(Evaluación!$O$7:$O$56,$K30)))</f>
        <v/>
      </c>
      <c r="J30" s="15" t="str">
        <f aca="false">IF($K30="","",IF(INDEX(Evaluación!$P$7:$P$56,$K30)="","",INDEX(Evaluación!$P$7:$P$56,$K30)))</f>
        <v/>
      </c>
      <c r="K30" s="0" t="str">
        <f aca="false">IFERROR(MATCH(LARGE(Evaluación!$AC$7:$AC$56,16),Evaluación!$AC$7:$AC$56,0),"")</f>
        <v/>
      </c>
    </row>
    <row r="31" customFormat="false" ht="15" hidden="false" customHeight="false" outlineLevel="0" collapsed="false">
      <c r="A31" s="15" t="str">
        <f aca="false">IF(K31="","",IF(INDEX(Evaluación!$AA$7:$AA$56,K31)="","—",INDEX(Evaluación!$AA$7:$AA$56,K31)))</f>
        <v/>
      </c>
      <c r="B31" s="15" t="str">
        <f aca="false">IF($K31="","",IF(INDEX(Evaluación!$B$7:$B$56,$K31)="","",INDEX(Evaluación!$B$7:$B$56,$K31)))</f>
        <v/>
      </c>
      <c r="C31" s="15" t="str">
        <f aca="false">IF($K31="","",IF(INDEX(Evaluación!$C$7:$C$56,$K31)="","",INDEX(Evaluación!$C$7:$C$56,$K31)))</f>
        <v/>
      </c>
      <c r="D31" s="15" t="str">
        <f aca="false">IF($K31="","",IF(INDEX(Evaluación!$D$7:$D$56,$K31)="","",INDEX(Evaluación!$D$7:$D$56,$K31)))</f>
        <v/>
      </c>
      <c r="E31" s="15" t="str">
        <f aca="false">IF($K31="","",IF(INDEX(Evaluación!$G$7:$G$56,$K31)="","",INDEX(Evaluación!$G$7:$G$56,$K31)))</f>
        <v/>
      </c>
      <c r="F31" s="21" t="str">
        <f aca="false">IF($K31="","",IF(INDEX(Evaluación!$H$7:$H$56,$K31)="","",INDEX(Evaluación!$H$7:$H$56,$K31)))</f>
        <v/>
      </c>
      <c r="G31" s="15" t="str">
        <f aca="false">IF($K31="","",IF(INDEX(Evaluación!$Y$7:$Y$56,$K31)="","",INDEX(Evaluación!$Y$7:$Y$56,$K31)))</f>
        <v/>
      </c>
      <c r="H31" s="15" t="str">
        <f aca="false">IF($K31="","",IF(INDEX(Evaluación!$Z$7:$Z$56,$K31)="","",INDEX(Evaluación!$Z$7:$Z$56,$K31)))</f>
        <v/>
      </c>
      <c r="I31" s="15" t="str">
        <f aca="false">IF($K31="","",IF(INDEX(Evaluación!$O$7:$O$56,$K31)="","",INDEX(Evaluación!$O$7:$O$56,$K31)))</f>
        <v/>
      </c>
      <c r="J31" s="15" t="str">
        <f aca="false">IF($K31="","",IF(INDEX(Evaluación!$P$7:$P$56,$K31)="","",INDEX(Evaluación!$P$7:$P$56,$K31)))</f>
        <v/>
      </c>
      <c r="K31" s="0" t="str">
        <f aca="false">IFERROR(MATCH(LARGE(Evaluación!$AC$7:$AC$56,17),Evaluación!$AC$7:$AC$56,0),"")</f>
        <v/>
      </c>
    </row>
    <row r="32" customFormat="false" ht="15" hidden="false" customHeight="false" outlineLevel="0" collapsed="false">
      <c r="A32" s="15" t="str">
        <f aca="false">IF(K32="","",IF(INDEX(Evaluación!$AA$7:$AA$56,K32)="","—",INDEX(Evaluación!$AA$7:$AA$56,K32)))</f>
        <v/>
      </c>
      <c r="B32" s="15" t="str">
        <f aca="false">IF($K32="","",IF(INDEX(Evaluación!$B$7:$B$56,$K32)="","",INDEX(Evaluación!$B$7:$B$56,$K32)))</f>
        <v/>
      </c>
      <c r="C32" s="15" t="str">
        <f aca="false">IF($K32="","",IF(INDEX(Evaluación!$C$7:$C$56,$K32)="","",INDEX(Evaluación!$C$7:$C$56,$K32)))</f>
        <v/>
      </c>
      <c r="D32" s="15" t="str">
        <f aca="false">IF($K32="","",IF(INDEX(Evaluación!$D$7:$D$56,$K32)="","",INDEX(Evaluación!$D$7:$D$56,$K32)))</f>
        <v/>
      </c>
      <c r="E32" s="15" t="str">
        <f aca="false">IF($K32="","",IF(INDEX(Evaluación!$G$7:$G$56,$K32)="","",INDEX(Evaluación!$G$7:$G$56,$K32)))</f>
        <v/>
      </c>
      <c r="F32" s="21" t="str">
        <f aca="false">IF($K32="","",IF(INDEX(Evaluación!$H$7:$H$56,$K32)="","",INDEX(Evaluación!$H$7:$H$56,$K32)))</f>
        <v/>
      </c>
      <c r="G32" s="15" t="str">
        <f aca="false">IF($K32="","",IF(INDEX(Evaluación!$Y$7:$Y$56,$K32)="","",INDEX(Evaluación!$Y$7:$Y$56,$K32)))</f>
        <v/>
      </c>
      <c r="H32" s="15" t="str">
        <f aca="false">IF($K32="","",IF(INDEX(Evaluación!$Z$7:$Z$56,$K32)="","",INDEX(Evaluación!$Z$7:$Z$56,$K32)))</f>
        <v/>
      </c>
      <c r="I32" s="15" t="str">
        <f aca="false">IF($K32="","",IF(INDEX(Evaluación!$O$7:$O$56,$K32)="","",INDEX(Evaluación!$O$7:$O$56,$K32)))</f>
        <v/>
      </c>
      <c r="J32" s="15" t="str">
        <f aca="false">IF($K32="","",IF(INDEX(Evaluación!$P$7:$P$56,$K32)="","",INDEX(Evaluación!$P$7:$P$56,$K32)))</f>
        <v/>
      </c>
      <c r="K32" s="0" t="str">
        <f aca="false">IFERROR(MATCH(LARGE(Evaluación!$AC$7:$AC$56,18),Evaluación!$AC$7:$AC$56,0),"")</f>
        <v/>
      </c>
    </row>
    <row r="33" customFormat="false" ht="15" hidden="false" customHeight="false" outlineLevel="0" collapsed="false">
      <c r="A33" s="15" t="str">
        <f aca="false">IF(K33="","",IF(INDEX(Evaluación!$AA$7:$AA$56,K33)="","—",INDEX(Evaluación!$AA$7:$AA$56,K33)))</f>
        <v/>
      </c>
      <c r="B33" s="15" t="str">
        <f aca="false">IF($K33="","",IF(INDEX(Evaluación!$B$7:$B$56,$K33)="","",INDEX(Evaluación!$B$7:$B$56,$K33)))</f>
        <v/>
      </c>
      <c r="C33" s="15" t="str">
        <f aca="false">IF($K33="","",IF(INDEX(Evaluación!$C$7:$C$56,$K33)="","",INDEX(Evaluación!$C$7:$C$56,$K33)))</f>
        <v/>
      </c>
      <c r="D33" s="15" t="str">
        <f aca="false">IF($K33="","",IF(INDEX(Evaluación!$D$7:$D$56,$K33)="","",INDEX(Evaluación!$D$7:$D$56,$K33)))</f>
        <v/>
      </c>
      <c r="E33" s="15" t="str">
        <f aca="false">IF($K33="","",IF(INDEX(Evaluación!$G$7:$G$56,$K33)="","",INDEX(Evaluación!$G$7:$G$56,$K33)))</f>
        <v/>
      </c>
      <c r="F33" s="21" t="str">
        <f aca="false">IF($K33="","",IF(INDEX(Evaluación!$H$7:$H$56,$K33)="","",INDEX(Evaluación!$H$7:$H$56,$K33)))</f>
        <v/>
      </c>
      <c r="G33" s="15" t="str">
        <f aca="false">IF($K33="","",IF(INDEX(Evaluación!$Y$7:$Y$56,$K33)="","",INDEX(Evaluación!$Y$7:$Y$56,$K33)))</f>
        <v/>
      </c>
      <c r="H33" s="15" t="str">
        <f aca="false">IF($K33="","",IF(INDEX(Evaluación!$Z$7:$Z$56,$K33)="","",INDEX(Evaluación!$Z$7:$Z$56,$K33)))</f>
        <v/>
      </c>
      <c r="I33" s="15" t="str">
        <f aca="false">IF($K33="","",IF(INDEX(Evaluación!$O$7:$O$56,$K33)="","",INDEX(Evaluación!$O$7:$O$56,$K33)))</f>
        <v/>
      </c>
      <c r="J33" s="15" t="str">
        <f aca="false">IF($K33="","",IF(INDEX(Evaluación!$P$7:$P$56,$K33)="","",INDEX(Evaluación!$P$7:$P$56,$K33)))</f>
        <v/>
      </c>
      <c r="K33" s="0" t="str">
        <f aca="false">IFERROR(MATCH(LARGE(Evaluación!$AC$7:$AC$56,19),Evaluación!$AC$7:$AC$56,0),"")</f>
        <v/>
      </c>
    </row>
    <row r="34" customFormat="false" ht="15" hidden="false" customHeight="false" outlineLevel="0" collapsed="false">
      <c r="A34" s="15" t="str">
        <f aca="false">IF(K34="","",IF(INDEX(Evaluación!$AA$7:$AA$56,K34)="","—",INDEX(Evaluación!$AA$7:$AA$56,K34)))</f>
        <v/>
      </c>
      <c r="B34" s="15" t="str">
        <f aca="false">IF($K34="","",IF(INDEX(Evaluación!$B$7:$B$56,$K34)="","",INDEX(Evaluación!$B$7:$B$56,$K34)))</f>
        <v/>
      </c>
      <c r="C34" s="15" t="str">
        <f aca="false">IF($K34="","",IF(INDEX(Evaluación!$C$7:$C$56,$K34)="","",INDEX(Evaluación!$C$7:$C$56,$K34)))</f>
        <v/>
      </c>
      <c r="D34" s="15" t="str">
        <f aca="false">IF($K34="","",IF(INDEX(Evaluación!$D$7:$D$56,$K34)="","",INDEX(Evaluación!$D$7:$D$56,$K34)))</f>
        <v/>
      </c>
      <c r="E34" s="15" t="str">
        <f aca="false">IF($K34="","",IF(INDEX(Evaluación!$G$7:$G$56,$K34)="","",INDEX(Evaluación!$G$7:$G$56,$K34)))</f>
        <v/>
      </c>
      <c r="F34" s="21" t="str">
        <f aca="false">IF($K34="","",IF(INDEX(Evaluación!$H$7:$H$56,$K34)="","",INDEX(Evaluación!$H$7:$H$56,$K34)))</f>
        <v/>
      </c>
      <c r="G34" s="15" t="str">
        <f aca="false">IF($K34="","",IF(INDEX(Evaluación!$Y$7:$Y$56,$K34)="","",INDEX(Evaluación!$Y$7:$Y$56,$K34)))</f>
        <v/>
      </c>
      <c r="H34" s="15" t="str">
        <f aca="false">IF($K34="","",IF(INDEX(Evaluación!$Z$7:$Z$56,$K34)="","",INDEX(Evaluación!$Z$7:$Z$56,$K34)))</f>
        <v/>
      </c>
      <c r="I34" s="15" t="str">
        <f aca="false">IF($K34="","",IF(INDEX(Evaluación!$O$7:$O$56,$K34)="","",INDEX(Evaluación!$O$7:$O$56,$K34)))</f>
        <v/>
      </c>
      <c r="J34" s="15" t="str">
        <f aca="false">IF($K34="","",IF(INDEX(Evaluación!$P$7:$P$56,$K34)="","",INDEX(Evaluación!$P$7:$P$56,$K34)))</f>
        <v/>
      </c>
      <c r="K34" s="0" t="str">
        <f aca="false">IFERROR(MATCH(LARGE(Evaluación!$AC$7:$AC$56,20),Evaluación!$AC$7:$AC$56,0),"")</f>
        <v/>
      </c>
    </row>
    <row r="35" customFormat="false" ht="15" hidden="false" customHeight="false" outlineLevel="0" collapsed="false">
      <c r="A35" s="15" t="str">
        <f aca="false">IF(K35="","",IF(INDEX(Evaluación!$AA$7:$AA$56,K35)="","—",INDEX(Evaluación!$AA$7:$AA$56,K35)))</f>
        <v/>
      </c>
      <c r="B35" s="15" t="str">
        <f aca="false">IF($K35="","",IF(INDEX(Evaluación!$B$7:$B$56,$K35)="","",INDEX(Evaluación!$B$7:$B$56,$K35)))</f>
        <v/>
      </c>
      <c r="C35" s="15" t="str">
        <f aca="false">IF($K35="","",IF(INDEX(Evaluación!$C$7:$C$56,$K35)="","",INDEX(Evaluación!$C$7:$C$56,$K35)))</f>
        <v/>
      </c>
      <c r="D35" s="15" t="str">
        <f aca="false">IF($K35="","",IF(INDEX(Evaluación!$D$7:$D$56,$K35)="","",INDEX(Evaluación!$D$7:$D$56,$K35)))</f>
        <v/>
      </c>
      <c r="E35" s="15" t="str">
        <f aca="false">IF($K35="","",IF(INDEX(Evaluación!$G$7:$G$56,$K35)="","",INDEX(Evaluación!$G$7:$G$56,$K35)))</f>
        <v/>
      </c>
      <c r="F35" s="21" t="str">
        <f aca="false">IF($K35="","",IF(INDEX(Evaluación!$H$7:$H$56,$K35)="","",INDEX(Evaluación!$H$7:$H$56,$K35)))</f>
        <v/>
      </c>
      <c r="G35" s="15" t="str">
        <f aca="false">IF($K35="","",IF(INDEX(Evaluación!$Y$7:$Y$56,$K35)="","",INDEX(Evaluación!$Y$7:$Y$56,$K35)))</f>
        <v/>
      </c>
      <c r="H35" s="15" t="str">
        <f aca="false">IF($K35="","",IF(INDEX(Evaluación!$Z$7:$Z$56,$K35)="","",INDEX(Evaluación!$Z$7:$Z$56,$K35)))</f>
        <v/>
      </c>
      <c r="I35" s="15" t="str">
        <f aca="false">IF($K35="","",IF(INDEX(Evaluación!$O$7:$O$56,$K35)="","",INDEX(Evaluación!$O$7:$O$56,$K35)))</f>
        <v/>
      </c>
      <c r="J35" s="15" t="str">
        <f aca="false">IF($K35="","",IF(INDEX(Evaluación!$P$7:$P$56,$K35)="","",INDEX(Evaluación!$P$7:$P$56,$K35)))</f>
        <v/>
      </c>
      <c r="K35" s="0" t="str">
        <f aca="false">IFERROR(MATCH(LARGE(Evaluación!$AC$7:$AC$56,21),Evaluación!$AC$7:$AC$56,0),"")</f>
        <v/>
      </c>
    </row>
    <row r="36" customFormat="false" ht="15" hidden="false" customHeight="false" outlineLevel="0" collapsed="false">
      <c r="A36" s="15" t="str">
        <f aca="false">IF(K36="","",IF(INDEX(Evaluación!$AA$7:$AA$56,K36)="","—",INDEX(Evaluación!$AA$7:$AA$56,K36)))</f>
        <v/>
      </c>
      <c r="B36" s="15" t="str">
        <f aca="false">IF($K36="","",IF(INDEX(Evaluación!$B$7:$B$56,$K36)="","",INDEX(Evaluación!$B$7:$B$56,$K36)))</f>
        <v/>
      </c>
      <c r="C36" s="15" t="str">
        <f aca="false">IF($K36="","",IF(INDEX(Evaluación!$C$7:$C$56,$K36)="","",INDEX(Evaluación!$C$7:$C$56,$K36)))</f>
        <v/>
      </c>
      <c r="D36" s="15" t="str">
        <f aca="false">IF($K36="","",IF(INDEX(Evaluación!$D$7:$D$56,$K36)="","",INDEX(Evaluación!$D$7:$D$56,$K36)))</f>
        <v/>
      </c>
      <c r="E36" s="15" t="str">
        <f aca="false">IF($K36="","",IF(INDEX(Evaluación!$G$7:$G$56,$K36)="","",INDEX(Evaluación!$G$7:$G$56,$K36)))</f>
        <v/>
      </c>
      <c r="F36" s="21" t="str">
        <f aca="false">IF($K36="","",IF(INDEX(Evaluación!$H$7:$H$56,$K36)="","",INDEX(Evaluación!$H$7:$H$56,$K36)))</f>
        <v/>
      </c>
      <c r="G36" s="15" t="str">
        <f aca="false">IF($K36="","",IF(INDEX(Evaluación!$Y$7:$Y$56,$K36)="","",INDEX(Evaluación!$Y$7:$Y$56,$K36)))</f>
        <v/>
      </c>
      <c r="H36" s="15" t="str">
        <f aca="false">IF($K36="","",IF(INDEX(Evaluación!$Z$7:$Z$56,$K36)="","",INDEX(Evaluación!$Z$7:$Z$56,$K36)))</f>
        <v/>
      </c>
      <c r="I36" s="15" t="str">
        <f aca="false">IF($K36="","",IF(INDEX(Evaluación!$O$7:$O$56,$K36)="","",INDEX(Evaluación!$O$7:$O$56,$K36)))</f>
        <v/>
      </c>
      <c r="J36" s="15" t="str">
        <f aca="false">IF($K36="","",IF(INDEX(Evaluación!$P$7:$P$56,$K36)="","",INDEX(Evaluación!$P$7:$P$56,$K36)))</f>
        <v/>
      </c>
      <c r="K36" s="0" t="str">
        <f aca="false">IFERROR(MATCH(LARGE(Evaluación!$AC$7:$AC$56,22),Evaluación!$AC$7:$AC$56,0),"")</f>
        <v/>
      </c>
    </row>
    <row r="37" customFormat="false" ht="15" hidden="false" customHeight="false" outlineLevel="0" collapsed="false">
      <c r="A37" s="15" t="str">
        <f aca="false">IF(K37="","",IF(INDEX(Evaluación!$AA$7:$AA$56,K37)="","—",INDEX(Evaluación!$AA$7:$AA$56,K37)))</f>
        <v/>
      </c>
      <c r="B37" s="15" t="str">
        <f aca="false">IF($K37="","",IF(INDEX(Evaluación!$B$7:$B$56,$K37)="","",INDEX(Evaluación!$B$7:$B$56,$K37)))</f>
        <v/>
      </c>
      <c r="C37" s="15" t="str">
        <f aca="false">IF($K37="","",IF(INDEX(Evaluación!$C$7:$C$56,$K37)="","",INDEX(Evaluación!$C$7:$C$56,$K37)))</f>
        <v/>
      </c>
      <c r="D37" s="15" t="str">
        <f aca="false">IF($K37="","",IF(INDEX(Evaluación!$D$7:$D$56,$K37)="","",INDEX(Evaluación!$D$7:$D$56,$K37)))</f>
        <v/>
      </c>
      <c r="E37" s="15" t="str">
        <f aca="false">IF($K37="","",IF(INDEX(Evaluación!$G$7:$G$56,$K37)="","",INDEX(Evaluación!$G$7:$G$56,$K37)))</f>
        <v/>
      </c>
      <c r="F37" s="21" t="str">
        <f aca="false">IF($K37="","",IF(INDEX(Evaluación!$H$7:$H$56,$K37)="","",INDEX(Evaluación!$H$7:$H$56,$K37)))</f>
        <v/>
      </c>
      <c r="G37" s="15" t="str">
        <f aca="false">IF($K37="","",IF(INDEX(Evaluación!$Y$7:$Y$56,$K37)="","",INDEX(Evaluación!$Y$7:$Y$56,$K37)))</f>
        <v/>
      </c>
      <c r="H37" s="15" t="str">
        <f aca="false">IF($K37="","",IF(INDEX(Evaluación!$Z$7:$Z$56,$K37)="","",INDEX(Evaluación!$Z$7:$Z$56,$K37)))</f>
        <v/>
      </c>
      <c r="I37" s="15" t="str">
        <f aca="false">IF($K37="","",IF(INDEX(Evaluación!$O$7:$O$56,$K37)="","",INDEX(Evaluación!$O$7:$O$56,$K37)))</f>
        <v/>
      </c>
      <c r="J37" s="15" t="str">
        <f aca="false">IF($K37="","",IF(INDEX(Evaluación!$P$7:$P$56,$K37)="","",INDEX(Evaluación!$P$7:$P$56,$K37)))</f>
        <v/>
      </c>
      <c r="K37" s="0" t="str">
        <f aca="false">IFERROR(MATCH(LARGE(Evaluación!$AC$7:$AC$56,23),Evaluación!$AC$7:$AC$56,0),"")</f>
        <v/>
      </c>
    </row>
    <row r="38" customFormat="false" ht="15" hidden="false" customHeight="false" outlineLevel="0" collapsed="false">
      <c r="A38" s="15" t="str">
        <f aca="false">IF(K38="","",IF(INDEX(Evaluación!$AA$7:$AA$56,K38)="","—",INDEX(Evaluación!$AA$7:$AA$56,K38)))</f>
        <v/>
      </c>
      <c r="B38" s="15" t="str">
        <f aca="false">IF($K38="","",IF(INDEX(Evaluación!$B$7:$B$56,$K38)="","",INDEX(Evaluación!$B$7:$B$56,$K38)))</f>
        <v/>
      </c>
      <c r="C38" s="15" t="str">
        <f aca="false">IF($K38="","",IF(INDEX(Evaluación!$C$7:$C$56,$K38)="","",INDEX(Evaluación!$C$7:$C$56,$K38)))</f>
        <v/>
      </c>
      <c r="D38" s="15" t="str">
        <f aca="false">IF($K38="","",IF(INDEX(Evaluación!$D$7:$D$56,$K38)="","",INDEX(Evaluación!$D$7:$D$56,$K38)))</f>
        <v/>
      </c>
      <c r="E38" s="15" t="str">
        <f aca="false">IF($K38="","",IF(INDEX(Evaluación!$G$7:$G$56,$K38)="","",INDEX(Evaluación!$G$7:$G$56,$K38)))</f>
        <v/>
      </c>
      <c r="F38" s="21" t="str">
        <f aca="false">IF($K38="","",IF(INDEX(Evaluación!$H$7:$H$56,$K38)="","",INDEX(Evaluación!$H$7:$H$56,$K38)))</f>
        <v/>
      </c>
      <c r="G38" s="15" t="str">
        <f aca="false">IF($K38="","",IF(INDEX(Evaluación!$Y$7:$Y$56,$K38)="","",INDEX(Evaluación!$Y$7:$Y$56,$K38)))</f>
        <v/>
      </c>
      <c r="H38" s="15" t="str">
        <f aca="false">IF($K38="","",IF(INDEX(Evaluación!$Z$7:$Z$56,$K38)="","",INDEX(Evaluación!$Z$7:$Z$56,$K38)))</f>
        <v/>
      </c>
      <c r="I38" s="15" t="str">
        <f aca="false">IF($K38="","",IF(INDEX(Evaluación!$O$7:$O$56,$K38)="","",INDEX(Evaluación!$O$7:$O$56,$K38)))</f>
        <v/>
      </c>
      <c r="J38" s="15" t="str">
        <f aca="false">IF($K38="","",IF(INDEX(Evaluación!$P$7:$P$56,$K38)="","",INDEX(Evaluación!$P$7:$P$56,$K38)))</f>
        <v/>
      </c>
      <c r="K38" s="0" t="str">
        <f aca="false">IFERROR(MATCH(LARGE(Evaluación!$AC$7:$AC$56,24),Evaluación!$AC$7:$AC$56,0),"")</f>
        <v/>
      </c>
    </row>
    <row r="39" customFormat="false" ht="15" hidden="false" customHeight="false" outlineLevel="0" collapsed="false">
      <c r="A39" s="15" t="str">
        <f aca="false">IF(K39="","",IF(INDEX(Evaluación!$AA$7:$AA$56,K39)="","—",INDEX(Evaluación!$AA$7:$AA$56,K39)))</f>
        <v/>
      </c>
      <c r="B39" s="15" t="str">
        <f aca="false">IF($K39="","",IF(INDEX(Evaluación!$B$7:$B$56,$K39)="","",INDEX(Evaluación!$B$7:$B$56,$K39)))</f>
        <v/>
      </c>
      <c r="C39" s="15" t="str">
        <f aca="false">IF($K39="","",IF(INDEX(Evaluación!$C$7:$C$56,$K39)="","",INDEX(Evaluación!$C$7:$C$56,$K39)))</f>
        <v/>
      </c>
      <c r="D39" s="15" t="str">
        <f aca="false">IF($K39="","",IF(INDEX(Evaluación!$D$7:$D$56,$K39)="","",INDEX(Evaluación!$D$7:$D$56,$K39)))</f>
        <v/>
      </c>
      <c r="E39" s="15" t="str">
        <f aca="false">IF($K39="","",IF(INDEX(Evaluación!$G$7:$G$56,$K39)="","",INDEX(Evaluación!$G$7:$G$56,$K39)))</f>
        <v/>
      </c>
      <c r="F39" s="21" t="str">
        <f aca="false">IF($K39="","",IF(INDEX(Evaluación!$H$7:$H$56,$K39)="","",INDEX(Evaluación!$H$7:$H$56,$K39)))</f>
        <v/>
      </c>
      <c r="G39" s="15" t="str">
        <f aca="false">IF($K39="","",IF(INDEX(Evaluación!$Y$7:$Y$56,$K39)="","",INDEX(Evaluación!$Y$7:$Y$56,$K39)))</f>
        <v/>
      </c>
      <c r="H39" s="15" t="str">
        <f aca="false">IF($K39="","",IF(INDEX(Evaluación!$Z$7:$Z$56,$K39)="","",INDEX(Evaluación!$Z$7:$Z$56,$K39)))</f>
        <v/>
      </c>
      <c r="I39" s="15" t="str">
        <f aca="false">IF($K39="","",IF(INDEX(Evaluación!$O$7:$O$56,$K39)="","",INDEX(Evaluación!$O$7:$O$56,$K39)))</f>
        <v/>
      </c>
      <c r="J39" s="15" t="str">
        <f aca="false">IF($K39="","",IF(INDEX(Evaluación!$P$7:$P$56,$K39)="","",INDEX(Evaluación!$P$7:$P$56,$K39)))</f>
        <v/>
      </c>
      <c r="K39" s="0" t="str">
        <f aca="false">IFERROR(MATCH(LARGE(Evaluación!$AC$7:$AC$56,25),Evaluación!$AC$7:$AC$56,0),"")</f>
        <v/>
      </c>
    </row>
    <row r="40" customFormat="false" ht="15" hidden="false" customHeight="false" outlineLevel="0" collapsed="false">
      <c r="A40" s="15" t="str">
        <f aca="false">IF(K40="","",IF(INDEX(Evaluación!$AA$7:$AA$56,K40)="","—",INDEX(Evaluación!$AA$7:$AA$56,K40)))</f>
        <v/>
      </c>
      <c r="B40" s="15" t="str">
        <f aca="false">IF($K40="","",IF(INDEX(Evaluación!$B$7:$B$56,$K40)="","",INDEX(Evaluación!$B$7:$B$56,$K40)))</f>
        <v/>
      </c>
      <c r="C40" s="15" t="str">
        <f aca="false">IF($K40="","",IF(INDEX(Evaluación!$C$7:$C$56,$K40)="","",INDEX(Evaluación!$C$7:$C$56,$K40)))</f>
        <v/>
      </c>
      <c r="D40" s="15" t="str">
        <f aca="false">IF($K40="","",IF(INDEX(Evaluación!$D$7:$D$56,$K40)="","",INDEX(Evaluación!$D$7:$D$56,$K40)))</f>
        <v/>
      </c>
      <c r="E40" s="15" t="str">
        <f aca="false">IF($K40="","",IF(INDEX(Evaluación!$G$7:$G$56,$K40)="","",INDEX(Evaluación!$G$7:$G$56,$K40)))</f>
        <v/>
      </c>
      <c r="F40" s="21" t="str">
        <f aca="false">IF($K40="","",IF(INDEX(Evaluación!$H$7:$H$56,$K40)="","",INDEX(Evaluación!$H$7:$H$56,$K40)))</f>
        <v/>
      </c>
      <c r="G40" s="15" t="str">
        <f aca="false">IF($K40="","",IF(INDEX(Evaluación!$Y$7:$Y$56,$K40)="","",INDEX(Evaluación!$Y$7:$Y$56,$K40)))</f>
        <v/>
      </c>
      <c r="H40" s="15" t="str">
        <f aca="false">IF($K40="","",IF(INDEX(Evaluación!$Z$7:$Z$56,$K40)="","",INDEX(Evaluación!$Z$7:$Z$56,$K40)))</f>
        <v/>
      </c>
      <c r="I40" s="15" t="str">
        <f aca="false">IF($K40="","",IF(INDEX(Evaluación!$O$7:$O$56,$K40)="","",INDEX(Evaluación!$O$7:$O$56,$K40)))</f>
        <v/>
      </c>
      <c r="J40" s="15" t="str">
        <f aca="false">IF($K40="","",IF(INDEX(Evaluación!$P$7:$P$56,$K40)="","",INDEX(Evaluación!$P$7:$P$56,$K40)))</f>
        <v/>
      </c>
      <c r="K40" s="0" t="str">
        <f aca="false">IFERROR(MATCH(LARGE(Evaluación!$AC$7:$AC$56,26),Evaluación!$AC$7:$AC$56,0),"")</f>
        <v/>
      </c>
    </row>
    <row r="41" customFormat="false" ht="15" hidden="false" customHeight="false" outlineLevel="0" collapsed="false">
      <c r="A41" s="15" t="str">
        <f aca="false">IF(K41="","",IF(INDEX(Evaluación!$AA$7:$AA$56,K41)="","—",INDEX(Evaluación!$AA$7:$AA$56,K41)))</f>
        <v/>
      </c>
      <c r="B41" s="15" t="str">
        <f aca="false">IF($K41="","",IF(INDEX(Evaluación!$B$7:$B$56,$K41)="","",INDEX(Evaluación!$B$7:$B$56,$K41)))</f>
        <v/>
      </c>
      <c r="C41" s="15" t="str">
        <f aca="false">IF($K41="","",IF(INDEX(Evaluación!$C$7:$C$56,$K41)="","",INDEX(Evaluación!$C$7:$C$56,$K41)))</f>
        <v/>
      </c>
      <c r="D41" s="15" t="str">
        <f aca="false">IF($K41="","",IF(INDEX(Evaluación!$D$7:$D$56,$K41)="","",INDEX(Evaluación!$D$7:$D$56,$K41)))</f>
        <v/>
      </c>
      <c r="E41" s="15" t="str">
        <f aca="false">IF($K41="","",IF(INDEX(Evaluación!$G$7:$G$56,$K41)="","",INDEX(Evaluación!$G$7:$G$56,$K41)))</f>
        <v/>
      </c>
      <c r="F41" s="21" t="str">
        <f aca="false">IF($K41="","",IF(INDEX(Evaluación!$H$7:$H$56,$K41)="","",INDEX(Evaluación!$H$7:$H$56,$K41)))</f>
        <v/>
      </c>
      <c r="G41" s="15" t="str">
        <f aca="false">IF($K41="","",IF(INDEX(Evaluación!$Y$7:$Y$56,$K41)="","",INDEX(Evaluación!$Y$7:$Y$56,$K41)))</f>
        <v/>
      </c>
      <c r="H41" s="15" t="str">
        <f aca="false">IF($K41="","",IF(INDEX(Evaluación!$Z$7:$Z$56,$K41)="","",INDEX(Evaluación!$Z$7:$Z$56,$K41)))</f>
        <v/>
      </c>
      <c r="I41" s="15" t="str">
        <f aca="false">IF($K41="","",IF(INDEX(Evaluación!$O$7:$O$56,$K41)="","",INDEX(Evaluación!$O$7:$O$56,$K41)))</f>
        <v/>
      </c>
      <c r="J41" s="15" t="str">
        <f aca="false">IF($K41="","",IF(INDEX(Evaluación!$P$7:$P$56,$K41)="","",INDEX(Evaluación!$P$7:$P$56,$K41)))</f>
        <v/>
      </c>
      <c r="K41" s="0" t="str">
        <f aca="false">IFERROR(MATCH(LARGE(Evaluación!$AC$7:$AC$56,27),Evaluación!$AC$7:$AC$56,0),"")</f>
        <v/>
      </c>
    </row>
    <row r="42" customFormat="false" ht="15" hidden="false" customHeight="false" outlineLevel="0" collapsed="false">
      <c r="A42" s="15" t="str">
        <f aca="false">IF(K42="","",IF(INDEX(Evaluación!$AA$7:$AA$56,K42)="","—",INDEX(Evaluación!$AA$7:$AA$56,K42)))</f>
        <v/>
      </c>
      <c r="B42" s="15" t="str">
        <f aca="false">IF($K42="","",IF(INDEX(Evaluación!$B$7:$B$56,$K42)="","",INDEX(Evaluación!$B$7:$B$56,$K42)))</f>
        <v/>
      </c>
      <c r="C42" s="15" t="str">
        <f aca="false">IF($K42="","",IF(INDEX(Evaluación!$C$7:$C$56,$K42)="","",INDEX(Evaluación!$C$7:$C$56,$K42)))</f>
        <v/>
      </c>
      <c r="D42" s="15" t="str">
        <f aca="false">IF($K42="","",IF(INDEX(Evaluación!$D$7:$D$56,$K42)="","",INDEX(Evaluación!$D$7:$D$56,$K42)))</f>
        <v/>
      </c>
      <c r="E42" s="15" t="str">
        <f aca="false">IF($K42="","",IF(INDEX(Evaluación!$G$7:$G$56,$K42)="","",INDEX(Evaluación!$G$7:$G$56,$K42)))</f>
        <v/>
      </c>
      <c r="F42" s="21" t="str">
        <f aca="false">IF($K42="","",IF(INDEX(Evaluación!$H$7:$H$56,$K42)="","",INDEX(Evaluación!$H$7:$H$56,$K42)))</f>
        <v/>
      </c>
      <c r="G42" s="15" t="str">
        <f aca="false">IF($K42="","",IF(INDEX(Evaluación!$Y$7:$Y$56,$K42)="","",INDEX(Evaluación!$Y$7:$Y$56,$K42)))</f>
        <v/>
      </c>
      <c r="H42" s="15" t="str">
        <f aca="false">IF($K42="","",IF(INDEX(Evaluación!$Z$7:$Z$56,$K42)="","",INDEX(Evaluación!$Z$7:$Z$56,$K42)))</f>
        <v/>
      </c>
      <c r="I42" s="15" t="str">
        <f aca="false">IF($K42="","",IF(INDEX(Evaluación!$O$7:$O$56,$K42)="","",INDEX(Evaluación!$O$7:$O$56,$K42)))</f>
        <v/>
      </c>
      <c r="J42" s="15" t="str">
        <f aca="false">IF($K42="","",IF(INDEX(Evaluación!$P$7:$P$56,$K42)="","",INDEX(Evaluación!$P$7:$P$56,$K42)))</f>
        <v/>
      </c>
      <c r="K42" s="0" t="str">
        <f aca="false">IFERROR(MATCH(LARGE(Evaluación!$AC$7:$AC$56,28),Evaluación!$AC$7:$AC$56,0),"")</f>
        <v/>
      </c>
    </row>
    <row r="43" customFormat="false" ht="15" hidden="false" customHeight="false" outlineLevel="0" collapsed="false">
      <c r="A43" s="15" t="str">
        <f aca="false">IF(K43="","",IF(INDEX(Evaluación!$AA$7:$AA$56,K43)="","—",INDEX(Evaluación!$AA$7:$AA$56,K43)))</f>
        <v/>
      </c>
      <c r="B43" s="15" t="str">
        <f aca="false">IF($K43="","",IF(INDEX(Evaluación!$B$7:$B$56,$K43)="","",INDEX(Evaluación!$B$7:$B$56,$K43)))</f>
        <v/>
      </c>
      <c r="C43" s="15" t="str">
        <f aca="false">IF($K43="","",IF(INDEX(Evaluación!$C$7:$C$56,$K43)="","",INDEX(Evaluación!$C$7:$C$56,$K43)))</f>
        <v/>
      </c>
      <c r="D43" s="15" t="str">
        <f aca="false">IF($K43="","",IF(INDEX(Evaluación!$D$7:$D$56,$K43)="","",INDEX(Evaluación!$D$7:$D$56,$K43)))</f>
        <v/>
      </c>
      <c r="E43" s="15" t="str">
        <f aca="false">IF($K43="","",IF(INDEX(Evaluación!$G$7:$G$56,$K43)="","",INDEX(Evaluación!$G$7:$G$56,$K43)))</f>
        <v/>
      </c>
      <c r="F43" s="21" t="str">
        <f aca="false">IF($K43="","",IF(INDEX(Evaluación!$H$7:$H$56,$K43)="","",INDEX(Evaluación!$H$7:$H$56,$K43)))</f>
        <v/>
      </c>
      <c r="G43" s="15" t="str">
        <f aca="false">IF($K43="","",IF(INDEX(Evaluación!$Y$7:$Y$56,$K43)="","",INDEX(Evaluación!$Y$7:$Y$56,$K43)))</f>
        <v/>
      </c>
      <c r="H43" s="15" t="str">
        <f aca="false">IF($K43="","",IF(INDEX(Evaluación!$Z$7:$Z$56,$K43)="","",INDEX(Evaluación!$Z$7:$Z$56,$K43)))</f>
        <v/>
      </c>
      <c r="I43" s="15" t="str">
        <f aca="false">IF($K43="","",IF(INDEX(Evaluación!$O$7:$O$56,$K43)="","",INDEX(Evaluación!$O$7:$O$56,$K43)))</f>
        <v/>
      </c>
      <c r="J43" s="15" t="str">
        <f aca="false">IF($K43="","",IF(INDEX(Evaluación!$P$7:$P$56,$K43)="","",INDEX(Evaluación!$P$7:$P$56,$K43)))</f>
        <v/>
      </c>
      <c r="K43" s="0" t="str">
        <f aca="false">IFERROR(MATCH(LARGE(Evaluación!$AC$7:$AC$56,29),Evaluación!$AC$7:$AC$56,0),"")</f>
        <v/>
      </c>
    </row>
    <row r="44" customFormat="false" ht="15" hidden="false" customHeight="false" outlineLevel="0" collapsed="false">
      <c r="A44" s="15" t="str">
        <f aca="false">IF(K44="","",IF(INDEX(Evaluación!$AA$7:$AA$56,K44)="","—",INDEX(Evaluación!$AA$7:$AA$56,K44)))</f>
        <v/>
      </c>
      <c r="B44" s="15" t="str">
        <f aca="false">IF($K44="","",IF(INDEX(Evaluación!$B$7:$B$56,$K44)="","",INDEX(Evaluación!$B$7:$B$56,$K44)))</f>
        <v/>
      </c>
      <c r="C44" s="15" t="str">
        <f aca="false">IF($K44="","",IF(INDEX(Evaluación!$C$7:$C$56,$K44)="","",INDEX(Evaluación!$C$7:$C$56,$K44)))</f>
        <v/>
      </c>
      <c r="D44" s="15" t="str">
        <f aca="false">IF($K44="","",IF(INDEX(Evaluación!$D$7:$D$56,$K44)="","",INDEX(Evaluación!$D$7:$D$56,$K44)))</f>
        <v/>
      </c>
      <c r="E44" s="15" t="str">
        <f aca="false">IF($K44="","",IF(INDEX(Evaluación!$G$7:$G$56,$K44)="","",INDEX(Evaluación!$G$7:$G$56,$K44)))</f>
        <v/>
      </c>
      <c r="F44" s="21" t="str">
        <f aca="false">IF($K44="","",IF(INDEX(Evaluación!$H$7:$H$56,$K44)="","",INDEX(Evaluación!$H$7:$H$56,$K44)))</f>
        <v/>
      </c>
      <c r="G44" s="15" t="str">
        <f aca="false">IF($K44="","",IF(INDEX(Evaluación!$Y$7:$Y$56,$K44)="","",INDEX(Evaluación!$Y$7:$Y$56,$K44)))</f>
        <v/>
      </c>
      <c r="H44" s="15" t="str">
        <f aca="false">IF($K44="","",IF(INDEX(Evaluación!$Z$7:$Z$56,$K44)="","",INDEX(Evaluación!$Z$7:$Z$56,$K44)))</f>
        <v/>
      </c>
      <c r="I44" s="15" t="str">
        <f aca="false">IF($K44="","",IF(INDEX(Evaluación!$O$7:$O$56,$K44)="","",INDEX(Evaluación!$O$7:$O$56,$K44)))</f>
        <v/>
      </c>
      <c r="J44" s="15" t="str">
        <f aca="false">IF($K44="","",IF(INDEX(Evaluación!$P$7:$P$56,$K44)="","",INDEX(Evaluación!$P$7:$P$56,$K44)))</f>
        <v/>
      </c>
      <c r="K44" s="0" t="str">
        <f aca="false">IFERROR(MATCH(LARGE(Evaluación!$AC$7:$AC$56,30),Evaluación!$AC$7:$AC$56,0),"")</f>
        <v/>
      </c>
    </row>
    <row r="45" customFormat="false" ht="15" hidden="false" customHeight="false" outlineLevel="0" collapsed="false">
      <c r="A45" s="15" t="str">
        <f aca="false">IF(K45="","",IF(INDEX(Evaluación!$AA$7:$AA$56,K45)="","—",INDEX(Evaluación!$AA$7:$AA$56,K45)))</f>
        <v/>
      </c>
      <c r="B45" s="15" t="str">
        <f aca="false">IF($K45="","",IF(INDEX(Evaluación!$B$7:$B$56,$K45)="","",INDEX(Evaluación!$B$7:$B$56,$K45)))</f>
        <v/>
      </c>
      <c r="C45" s="15" t="str">
        <f aca="false">IF($K45="","",IF(INDEX(Evaluación!$C$7:$C$56,$K45)="","",INDEX(Evaluación!$C$7:$C$56,$K45)))</f>
        <v/>
      </c>
      <c r="D45" s="15" t="str">
        <f aca="false">IF($K45="","",IF(INDEX(Evaluación!$D$7:$D$56,$K45)="","",INDEX(Evaluación!$D$7:$D$56,$K45)))</f>
        <v/>
      </c>
      <c r="E45" s="15" t="str">
        <f aca="false">IF($K45="","",IF(INDEX(Evaluación!$G$7:$G$56,$K45)="","",INDEX(Evaluación!$G$7:$G$56,$K45)))</f>
        <v/>
      </c>
      <c r="F45" s="21" t="str">
        <f aca="false">IF($K45="","",IF(INDEX(Evaluación!$H$7:$H$56,$K45)="","",INDEX(Evaluación!$H$7:$H$56,$K45)))</f>
        <v/>
      </c>
      <c r="G45" s="15" t="str">
        <f aca="false">IF($K45="","",IF(INDEX(Evaluación!$Y$7:$Y$56,$K45)="","",INDEX(Evaluación!$Y$7:$Y$56,$K45)))</f>
        <v/>
      </c>
      <c r="H45" s="15" t="str">
        <f aca="false">IF($K45="","",IF(INDEX(Evaluación!$Z$7:$Z$56,$K45)="","",INDEX(Evaluación!$Z$7:$Z$56,$K45)))</f>
        <v/>
      </c>
      <c r="I45" s="15" t="str">
        <f aca="false">IF($K45="","",IF(INDEX(Evaluación!$O$7:$O$56,$K45)="","",INDEX(Evaluación!$O$7:$O$56,$K45)))</f>
        <v/>
      </c>
      <c r="J45" s="15" t="str">
        <f aca="false">IF($K45="","",IF(INDEX(Evaluación!$P$7:$P$56,$K45)="","",INDEX(Evaluación!$P$7:$P$56,$K45)))</f>
        <v/>
      </c>
      <c r="K45" s="0" t="str">
        <f aca="false">IFERROR(MATCH(LARGE(Evaluación!$AC$7:$AC$56,31),Evaluación!$AC$7:$AC$56,0),"")</f>
        <v/>
      </c>
    </row>
    <row r="46" customFormat="false" ht="15" hidden="false" customHeight="false" outlineLevel="0" collapsed="false">
      <c r="A46" s="15" t="str">
        <f aca="false">IF(K46="","",IF(INDEX(Evaluación!$AA$7:$AA$56,K46)="","—",INDEX(Evaluación!$AA$7:$AA$56,K46)))</f>
        <v/>
      </c>
      <c r="B46" s="15" t="str">
        <f aca="false">IF($K46="","",IF(INDEX(Evaluación!$B$7:$B$56,$K46)="","",INDEX(Evaluación!$B$7:$B$56,$K46)))</f>
        <v/>
      </c>
      <c r="C46" s="15" t="str">
        <f aca="false">IF($K46="","",IF(INDEX(Evaluación!$C$7:$C$56,$K46)="","",INDEX(Evaluación!$C$7:$C$56,$K46)))</f>
        <v/>
      </c>
      <c r="D46" s="15" t="str">
        <f aca="false">IF($K46="","",IF(INDEX(Evaluación!$D$7:$D$56,$K46)="","",INDEX(Evaluación!$D$7:$D$56,$K46)))</f>
        <v/>
      </c>
      <c r="E46" s="15" t="str">
        <f aca="false">IF($K46="","",IF(INDEX(Evaluación!$G$7:$G$56,$K46)="","",INDEX(Evaluación!$G$7:$G$56,$K46)))</f>
        <v/>
      </c>
      <c r="F46" s="21" t="str">
        <f aca="false">IF($K46="","",IF(INDEX(Evaluación!$H$7:$H$56,$K46)="","",INDEX(Evaluación!$H$7:$H$56,$K46)))</f>
        <v/>
      </c>
      <c r="G46" s="15" t="str">
        <f aca="false">IF($K46="","",IF(INDEX(Evaluación!$Y$7:$Y$56,$K46)="","",INDEX(Evaluación!$Y$7:$Y$56,$K46)))</f>
        <v/>
      </c>
      <c r="H46" s="15" t="str">
        <f aca="false">IF($K46="","",IF(INDEX(Evaluación!$Z$7:$Z$56,$K46)="","",INDEX(Evaluación!$Z$7:$Z$56,$K46)))</f>
        <v/>
      </c>
      <c r="I46" s="15" t="str">
        <f aca="false">IF($K46="","",IF(INDEX(Evaluación!$O$7:$O$56,$K46)="","",INDEX(Evaluación!$O$7:$O$56,$K46)))</f>
        <v/>
      </c>
      <c r="J46" s="15" t="str">
        <f aca="false">IF($K46="","",IF(INDEX(Evaluación!$P$7:$P$56,$K46)="","",INDEX(Evaluación!$P$7:$P$56,$K46)))</f>
        <v/>
      </c>
      <c r="K46" s="0" t="str">
        <f aca="false">IFERROR(MATCH(LARGE(Evaluación!$AC$7:$AC$56,32),Evaluación!$AC$7:$AC$56,0),"")</f>
        <v/>
      </c>
    </row>
    <row r="47" customFormat="false" ht="15" hidden="false" customHeight="false" outlineLevel="0" collapsed="false">
      <c r="A47" s="15" t="str">
        <f aca="false">IF(K47="","",IF(INDEX(Evaluación!$AA$7:$AA$56,K47)="","—",INDEX(Evaluación!$AA$7:$AA$56,K47)))</f>
        <v/>
      </c>
      <c r="B47" s="15" t="str">
        <f aca="false">IF($K47="","",IF(INDEX(Evaluación!$B$7:$B$56,$K47)="","",INDEX(Evaluación!$B$7:$B$56,$K47)))</f>
        <v/>
      </c>
      <c r="C47" s="15" t="str">
        <f aca="false">IF($K47="","",IF(INDEX(Evaluación!$C$7:$C$56,$K47)="","",INDEX(Evaluación!$C$7:$C$56,$K47)))</f>
        <v/>
      </c>
      <c r="D47" s="15" t="str">
        <f aca="false">IF($K47="","",IF(INDEX(Evaluación!$D$7:$D$56,$K47)="","",INDEX(Evaluación!$D$7:$D$56,$K47)))</f>
        <v/>
      </c>
      <c r="E47" s="15" t="str">
        <f aca="false">IF($K47="","",IF(INDEX(Evaluación!$G$7:$G$56,$K47)="","",INDEX(Evaluación!$G$7:$G$56,$K47)))</f>
        <v/>
      </c>
      <c r="F47" s="21" t="str">
        <f aca="false">IF($K47="","",IF(INDEX(Evaluación!$H$7:$H$56,$K47)="","",INDEX(Evaluación!$H$7:$H$56,$K47)))</f>
        <v/>
      </c>
      <c r="G47" s="15" t="str">
        <f aca="false">IF($K47="","",IF(INDEX(Evaluación!$Y$7:$Y$56,$K47)="","",INDEX(Evaluación!$Y$7:$Y$56,$K47)))</f>
        <v/>
      </c>
      <c r="H47" s="15" t="str">
        <f aca="false">IF($K47="","",IF(INDEX(Evaluación!$Z$7:$Z$56,$K47)="","",INDEX(Evaluación!$Z$7:$Z$56,$K47)))</f>
        <v/>
      </c>
      <c r="I47" s="15" t="str">
        <f aca="false">IF($K47="","",IF(INDEX(Evaluación!$O$7:$O$56,$K47)="","",INDEX(Evaluación!$O$7:$O$56,$K47)))</f>
        <v/>
      </c>
      <c r="J47" s="15" t="str">
        <f aca="false">IF($K47="","",IF(INDEX(Evaluación!$P$7:$P$56,$K47)="","",INDEX(Evaluación!$P$7:$P$56,$K47)))</f>
        <v/>
      </c>
      <c r="K47" s="0" t="str">
        <f aca="false">IFERROR(MATCH(LARGE(Evaluación!$AC$7:$AC$56,33),Evaluación!$AC$7:$AC$56,0),"")</f>
        <v/>
      </c>
    </row>
    <row r="48" customFormat="false" ht="15" hidden="false" customHeight="false" outlineLevel="0" collapsed="false">
      <c r="A48" s="15" t="str">
        <f aca="false">IF(K48="","",IF(INDEX(Evaluación!$AA$7:$AA$56,K48)="","—",INDEX(Evaluación!$AA$7:$AA$56,K48)))</f>
        <v/>
      </c>
      <c r="B48" s="15" t="str">
        <f aca="false">IF($K48="","",IF(INDEX(Evaluación!$B$7:$B$56,$K48)="","",INDEX(Evaluación!$B$7:$B$56,$K48)))</f>
        <v/>
      </c>
      <c r="C48" s="15" t="str">
        <f aca="false">IF($K48="","",IF(INDEX(Evaluación!$C$7:$C$56,$K48)="","",INDEX(Evaluación!$C$7:$C$56,$K48)))</f>
        <v/>
      </c>
      <c r="D48" s="15" t="str">
        <f aca="false">IF($K48="","",IF(INDEX(Evaluación!$D$7:$D$56,$K48)="","",INDEX(Evaluación!$D$7:$D$56,$K48)))</f>
        <v/>
      </c>
      <c r="E48" s="15" t="str">
        <f aca="false">IF($K48="","",IF(INDEX(Evaluación!$G$7:$G$56,$K48)="","",INDEX(Evaluación!$G$7:$G$56,$K48)))</f>
        <v/>
      </c>
      <c r="F48" s="21" t="str">
        <f aca="false">IF($K48="","",IF(INDEX(Evaluación!$H$7:$H$56,$K48)="","",INDEX(Evaluación!$H$7:$H$56,$K48)))</f>
        <v/>
      </c>
      <c r="G48" s="15" t="str">
        <f aca="false">IF($K48="","",IF(INDEX(Evaluación!$Y$7:$Y$56,$K48)="","",INDEX(Evaluación!$Y$7:$Y$56,$K48)))</f>
        <v/>
      </c>
      <c r="H48" s="15" t="str">
        <f aca="false">IF($K48="","",IF(INDEX(Evaluación!$Z$7:$Z$56,$K48)="","",INDEX(Evaluación!$Z$7:$Z$56,$K48)))</f>
        <v/>
      </c>
      <c r="I48" s="15" t="str">
        <f aca="false">IF($K48="","",IF(INDEX(Evaluación!$O$7:$O$56,$K48)="","",INDEX(Evaluación!$O$7:$O$56,$K48)))</f>
        <v/>
      </c>
      <c r="J48" s="15" t="str">
        <f aca="false">IF($K48="","",IF(INDEX(Evaluación!$P$7:$P$56,$K48)="","",INDEX(Evaluación!$P$7:$P$56,$K48)))</f>
        <v/>
      </c>
      <c r="K48" s="0" t="str">
        <f aca="false">IFERROR(MATCH(LARGE(Evaluación!$AC$7:$AC$56,34),Evaluación!$AC$7:$AC$56,0),"")</f>
        <v/>
      </c>
    </row>
    <row r="49" customFormat="false" ht="15" hidden="false" customHeight="false" outlineLevel="0" collapsed="false">
      <c r="A49" s="15" t="str">
        <f aca="false">IF(K49="","",IF(INDEX(Evaluación!$AA$7:$AA$56,K49)="","—",INDEX(Evaluación!$AA$7:$AA$56,K49)))</f>
        <v/>
      </c>
      <c r="B49" s="15" t="str">
        <f aca="false">IF($K49="","",IF(INDEX(Evaluación!$B$7:$B$56,$K49)="","",INDEX(Evaluación!$B$7:$B$56,$K49)))</f>
        <v/>
      </c>
      <c r="C49" s="15" t="str">
        <f aca="false">IF($K49="","",IF(INDEX(Evaluación!$C$7:$C$56,$K49)="","",INDEX(Evaluación!$C$7:$C$56,$K49)))</f>
        <v/>
      </c>
      <c r="D49" s="15" t="str">
        <f aca="false">IF($K49="","",IF(INDEX(Evaluación!$D$7:$D$56,$K49)="","",INDEX(Evaluación!$D$7:$D$56,$K49)))</f>
        <v/>
      </c>
      <c r="E49" s="15" t="str">
        <f aca="false">IF($K49="","",IF(INDEX(Evaluación!$G$7:$G$56,$K49)="","",INDEX(Evaluación!$G$7:$G$56,$K49)))</f>
        <v/>
      </c>
      <c r="F49" s="21" t="str">
        <f aca="false">IF($K49="","",IF(INDEX(Evaluación!$H$7:$H$56,$K49)="","",INDEX(Evaluación!$H$7:$H$56,$K49)))</f>
        <v/>
      </c>
      <c r="G49" s="15" t="str">
        <f aca="false">IF($K49="","",IF(INDEX(Evaluación!$Y$7:$Y$56,$K49)="","",INDEX(Evaluación!$Y$7:$Y$56,$K49)))</f>
        <v/>
      </c>
      <c r="H49" s="15" t="str">
        <f aca="false">IF($K49="","",IF(INDEX(Evaluación!$Z$7:$Z$56,$K49)="","",INDEX(Evaluación!$Z$7:$Z$56,$K49)))</f>
        <v/>
      </c>
      <c r="I49" s="15" t="str">
        <f aca="false">IF($K49="","",IF(INDEX(Evaluación!$O$7:$O$56,$K49)="","",INDEX(Evaluación!$O$7:$O$56,$K49)))</f>
        <v/>
      </c>
      <c r="J49" s="15" t="str">
        <f aca="false">IF($K49="","",IF(INDEX(Evaluación!$P$7:$P$56,$K49)="","",INDEX(Evaluación!$P$7:$P$56,$K49)))</f>
        <v/>
      </c>
      <c r="K49" s="0" t="str">
        <f aca="false">IFERROR(MATCH(LARGE(Evaluación!$AC$7:$AC$56,35),Evaluación!$AC$7:$AC$56,0),"")</f>
        <v/>
      </c>
    </row>
    <row r="50" customFormat="false" ht="15" hidden="false" customHeight="false" outlineLevel="0" collapsed="false">
      <c r="A50" s="15" t="str">
        <f aca="false">IF(K50="","",IF(INDEX(Evaluación!$AA$7:$AA$56,K50)="","—",INDEX(Evaluación!$AA$7:$AA$56,K50)))</f>
        <v/>
      </c>
      <c r="B50" s="15" t="str">
        <f aca="false">IF($K50="","",IF(INDEX(Evaluación!$B$7:$B$56,$K50)="","",INDEX(Evaluación!$B$7:$B$56,$K50)))</f>
        <v/>
      </c>
      <c r="C50" s="15" t="str">
        <f aca="false">IF($K50="","",IF(INDEX(Evaluación!$C$7:$C$56,$K50)="","",INDEX(Evaluación!$C$7:$C$56,$K50)))</f>
        <v/>
      </c>
      <c r="D50" s="15" t="str">
        <f aca="false">IF($K50="","",IF(INDEX(Evaluación!$D$7:$D$56,$K50)="","",INDEX(Evaluación!$D$7:$D$56,$K50)))</f>
        <v/>
      </c>
      <c r="E50" s="15" t="str">
        <f aca="false">IF($K50="","",IF(INDEX(Evaluación!$G$7:$G$56,$K50)="","",INDEX(Evaluación!$G$7:$G$56,$K50)))</f>
        <v/>
      </c>
      <c r="F50" s="21" t="str">
        <f aca="false">IF($K50="","",IF(INDEX(Evaluación!$H$7:$H$56,$K50)="","",INDEX(Evaluación!$H$7:$H$56,$K50)))</f>
        <v/>
      </c>
      <c r="G50" s="15" t="str">
        <f aca="false">IF($K50="","",IF(INDEX(Evaluación!$Y$7:$Y$56,$K50)="","",INDEX(Evaluación!$Y$7:$Y$56,$K50)))</f>
        <v/>
      </c>
      <c r="H50" s="15" t="str">
        <f aca="false">IF($K50="","",IF(INDEX(Evaluación!$Z$7:$Z$56,$K50)="","",INDEX(Evaluación!$Z$7:$Z$56,$K50)))</f>
        <v/>
      </c>
      <c r="I50" s="15" t="str">
        <f aca="false">IF($K50="","",IF(INDEX(Evaluación!$O$7:$O$56,$K50)="","",INDEX(Evaluación!$O$7:$O$56,$K50)))</f>
        <v/>
      </c>
      <c r="J50" s="15" t="str">
        <f aca="false">IF($K50="","",IF(INDEX(Evaluación!$P$7:$P$56,$K50)="","",INDEX(Evaluación!$P$7:$P$56,$K50)))</f>
        <v/>
      </c>
      <c r="K50" s="0" t="str">
        <f aca="false">IFERROR(MATCH(LARGE(Evaluación!$AC$7:$AC$56,36),Evaluación!$AC$7:$AC$56,0),"")</f>
        <v/>
      </c>
    </row>
    <row r="51" customFormat="false" ht="15" hidden="false" customHeight="false" outlineLevel="0" collapsed="false">
      <c r="A51" s="15" t="str">
        <f aca="false">IF(K51="","",IF(INDEX(Evaluación!$AA$7:$AA$56,K51)="","—",INDEX(Evaluación!$AA$7:$AA$56,K51)))</f>
        <v/>
      </c>
      <c r="B51" s="15" t="str">
        <f aca="false">IF($K51="","",IF(INDEX(Evaluación!$B$7:$B$56,$K51)="","",INDEX(Evaluación!$B$7:$B$56,$K51)))</f>
        <v/>
      </c>
      <c r="C51" s="15" t="str">
        <f aca="false">IF($K51="","",IF(INDEX(Evaluación!$C$7:$C$56,$K51)="","",INDEX(Evaluación!$C$7:$C$56,$K51)))</f>
        <v/>
      </c>
      <c r="D51" s="15" t="str">
        <f aca="false">IF($K51="","",IF(INDEX(Evaluación!$D$7:$D$56,$K51)="","",INDEX(Evaluación!$D$7:$D$56,$K51)))</f>
        <v/>
      </c>
      <c r="E51" s="15" t="str">
        <f aca="false">IF($K51="","",IF(INDEX(Evaluación!$G$7:$G$56,$K51)="","",INDEX(Evaluación!$G$7:$G$56,$K51)))</f>
        <v/>
      </c>
      <c r="F51" s="21" t="str">
        <f aca="false">IF($K51="","",IF(INDEX(Evaluación!$H$7:$H$56,$K51)="","",INDEX(Evaluación!$H$7:$H$56,$K51)))</f>
        <v/>
      </c>
      <c r="G51" s="15" t="str">
        <f aca="false">IF($K51="","",IF(INDEX(Evaluación!$Y$7:$Y$56,$K51)="","",INDEX(Evaluación!$Y$7:$Y$56,$K51)))</f>
        <v/>
      </c>
      <c r="H51" s="15" t="str">
        <f aca="false">IF($K51="","",IF(INDEX(Evaluación!$Z$7:$Z$56,$K51)="","",INDEX(Evaluación!$Z$7:$Z$56,$K51)))</f>
        <v/>
      </c>
      <c r="I51" s="15" t="str">
        <f aca="false">IF($K51="","",IF(INDEX(Evaluación!$O$7:$O$56,$K51)="","",INDEX(Evaluación!$O$7:$O$56,$K51)))</f>
        <v/>
      </c>
      <c r="J51" s="15" t="str">
        <f aca="false">IF($K51="","",IF(INDEX(Evaluación!$P$7:$P$56,$K51)="","",INDEX(Evaluación!$P$7:$P$56,$K51)))</f>
        <v/>
      </c>
      <c r="K51" s="0" t="str">
        <f aca="false">IFERROR(MATCH(LARGE(Evaluación!$AC$7:$AC$56,37),Evaluación!$AC$7:$AC$56,0),"")</f>
        <v/>
      </c>
    </row>
    <row r="52" customFormat="false" ht="15" hidden="false" customHeight="false" outlineLevel="0" collapsed="false">
      <c r="A52" s="15" t="str">
        <f aca="false">IF(K52="","",IF(INDEX(Evaluación!$AA$7:$AA$56,K52)="","—",INDEX(Evaluación!$AA$7:$AA$56,K52)))</f>
        <v/>
      </c>
      <c r="B52" s="15" t="str">
        <f aca="false">IF($K52="","",IF(INDEX(Evaluación!$B$7:$B$56,$K52)="","",INDEX(Evaluación!$B$7:$B$56,$K52)))</f>
        <v/>
      </c>
      <c r="C52" s="15" t="str">
        <f aca="false">IF($K52="","",IF(INDEX(Evaluación!$C$7:$C$56,$K52)="","",INDEX(Evaluación!$C$7:$C$56,$K52)))</f>
        <v/>
      </c>
      <c r="D52" s="15" t="str">
        <f aca="false">IF($K52="","",IF(INDEX(Evaluación!$D$7:$D$56,$K52)="","",INDEX(Evaluación!$D$7:$D$56,$K52)))</f>
        <v/>
      </c>
      <c r="E52" s="15" t="str">
        <f aca="false">IF($K52="","",IF(INDEX(Evaluación!$G$7:$G$56,$K52)="","",INDEX(Evaluación!$G$7:$G$56,$K52)))</f>
        <v/>
      </c>
      <c r="F52" s="21" t="str">
        <f aca="false">IF($K52="","",IF(INDEX(Evaluación!$H$7:$H$56,$K52)="","",INDEX(Evaluación!$H$7:$H$56,$K52)))</f>
        <v/>
      </c>
      <c r="G52" s="15" t="str">
        <f aca="false">IF($K52="","",IF(INDEX(Evaluación!$Y$7:$Y$56,$K52)="","",INDEX(Evaluación!$Y$7:$Y$56,$K52)))</f>
        <v/>
      </c>
      <c r="H52" s="15" t="str">
        <f aca="false">IF($K52="","",IF(INDEX(Evaluación!$Z$7:$Z$56,$K52)="","",INDEX(Evaluación!$Z$7:$Z$56,$K52)))</f>
        <v/>
      </c>
      <c r="I52" s="15" t="str">
        <f aca="false">IF($K52="","",IF(INDEX(Evaluación!$O$7:$O$56,$K52)="","",INDEX(Evaluación!$O$7:$O$56,$K52)))</f>
        <v/>
      </c>
      <c r="J52" s="15" t="str">
        <f aca="false">IF($K52="","",IF(INDEX(Evaluación!$P$7:$P$56,$K52)="","",INDEX(Evaluación!$P$7:$P$56,$K52)))</f>
        <v/>
      </c>
      <c r="K52" s="0" t="str">
        <f aca="false">IFERROR(MATCH(LARGE(Evaluación!$AC$7:$AC$56,38),Evaluación!$AC$7:$AC$56,0),"")</f>
        <v/>
      </c>
    </row>
    <row r="53" customFormat="false" ht="15" hidden="false" customHeight="false" outlineLevel="0" collapsed="false">
      <c r="A53" s="15" t="str">
        <f aca="false">IF(K53="","",IF(INDEX(Evaluación!$AA$7:$AA$56,K53)="","—",INDEX(Evaluación!$AA$7:$AA$56,K53)))</f>
        <v/>
      </c>
      <c r="B53" s="15" t="str">
        <f aca="false">IF($K53="","",IF(INDEX(Evaluación!$B$7:$B$56,$K53)="","",INDEX(Evaluación!$B$7:$B$56,$K53)))</f>
        <v/>
      </c>
      <c r="C53" s="15" t="str">
        <f aca="false">IF($K53="","",IF(INDEX(Evaluación!$C$7:$C$56,$K53)="","",INDEX(Evaluación!$C$7:$C$56,$K53)))</f>
        <v/>
      </c>
      <c r="D53" s="15" t="str">
        <f aca="false">IF($K53="","",IF(INDEX(Evaluación!$D$7:$D$56,$K53)="","",INDEX(Evaluación!$D$7:$D$56,$K53)))</f>
        <v/>
      </c>
      <c r="E53" s="15" t="str">
        <f aca="false">IF($K53="","",IF(INDEX(Evaluación!$G$7:$G$56,$K53)="","",INDEX(Evaluación!$G$7:$G$56,$K53)))</f>
        <v/>
      </c>
      <c r="F53" s="21" t="str">
        <f aca="false">IF($K53="","",IF(INDEX(Evaluación!$H$7:$H$56,$K53)="","",INDEX(Evaluación!$H$7:$H$56,$K53)))</f>
        <v/>
      </c>
      <c r="G53" s="15" t="str">
        <f aca="false">IF($K53="","",IF(INDEX(Evaluación!$Y$7:$Y$56,$K53)="","",INDEX(Evaluación!$Y$7:$Y$56,$K53)))</f>
        <v/>
      </c>
      <c r="H53" s="15" t="str">
        <f aca="false">IF($K53="","",IF(INDEX(Evaluación!$Z$7:$Z$56,$K53)="","",INDEX(Evaluación!$Z$7:$Z$56,$K53)))</f>
        <v/>
      </c>
      <c r="I53" s="15" t="str">
        <f aca="false">IF($K53="","",IF(INDEX(Evaluación!$O$7:$O$56,$K53)="","",INDEX(Evaluación!$O$7:$O$56,$K53)))</f>
        <v/>
      </c>
      <c r="J53" s="15" t="str">
        <f aca="false">IF($K53="","",IF(INDEX(Evaluación!$P$7:$P$56,$K53)="","",INDEX(Evaluación!$P$7:$P$56,$K53)))</f>
        <v/>
      </c>
      <c r="K53" s="0" t="str">
        <f aca="false">IFERROR(MATCH(LARGE(Evaluación!$AC$7:$AC$56,39),Evaluación!$AC$7:$AC$56,0),"")</f>
        <v/>
      </c>
    </row>
    <row r="54" customFormat="false" ht="15" hidden="false" customHeight="false" outlineLevel="0" collapsed="false">
      <c r="A54" s="15" t="str">
        <f aca="false">IF(K54="","",IF(INDEX(Evaluación!$AA$7:$AA$56,K54)="","—",INDEX(Evaluación!$AA$7:$AA$56,K54)))</f>
        <v/>
      </c>
      <c r="B54" s="15" t="str">
        <f aca="false">IF($K54="","",IF(INDEX(Evaluación!$B$7:$B$56,$K54)="","",INDEX(Evaluación!$B$7:$B$56,$K54)))</f>
        <v/>
      </c>
      <c r="C54" s="15" t="str">
        <f aca="false">IF($K54="","",IF(INDEX(Evaluación!$C$7:$C$56,$K54)="","",INDEX(Evaluación!$C$7:$C$56,$K54)))</f>
        <v/>
      </c>
      <c r="D54" s="15" t="str">
        <f aca="false">IF($K54="","",IF(INDEX(Evaluación!$D$7:$D$56,$K54)="","",INDEX(Evaluación!$D$7:$D$56,$K54)))</f>
        <v/>
      </c>
      <c r="E54" s="15" t="str">
        <f aca="false">IF($K54="","",IF(INDEX(Evaluación!$G$7:$G$56,$K54)="","",INDEX(Evaluación!$G$7:$G$56,$K54)))</f>
        <v/>
      </c>
      <c r="F54" s="21" t="str">
        <f aca="false">IF($K54="","",IF(INDEX(Evaluación!$H$7:$H$56,$K54)="","",INDEX(Evaluación!$H$7:$H$56,$K54)))</f>
        <v/>
      </c>
      <c r="G54" s="15" t="str">
        <f aca="false">IF($K54="","",IF(INDEX(Evaluación!$Y$7:$Y$56,$K54)="","",INDEX(Evaluación!$Y$7:$Y$56,$K54)))</f>
        <v/>
      </c>
      <c r="H54" s="15" t="str">
        <f aca="false">IF($K54="","",IF(INDEX(Evaluación!$Z$7:$Z$56,$K54)="","",INDEX(Evaluación!$Z$7:$Z$56,$K54)))</f>
        <v/>
      </c>
      <c r="I54" s="15" t="str">
        <f aca="false">IF($K54="","",IF(INDEX(Evaluación!$O$7:$O$56,$K54)="","",INDEX(Evaluación!$O$7:$O$56,$K54)))</f>
        <v/>
      </c>
      <c r="J54" s="15" t="str">
        <f aca="false">IF($K54="","",IF(INDEX(Evaluación!$P$7:$P$56,$K54)="","",INDEX(Evaluación!$P$7:$P$56,$K54)))</f>
        <v/>
      </c>
      <c r="K54" s="0" t="str">
        <f aca="false">IFERROR(MATCH(LARGE(Evaluación!$AC$7:$AC$56,40),Evaluación!$AC$7:$AC$56,0),"")</f>
        <v/>
      </c>
    </row>
    <row r="55" customFormat="false" ht="15" hidden="false" customHeight="false" outlineLevel="0" collapsed="false">
      <c r="A55" s="15" t="str">
        <f aca="false">IF(K55="","",IF(INDEX(Evaluación!$AA$7:$AA$56,K55)="","—",INDEX(Evaluación!$AA$7:$AA$56,K55)))</f>
        <v/>
      </c>
      <c r="B55" s="15" t="str">
        <f aca="false">IF($K55="","",IF(INDEX(Evaluación!$B$7:$B$56,$K55)="","",INDEX(Evaluación!$B$7:$B$56,$K55)))</f>
        <v/>
      </c>
      <c r="C55" s="15" t="str">
        <f aca="false">IF($K55="","",IF(INDEX(Evaluación!$C$7:$C$56,$K55)="","",INDEX(Evaluación!$C$7:$C$56,$K55)))</f>
        <v/>
      </c>
      <c r="D55" s="15" t="str">
        <f aca="false">IF($K55="","",IF(INDEX(Evaluación!$D$7:$D$56,$K55)="","",INDEX(Evaluación!$D$7:$D$56,$K55)))</f>
        <v/>
      </c>
      <c r="E55" s="15" t="str">
        <f aca="false">IF($K55="","",IF(INDEX(Evaluación!$G$7:$G$56,$K55)="","",INDEX(Evaluación!$G$7:$G$56,$K55)))</f>
        <v/>
      </c>
      <c r="F55" s="21" t="str">
        <f aca="false">IF($K55="","",IF(INDEX(Evaluación!$H$7:$H$56,$K55)="","",INDEX(Evaluación!$H$7:$H$56,$K55)))</f>
        <v/>
      </c>
      <c r="G55" s="15" t="str">
        <f aca="false">IF($K55="","",IF(INDEX(Evaluación!$Y$7:$Y$56,$K55)="","",INDEX(Evaluación!$Y$7:$Y$56,$K55)))</f>
        <v/>
      </c>
      <c r="H55" s="15" t="str">
        <f aca="false">IF($K55="","",IF(INDEX(Evaluación!$Z$7:$Z$56,$K55)="","",INDEX(Evaluación!$Z$7:$Z$56,$K55)))</f>
        <v/>
      </c>
      <c r="I55" s="15" t="str">
        <f aca="false">IF($K55="","",IF(INDEX(Evaluación!$O$7:$O$56,$K55)="","",INDEX(Evaluación!$O$7:$O$56,$K55)))</f>
        <v/>
      </c>
      <c r="J55" s="15" t="str">
        <f aca="false">IF($K55="","",IF(INDEX(Evaluación!$P$7:$P$56,$K55)="","",INDEX(Evaluación!$P$7:$P$56,$K55)))</f>
        <v/>
      </c>
      <c r="K55" s="0" t="str">
        <f aca="false">IFERROR(MATCH(LARGE(Evaluación!$AC$7:$AC$56,41),Evaluación!$AC$7:$AC$56,0),"")</f>
        <v/>
      </c>
    </row>
    <row r="56" customFormat="false" ht="15" hidden="false" customHeight="false" outlineLevel="0" collapsed="false">
      <c r="A56" s="15" t="str">
        <f aca="false">IF(K56="","",IF(INDEX(Evaluación!$AA$7:$AA$56,K56)="","—",INDEX(Evaluación!$AA$7:$AA$56,K56)))</f>
        <v/>
      </c>
      <c r="B56" s="15" t="str">
        <f aca="false">IF($K56="","",IF(INDEX(Evaluación!$B$7:$B$56,$K56)="","",INDEX(Evaluación!$B$7:$B$56,$K56)))</f>
        <v/>
      </c>
      <c r="C56" s="15" t="str">
        <f aca="false">IF($K56="","",IF(INDEX(Evaluación!$C$7:$C$56,$K56)="","",INDEX(Evaluación!$C$7:$C$56,$K56)))</f>
        <v/>
      </c>
      <c r="D56" s="15" t="str">
        <f aca="false">IF($K56="","",IF(INDEX(Evaluación!$D$7:$D$56,$K56)="","",INDEX(Evaluación!$D$7:$D$56,$K56)))</f>
        <v/>
      </c>
      <c r="E56" s="15" t="str">
        <f aca="false">IF($K56="","",IF(INDEX(Evaluación!$G$7:$G$56,$K56)="","",INDEX(Evaluación!$G$7:$G$56,$K56)))</f>
        <v/>
      </c>
      <c r="F56" s="21" t="str">
        <f aca="false">IF($K56="","",IF(INDEX(Evaluación!$H$7:$H$56,$K56)="","",INDEX(Evaluación!$H$7:$H$56,$K56)))</f>
        <v/>
      </c>
      <c r="G56" s="15" t="str">
        <f aca="false">IF($K56="","",IF(INDEX(Evaluación!$Y$7:$Y$56,$K56)="","",INDEX(Evaluación!$Y$7:$Y$56,$K56)))</f>
        <v/>
      </c>
      <c r="H56" s="15" t="str">
        <f aca="false">IF($K56="","",IF(INDEX(Evaluación!$Z$7:$Z$56,$K56)="","",INDEX(Evaluación!$Z$7:$Z$56,$K56)))</f>
        <v/>
      </c>
      <c r="I56" s="15" t="str">
        <f aca="false">IF($K56="","",IF(INDEX(Evaluación!$O$7:$O$56,$K56)="","",INDEX(Evaluación!$O$7:$O$56,$K56)))</f>
        <v/>
      </c>
      <c r="J56" s="15" t="str">
        <f aca="false">IF($K56="","",IF(INDEX(Evaluación!$P$7:$P$56,$K56)="","",INDEX(Evaluación!$P$7:$P$56,$K56)))</f>
        <v/>
      </c>
      <c r="K56" s="0" t="str">
        <f aca="false">IFERROR(MATCH(LARGE(Evaluación!$AC$7:$AC$56,42),Evaluación!$AC$7:$AC$56,0),"")</f>
        <v/>
      </c>
    </row>
    <row r="57" customFormat="false" ht="15" hidden="false" customHeight="false" outlineLevel="0" collapsed="false">
      <c r="A57" s="15" t="str">
        <f aca="false">IF(K57="","",IF(INDEX(Evaluación!$AA$7:$AA$56,K57)="","—",INDEX(Evaluación!$AA$7:$AA$56,K57)))</f>
        <v/>
      </c>
      <c r="B57" s="15" t="str">
        <f aca="false">IF($K57="","",IF(INDEX(Evaluación!$B$7:$B$56,$K57)="","",INDEX(Evaluación!$B$7:$B$56,$K57)))</f>
        <v/>
      </c>
      <c r="C57" s="15" t="str">
        <f aca="false">IF($K57="","",IF(INDEX(Evaluación!$C$7:$C$56,$K57)="","",INDEX(Evaluación!$C$7:$C$56,$K57)))</f>
        <v/>
      </c>
      <c r="D57" s="15" t="str">
        <f aca="false">IF($K57="","",IF(INDEX(Evaluación!$D$7:$D$56,$K57)="","",INDEX(Evaluación!$D$7:$D$56,$K57)))</f>
        <v/>
      </c>
      <c r="E57" s="15" t="str">
        <f aca="false">IF($K57="","",IF(INDEX(Evaluación!$G$7:$G$56,$K57)="","",INDEX(Evaluación!$G$7:$G$56,$K57)))</f>
        <v/>
      </c>
      <c r="F57" s="21" t="str">
        <f aca="false">IF($K57="","",IF(INDEX(Evaluación!$H$7:$H$56,$K57)="","",INDEX(Evaluación!$H$7:$H$56,$K57)))</f>
        <v/>
      </c>
      <c r="G57" s="15" t="str">
        <f aca="false">IF($K57="","",IF(INDEX(Evaluación!$Y$7:$Y$56,$K57)="","",INDEX(Evaluación!$Y$7:$Y$56,$K57)))</f>
        <v/>
      </c>
      <c r="H57" s="15" t="str">
        <f aca="false">IF($K57="","",IF(INDEX(Evaluación!$Z$7:$Z$56,$K57)="","",INDEX(Evaluación!$Z$7:$Z$56,$K57)))</f>
        <v/>
      </c>
      <c r="I57" s="15" t="str">
        <f aca="false">IF($K57="","",IF(INDEX(Evaluación!$O$7:$O$56,$K57)="","",INDEX(Evaluación!$O$7:$O$56,$K57)))</f>
        <v/>
      </c>
      <c r="J57" s="15" t="str">
        <f aca="false">IF($K57="","",IF(INDEX(Evaluación!$P$7:$P$56,$K57)="","",INDEX(Evaluación!$P$7:$P$56,$K57)))</f>
        <v/>
      </c>
      <c r="K57" s="0" t="str">
        <f aca="false">IFERROR(MATCH(LARGE(Evaluación!$AC$7:$AC$56,43),Evaluación!$AC$7:$AC$56,0),"")</f>
        <v/>
      </c>
    </row>
    <row r="58" customFormat="false" ht="15" hidden="false" customHeight="false" outlineLevel="0" collapsed="false">
      <c r="A58" s="15" t="str">
        <f aca="false">IF(K58="","",IF(INDEX(Evaluación!$AA$7:$AA$56,K58)="","—",INDEX(Evaluación!$AA$7:$AA$56,K58)))</f>
        <v/>
      </c>
      <c r="B58" s="15" t="str">
        <f aca="false">IF($K58="","",IF(INDEX(Evaluación!$B$7:$B$56,$K58)="","",INDEX(Evaluación!$B$7:$B$56,$K58)))</f>
        <v/>
      </c>
      <c r="C58" s="15" t="str">
        <f aca="false">IF($K58="","",IF(INDEX(Evaluación!$C$7:$C$56,$K58)="","",INDEX(Evaluación!$C$7:$C$56,$K58)))</f>
        <v/>
      </c>
      <c r="D58" s="15" t="str">
        <f aca="false">IF($K58="","",IF(INDEX(Evaluación!$D$7:$D$56,$K58)="","",INDEX(Evaluación!$D$7:$D$56,$K58)))</f>
        <v/>
      </c>
      <c r="E58" s="15" t="str">
        <f aca="false">IF($K58="","",IF(INDEX(Evaluación!$G$7:$G$56,$K58)="","",INDEX(Evaluación!$G$7:$G$56,$K58)))</f>
        <v/>
      </c>
      <c r="F58" s="21" t="str">
        <f aca="false">IF($K58="","",IF(INDEX(Evaluación!$H$7:$H$56,$K58)="","",INDEX(Evaluación!$H$7:$H$56,$K58)))</f>
        <v/>
      </c>
      <c r="G58" s="15" t="str">
        <f aca="false">IF($K58="","",IF(INDEX(Evaluación!$Y$7:$Y$56,$K58)="","",INDEX(Evaluación!$Y$7:$Y$56,$K58)))</f>
        <v/>
      </c>
      <c r="H58" s="15" t="str">
        <f aca="false">IF($K58="","",IF(INDEX(Evaluación!$Z$7:$Z$56,$K58)="","",INDEX(Evaluación!$Z$7:$Z$56,$K58)))</f>
        <v/>
      </c>
      <c r="I58" s="15" t="str">
        <f aca="false">IF($K58="","",IF(INDEX(Evaluación!$O$7:$O$56,$K58)="","",INDEX(Evaluación!$O$7:$O$56,$K58)))</f>
        <v/>
      </c>
      <c r="J58" s="15" t="str">
        <f aca="false">IF($K58="","",IF(INDEX(Evaluación!$P$7:$P$56,$K58)="","",INDEX(Evaluación!$P$7:$P$56,$K58)))</f>
        <v/>
      </c>
      <c r="K58" s="0" t="str">
        <f aca="false">IFERROR(MATCH(LARGE(Evaluación!$AC$7:$AC$56,44),Evaluación!$AC$7:$AC$56,0),"")</f>
        <v/>
      </c>
    </row>
    <row r="59" customFormat="false" ht="15" hidden="false" customHeight="false" outlineLevel="0" collapsed="false">
      <c r="A59" s="15" t="str">
        <f aca="false">IF(K59="","",IF(INDEX(Evaluación!$AA$7:$AA$56,K59)="","—",INDEX(Evaluación!$AA$7:$AA$56,K59)))</f>
        <v/>
      </c>
      <c r="B59" s="15" t="str">
        <f aca="false">IF($K59="","",IF(INDEX(Evaluación!$B$7:$B$56,$K59)="","",INDEX(Evaluación!$B$7:$B$56,$K59)))</f>
        <v/>
      </c>
      <c r="C59" s="15" t="str">
        <f aca="false">IF($K59="","",IF(INDEX(Evaluación!$C$7:$C$56,$K59)="","",INDEX(Evaluación!$C$7:$C$56,$K59)))</f>
        <v/>
      </c>
      <c r="D59" s="15" t="str">
        <f aca="false">IF($K59="","",IF(INDEX(Evaluación!$D$7:$D$56,$K59)="","",INDEX(Evaluación!$D$7:$D$56,$K59)))</f>
        <v/>
      </c>
      <c r="E59" s="15" t="str">
        <f aca="false">IF($K59="","",IF(INDEX(Evaluación!$G$7:$G$56,$K59)="","",INDEX(Evaluación!$G$7:$G$56,$K59)))</f>
        <v/>
      </c>
      <c r="F59" s="21" t="str">
        <f aca="false">IF($K59="","",IF(INDEX(Evaluación!$H$7:$H$56,$K59)="","",INDEX(Evaluación!$H$7:$H$56,$K59)))</f>
        <v/>
      </c>
      <c r="G59" s="15" t="str">
        <f aca="false">IF($K59="","",IF(INDEX(Evaluación!$Y$7:$Y$56,$K59)="","",INDEX(Evaluación!$Y$7:$Y$56,$K59)))</f>
        <v/>
      </c>
      <c r="H59" s="15" t="str">
        <f aca="false">IF($K59="","",IF(INDEX(Evaluación!$Z$7:$Z$56,$K59)="","",INDEX(Evaluación!$Z$7:$Z$56,$K59)))</f>
        <v/>
      </c>
      <c r="I59" s="15" t="str">
        <f aca="false">IF($K59="","",IF(INDEX(Evaluación!$O$7:$O$56,$K59)="","",INDEX(Evaluación!$O$7:$O$56,$K59)))</f>
        <v/>
      </c>
      <c r="J59" s="15" t="str">
        <f aca="false">IF($K59="","",IF(INDEX(Evaluación!$P$7:$P$56,$K59)="","",INDEX(Evaluación!$P$7:$P$56,$K59)))</f>
        <v/>
      </c>
      <c r="K59" s="0" t="str">
        <f aca="false">IFERROR(MATCH(LARGE(Evaluación!$AC$7:$AC$56,45),Evaluación!$AC$7:$AC$56,0),"")</f>
        <v/>
      </c>
    </row>
    <row r="60" customFormat="false" ht="15" hidden="false" customHeight="false" outlineLevel="0" collapsed="false">
      <c r="A60" s="15" t="str">
        <f aca="false">IF(K60="","",IF(INDEX(Evaluación!$AA$7:$AA$56,K60)="","—",INDEX(Evaluación!$AA$7:$AA$56,K60)))</f>
        <v/>
      </c>
      <c r="B60" s="15" t="str">
        <f aca="false">IF($K60="","",IF(INDEX(Evaluación!$B$7:$B$56,$K60)="","",INDEX(Evaluación!$B$7:$B$56,$K60)))</f>
        <v/>
      </c>
      <c r="C60" s="15" t="str">
        <f aca="false">IF($K60="","",IF(INDEX(Evaluación!$C$7:$C$56,$K60)="","",INDEX(Evaluación!$C$7:$C$56,$K60)))</f>
        <v/>
      </c>
      <c r="D60" s="15" t="str">
        <f aca="false">IF($K60="","",IF(INDEX(Evaluación!$D$7:$D$56,$K60)="","",INDEX(Evaluación!$D$7:$D$56,$K60)))</f>
        <v/>
      </c>
      <c r="E60" s="15" t="str">
        <f aca="false">IF($K60="","",IF(INDEX(Evaluación!$G$7:$G$56,$K60)="","",INDEX(Evaluación!$G$7:$G$56,$K60)))</f>
        <v/>
      </c>
      <c r="F60" s="21" t="str">
        <f aca="false">IF($K60="","",IF(INDEX(Evaluación!$H$7:$H$56,$K60)="","",INDEX(Evaluación!$H$7:$H$56,$K60)))</f>
        <v/>
      </c>
      <c r="G60" s="15" t="str">
        <f aca="false">IF($K60="","",IF(INDEX(Evaluación!$Y$7:$Y$56,$K60)="","",INDEX(Evaluación!$Y$7:$Y$56,$K60)))</f>
        <v/>
      </c>
      <c r="H60" s="15" t="str">
        <f aca="false">IF($K60="","",IF(INDEX(Evaluación!$Z$7:$Z$56,$K60)="","",INDEX(Evaluación!$Z$7:$Z$56,$K60)))</f>
        <v/>
      </c>
      <c r="I60" s="15" t="str">
        <f aca="false">IF($K60="","",IF(INDEX(Evaluación!$O$7:$O$56,$K60)="","",INDEX(Evaluación!$O$7:$O$56,$K60)))</f>
        <v/>
      </c>
      <c r="J60" s="15" t="str">
        <f aca="false">IF($K60="","",IF(INDEX(Evaluación!$P$7:$P$56,$K60)="","",INDEX(Evaluación!$P$7:$P$56,$K60)))</f>
        <v/>
      </c>
      <c r="K60" s="0" t="str">
        <f aca="false">IFERROR(MATCH(LARGE(Evaluación!$AC$7:$AC$56,46),Evaluación!$AC$7:$AC$56,0),"")</f>
        <v/>
      </c>
    </row>
    <row r="61" customFormat="false" ht="15" hidden="false" customHeight="false" outlineLevel="0" collapsed="false">
      <c r="A61" s="15" t="str">
        <f aca="false">IF(K61="","",IF(INDEX(Evaluación!$AA$7:$AA$56,K61)="","—",INDEX(Evaluación!$AA$7:$AA$56,K61)))</f>
        <v/>
      </c>
      <c r="B61" s="15" t="str">
        <f aca="false">IF($K61="","",IF(INDEX(Evaluación!$B$7:$B$56,$K61)="","",INDEX(Evaluación!$B$7:$B$56,$K61)))</f>
        <v/>
      </c>
      <c r="C61" s="15" t="str">
        <f aca="false">IF($K61="","",IF(INDEX(Evaluación!$C$7:$C$56,$K61)="","",INDEX(Evaluación!$C$7:$C$56,$K61)))</f>
        <v/>
      </c>
      <c r="D61" s="15" t="str">
        <f aca="false">IF($K61="","",IF(INDEX(Evaluación!$D$7:$D$56,$K61)="","",INDEX(Evaluación!$D$7:$D$56,$K61)))</f>
        <v/>
      </c>
      <c r="E61" s="15" t="str">
        <f aca="false">IF($K61="","",IF(INDEX(Evaluación!$G$7:$G$56,$K61)="","",INDEX(Evaluación!$G$7:$G$56,$K61)))</f>
        <v/>
      </c>
      <c r="F61" s="21" t="str">
        <f aca="false">IF($K61="","",IF(INDEX(Evaluación!$H$7:$H$56,$K61)="","",INDEX(Evaluación!$H$7:$H$56,$K61)))</f>
        <v/>
      </c>
      <c r="G61" s="15" t="str">
        <f aca="false">IF($K61="","",IF(INDEX(Evaluación!$Y$7:$Y$56,$K61)="","",INDEX(Evaluación!$Y$7:$Y$56,$K61)))</f>
        <v/>
      </c>
      <c r="H61" s="15" t="str">
        <f aca="false">IF($K61="","",IF(INDEX(Evaluación!$Z$7:$Z$56,$K61)="","",INDEX(Evaluación!$Z$7:$Z$56,$K61)))</f>
        <v/>
      </c>
      <c r="I61" s="15" t="str">
        <f aca="false">IF($K61="","",IF(INDEX(Evaluación!$O$7:$O$56,$K61)="","",INDEX(Evaluación!$O$7:$O$56,$K61)))</f>
        <v/>
      </c>
      <c r="J61" s="15" t="str">
        <f aca="false">IF($K61="","",IF(INDEX(Evaluación!$P$7:$P$56,$K61)="","",INDEX(Evaluación!$P$7:$P$56,$K61)))</f>
        <v/>
      </c>
      <c r="K61" s="0" t="str">
        <f aca="false">IFERROR(MATCH(LARGE(Evaluación!$AC$7:$AC$56,47),Evaluación!$AC$7:$AC$56,0),"")</f>
        <v/>
      </c>
    </row>
    <row r="62" customFormat="false" ht="15" hidden="false" customHeight="false" outlineLevel="0" collapsed="false">
      <c r="A62" s="15" t="str">
        <f aca="false">IF(K62="","",IF(INDEX(Evaluación!$AA$7:$AA$56,K62)="","—",INDEX(Evaluación!$AA$7:$AA$56,K62)))</f>
        <v/>
      </c>
      <c r="B62" s="15" t="str">
        <f aca="false">IF($K62="","",IF(INDEX(Evaluación!$B$7:$B$56,$K62)="","",INDEX(Evaluación!$B$7:$B$56,$K62)))</f>
        <v/>
      </c>
      <c r="C62" s="15" t="str">
        <f aca="false">IF($K62="","",IF(INDEX(Evaluación!$C$7:$C$56,$K62)="","",INDEX(Evaluación!$C$7:$C$56,$K62)))</f>
        <v/>
      </c>
      <c r="D62" s="15" t="str">
        <f aca="false">IF($K62="","",IF(INDEX(Evaluación!$D$7:$D$56,$K62)="","",INDEX(Evaluación!$D$7:$D$56,$K62)))</f>
        <v/>
      </c>
      <c r="E62" s="15" t="str">
        <f aca="false">IF($K62="","",IF(INDEX(Evaluación!$G$7:$G$56,$K62)="","",INDEX(Evaluación!$G$7:$G$56,$K62)))</f>
        <v/>
      </c>
      <c r="F62" s="21" t="str">
        <f aca="false">IF($K62="","",IF(INDEX(Evaluación!$H$7:$H$56,$K62)="","",INDEX(Evaluación!$H$7:$H$56,$K62)))</f>
        <v/>
      </c>
      <c r="G62" s="15" t="str">
        <f aca="false">IF($K62="","",IF(INDEX(Evaluación!$Y$7:$Y$56,$K62)="","",INDEX(Evaluación!$Y$7:$Y$56,$K62)))</f>
        <v/>
      </c>
      <c r="H62" s="15" t="str">
        <f aca="false">IF($K62="","",IF(INDEX(Evaluación!$Z$7:$Z$56,$K62)="","",INDEX(Evaluación!$Z$7:$Z$56,$K62)))</f>
        <v/>
      </c>
      <c r="I62" s="15" t="str">
        <f aca="false">IF($K62="","",IF(INDEX(Evaluación!$O$7:$O$56,$K62)="","",INDEX(Evaluación!$O$7:$O$56,$K62)))</f>
        <v/>
      </c>
      <c r="J62" s="15" t="str">
        <f aca="false">IF($K62="","",IF(INDEX(Evaluación!$P$7:$P$56,$K62)="","",INDEX(Evaluación!$P$7:$P$56,$K62)))</f>
        <v/>
      </c>
      <c r="K62" s="0" t="str">
        <f aca="false">IFERROR(MATCH(LARGE(Evaluación!$AC$7:$AC$56,48),Evaluación!$AC$7:$AC$56,0),"")</f>
        <v/>
      </c>
    </row>
    <row r="63" customFormat="false" ht="15" hidden="false" customHeight="false" outlineLevel="0" collapsed="false">
      <c r="A63" s="15" t="str">
        <f aca="false">IF(K63="","",IF(INDEX(Evaluación!$AA$7:$AA$56,K63)="","—",INDEX(Evaluación!$AA$7:$AA$56,K63)))</f>
        <v/>
      </c>
      <c r="B63" s="15" t="str">
        <f aca="false">IF($K63="","",IF(INDEX(Evaluación!$B$7:$B$56,$K63)="","",INDEX(Evaluación!$B$7:$B$56,$K63)))</f>
        <v/>
      </c>
      <c r="C63" s="15" t="str">
        <f aca="false">IF($K63="","",IF(INDEX(Evaluación!$C$7:$C$56,$K63)="","",INDEX(Evaluación!$C$7:$C$56,$K63)))</f>
        <v/>
      </c>
      <c r="D63" s="15" t="str">
        <f aca="false">IF($K63="","",IF(INDEX(Evaluación!$D$7:$D$56,$K63)="","",INDEX(Evaluación!$D$7:$D$56,$K63)))</f>
        <v/>
      </c>
      <c r="E63" s="15" t="str">
        <f aca="false">IF($K63="","",IF(INDEX(Evaluación!$G$7:$G$56,$K63)="","",INDEX(Evaluación!$G$7:$G$56,$K63)))</f>
        <v/>
      </c>
      <c r="F63" s="21" t="str">
        <f aca="false">IF($K63="","",IF(INDEX(Evaluación!$H$7:$H$56,$K63)="","",INDEX(Evaluación!$H$7:$H$56,$K63)))</f>
        <v/>
      </c>
      <c r="G63" s="15" t="str">
        <f aca="false">IF($K63="","",IF(INDEX(Evaluación!$Y$7:$Y$56,$K63)="","",INDEX(Evaluación!$Y$7:$Y$56,$K63)))</f>
        <v/>
      </c>
      <c r="H63" s="15" t="str">
        <f aca="false">IF($K63="","",IF(INDEX(Evaluación!$Z$7:$Z$56,$K63)="","",INDEX(Evaluación!$Z$7:$Z$56,$K63)))</f>
        <v/>
      </c>
      <c r="I63" s="15" t="str">
        <f aca="false">IF($K63="","",IF(INDEX(Evaluación!$O$7:$O$56,$K63)="","",INDEX(Evaluación!$O$7:$O$56,$K63)))</f>
        <v/>
      </c>
      <c r="J63" s="15" t="str">
        <f aca="false">IF($K63="","",IF(INDEX(Evaluación!$P$7:$P$56,$K63)="","",INDEX(Evaluación!$P$7:$P$56,$K63)))</f>
        <v/>
      </c>
      <c r="K63" s="0" t="str">
        <f aca="false">IFERROR(MATCH(LARGE(Evaluación!$AC$7:$AC$56,49),Evaluación!$AC$7:$AC$56,0),"")</f>
        <v/>
      </c>
    </row>
    <row r="64" customFormat="false" ht="15" hidden="false" customHeight="false" outlineLevel="0" collapsed="false">
      <c r="A64" s="15" t="str">
        <f aca="false">IF(K64="","",IF(INDEX(Evaluación!$AA$7:$AA$56,K64)="","—",INDEX(Evaluación!$AA$7:$AA$56,K64)))</f>
        <v/>
      </c>
      <c r="B64" s="15" t="str">
        <f aca="false">IF($K64="","",IF(INDEX(Evaluación!$B$7:$B$56,$K64)="","",INDEX(Evaluación!$B$7:$B$56,$K64)))</f>
        <v/>
      </c>
      <c r="C64" s="15" t="str">
        <f aca="false">IF($K64="","",IF(INDEX(Evaluación!$C$7:$C$56,$K64)="","",INDEX(Evaluación!$C$7:$C$56,$K64)))</f>
        <v/>
      </c>
      <c r="D64" s="15" t="str">
        <f aca="false">IF($K64="","",IF(INDEX(Evaluación!$D$7:$D$56,$K64)="","",INDEX(Evaluación!$D$7:$D$56,$K64)))</f>
        <v/>
      </c>
      <c r="E64" s="15" t="str">
        <f aca="false">IF($K64="","",IF(INDEX(Evaluación!$G$7:$G$56,$K64)="","",INDEX(Evaluación!$G$7:$G$56,$K64)))</f>
        <v/>
      </c>
      <c r="F64" s="21" t="str">
        <f aca="false">IF($K64="","",IF(INDEX(Evaluación!$H$7:$H$56,$K64)="","",INDEX(Evaluación!$H$7:$H$56,$K64)))</f>
        <v/>
      </c>
      <c r="G64" s="15" t="str">
        <f aca="false">IF($K64="","",IF(INDEX(Evaluación!$Y$7:$Y$56,$K64)="","",INDEX(Evaluación!$Y$7:$Y$56,$K64)))</f>
        <v/>
      </c>
      <c r="H64" s="15" t="str">
        <f aca="false">IF($K64="","",IF(INDEX(Evaluación!$Z$7:$Z$56,$K64)="","",INDEX(Evaluación!$Z$7:$Z$56,$K64)))</f>
        <v/>
      </c>
      <c r="I64" s="15" t="str">
        <f aca="false">IF($K64="","",IF(INDEX(Evaluación!$O$7:$O$56,$K64)="","",INDEX(Evaluación!$O$7:$O$56,$K64)))</f>
        <v/>
      </c>
      <c r="J64" s="15" t="str">
        <f aca="false">IF($K64="","",IF(INDEX(Evaluación!$P$7:$P$56,$K64)="","",INDEX(Evaluación!$P$7:$P$56,$K64)))</f>
        <v/>
      </c>
      <c r="K64" s="0" t="str">
        <f aca="false">IFERROR(MATCH(LARGE(Evaluación!$AC$7:$AC$56,50),Evaluación!$AC$7:$AC$56,0),"")</f>
        <v/>
      </c>
    </row>
  </sheetData>
  <conditionalFormatting sqref="H15:H64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2">
      <formula>"Media"</formula>
    </cfRule>
    <cfRule type="cellIs" priority="4" operator="equal" aboveAverage="0" equalAverage="0" bottom="0" percent="0" rank="0" text="" dxfId="3">
      <formula>"Baja"</formula>
    </cfRule>
  </conditionalFormatting>
  <conditionalFormatting sqref="I15:I64">
    <cfRule type="cellIs" priority="5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2026-10-13T19:01:18Z</dcterms:created>
  <dc:creator>openpyxl</dc:creator>
  <dc:description/>
  <dc:language>en-US</dc:language>
  <cp:lastModifiedBy/>
  <dcterms:modified xsi:type="dcterms:W3CDTF">2026-10-13T19:01:18Z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