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riterios" sheetId="2" state="visible" r:id="rId4"/>
    <sheet name="Temas" sheetId="3" state="visible" r:id="rId5"/>
    <sheet name="Parámetros" sheetId="4" state="visible" r:id="rId6"/>
    <sheet name="1_Proyectos" sheetId="5" state="visible" r:id="rId7"/>
    <sheet name="2_Evaluación" sheetId="6" state="visible" r:id="rId8"/>
    <sheet name="3_Ranking" sheetId="7" state="visible" r:id="rId9"/>
    <sheet name="4_Fich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<sst xmlns="http://schemas.openxmlformats.org/spreadsheetml/2006/main" count="786" uniqueCount="435">
  <si>
    <t xml:space="preserve">Herramienta de elegibilidad y priorización de proyectos – FEAC BCS</t>
  </si>
  <si>
    <t xml:space="preserve">Fondo Estatal Ambiental y Climático de Baja California Sur · aplica el documento «Criterios de elegibilidad y selección de proyectos – FEAC BCS».</t>
  </si>
  <si>
    <t xml:space="preserve">Qué es el artículo 4</t>
  </si>
  <si>
    <t xml:space="preserve">El artículo 4 del Decreto por el que se constituye el Fideicomiso Público denominado Fondo Estatal Ambiental y Climático de Baja California Sur establece los fines del Fondo: 16 fracciones (I a XVI) que definen en qué puede invertir sus recursos. En esta herramienta, «fines del Fondo», «temas» y «fracciones del art. 4 del Decreto» significan lo mismo.</t>
  </si>
  <si>
    <t xml:space="preserve">Pasos de uso</t>
  </si>
  <si>
    <t xml:space="preserve">1. Parámetros: el Comité Técnico fija pesos, montos mínimo y máximo, umbrales y categorías antes de cada convocatoria.</t>
  </si>
  <si>
    <t xml:space="preserve">2. 1_Proyectos: registre cada propuesta (una fila por proyecto) con su fracción principal (el fin del Fondo que atiende, según el art. 4 del Decreto) y hasta 3 fracciones secundarias.</t>
  </si>
  <si>
    <t xml:space="preserve">3. 2_Evaluación: en la misma fila, capture los 9 filtros (Sí/No) y, si el proyecto es elegible, las 14 calificaciones manuales (1 a 3). O4 y F5 se calculan solos.</t>
  </si>
  <si>
    <t xml:space="preserve">4. 3_Ranking ordena la cartera; 4_Ficha genera la ficha individual de un proyecto para el expediente y la retroalimentación.</t>
  </si>
  <si>
    <t xml:space="preserve">Reglas de cálculo</t>
  </si>
  <si>
    <t xml:space="preserve">• Etapa 1 · Elegibilidad: 9 filtros. Un solo «No» = No elegible (se registra cuál). Si falta alguno y no hay «No» = Pendiente.</t>
  </si>
  <si>
    <t xml:space="preserve">• Etapa 2 · Calificación: 16 criterios en escala 1 (bajo) a 3 (alto). Puntaje bruto de 16 a 48.</t>
  </si>
  <si>
    <t xml:space="preserve">• Índice de prioridad (0–100) = Σ(peso × calificación) / (3 × Σ pesos) × 100. Por defecto O5 (impacto) y T3 (vulnerabilidad) pesan 2; el resto, 1.</t>
  </si>
  <si>
    <t xml:space="preserve">• Categorías referenciales: Alta ≥ 75; Media 50 a 74.9; Baja &lt; 50.</t>
  </si>
  <si>
    <t xml:space="preserve">• Desempates: mayor O5, luego mayor T3, luego mayor subtotal de Evidencia; si persiste, orden de registro (señalar al Comité).</t>
  </si>
  <si>
    <t xml:space="preserve">Leyenda</t>
  </si>
  <si>
    <t xml:space="preserve">Celdas amarillas con texto azul = captura. Celdas grises = fórmulas, no editar. Texto verde = dato traído de otra hoja.</t>
  </si>
  <si>
    <t xml:space="preserve">Las filas EJ-01 a EJ-04 son ejemplos para capacitación; bórrelas (en 1_Proyectos y en 2_Evaluación) antes de evaluar proyectos reales.</t>
  </si>
  <si>
    <t xml:space="preserve">Base</t>
  </si>
  <si>
    <t xml:space="preserve">Decreto del Fondo Estatal Ambiental y Climático de BCS (versión 1), arts. 3, 4, 5, 9, 14, 16 y 17. Estructura adaptada del Sistema de Priorización de SbN (Forest Trends, versión consolidada sept. 2026), ampliada a los 16 fines del art. 4.</t>
  </si>
  <si>
    <t xml:space="preserve">Catálogo de criterios y rúbricas</t>
  </si>
  <si>
    <t xml:space="preserve">9 filtros (Sí/No) y 16 criterios de calificación (1–3). En los filtros, la columna «3 / Sí» es la condición de cumplimiento y «1 / No» la de incumplimiento.</t>
  </si>
  <si>
    <t xml:space="preserve">Código</t>
  </si>
  <si>
    <t xml:space="preserve">Grupo</t>
  </si>
  <si>
    <t xml:space="preserve">Tipo</t>
  </si>
  <si>
    <t xml:space="preserve">Criterio</t>
  </si>
  <si>
    <t xml:space="preserve">Pregunta orientadora</t>
  </si>
  <si>
    <t xml:space="preserve">3 · Alto / Sí</t>
  </si>
  <si>
    <t xml:space="preserve">2 · Medio</t>
  </si>
  <si>
    <t xml:space="preserve">1 · Bajo / No</t>
  </si>
  <si>
    <t xml:space="preserve">Medios de verificación</t>
  </si>
  <si>
    <t xml:space="preserve">Fundamento</t>
  </si>
  <si>
    <t xml:space="preserve">O1</t>
  </si>
  <si>
    <t xml:space="preserve">Objetivos</t>
  </si>
  <si>
    <t xml:space="preserve">Filtro</t>
  </si>
  <si>
    <t xml:space="preserve">Alineación a planeación y respaldo institucional</t>
  </si>
  <si>
    <t xml:space="preserve">¿Se alinea con la política climática estatal y con al menos un instrumento de planeación vigente, y lo respalda la autoridad competente?</t>
  </si>
  <si>
    <t xml:space="preserve">Sí: cita el instrumento y la línea u objetivo con que se alinea (Plan Estatal de Desarrollo 2021–2027, programa estatal de cambio climático, ordenamiento ecológico, programa de manejo, plan municipal) y presenta carta de apoyo de la autoridad con atribuciones para autorizar su implementación.</t>
  </si>
  <si>
    <t xml:space="preserve">No: no identifica un instrumento, la alineación es solo declarativa o no tiene respaldo de la autoridad competente.</t>
  </si>
  <si>
    <t xml:space="preserve">Cita del instrumento y de la línea; carta de apoyo de la autoridad competente.</t>
  </si>
  <si>
    <t xml:space="preserve">Arts. 3 y 4 (último párrafo)</t>
  </si>
  <si>
    <t xml:space="preserve">O2</t>
  </si>
  <si>
    <t xml:space="preserve">Vinculación directa con un fin del Fondo (art. 4 del Decreto)</t>
  </si>
  <si>
    <t xml:space="preserve">¿El objetivo general del proyecto atiende de forma directa al menos un fin del Fondo (una fracción del art. 4 del Decreto)?</t>
  </si>
  <si>
    <t xml:space="preserve">Sí: registra una fracción principal y su objetivo general la atiende de forma directa.</t>
  </si>
  <si>
    <t xml:space="preserve">No: el beneficio ambiental o climático es solo colateral o indirecto.</t>
  </si>
  <si>
    <t xml:space="preserve">Marco lógico; fracción principal registrada en 1_Proyectos.</t>
  </si>
  <si>
    <t xml:space="preserve">Art. 4</t>
  </si>
  <si>
    <t xml:space="preserve">O3</t>
  </si>
  <si>
    <t xml:space="preserve">Requisito específico del tema</t>
  </si>
  <si>
    <t xml:space="preserve">¿Cumple el requisito específico de su fracción principal (hoja Temas)?</t>
  </si>
  <si>
    <t xml:space="preserve">Sí: cumple el requisito de su fracción y lo acredita.</t>
  </si>
  <si>
    <t xml:space="preserve">No: no lo cumple o no lo acredita.</t>
  </si>
  <si>
    <t xml:space="preserve">Según la hoja Temas.</t>
  </si>
  <si>
    <t xml:space="preserve">Arts. 4 y 14</t>
  </si>
  <si>
    <t xml:space="preserve">T1</t>
  </si>
  <si>
    <t xml:space="preserve">Territorio</t>
  </si>
  <si>
    <t xml:space="preserve">Ubicación en BCS y certeza de tenencia</t>
  </si>
  <si>
    <t xml:space="preserve">¿Se ejecuta en BCS, en un área delimitada y con certeza sobre la tenencia o el derecho de uso?</t>
  </si>
  <si>
    <t xml:space="preserve">Sí: área de influencia o polígono en BCS y, si hay intervención física, documentos de tenencia, anuencia o convenio.</t>
  </si>
  <si>
    <t xml:space="preserve">No: fuera de BCS, sin delimitar o sin certeza sobre la tenencia.</t>
  </si>
  <si>
    <t xml:space="preserve">Mapa o polígono; títulos, acuerdos ejidales o convenios con propietarios.</t>
  </si>
  <si>
    <t xml:space="preserve">Art. 3</t>
  </si>
  <si>
    <t xml:space="preserve">T2</t>
  </si>
  <si>
    <t xml:space="preserve">Sin daño significativo y cumplimiento ambiental</t>
  </si>
  <si>
    <t xml:space="preserve">¿Identifica sus posibles impactos negativos, define medidas y cuenta con los permisos o una ruta para obtenerlos?</t>
  </si>
  <si>
    <t xml:space="preserve">Sí: identifica impactos y medidas, y tiene las autorizaciones o un programa para obtenerlas.</t>
  </si>
  <si>
    <t xml:space="preserve">No: impactos significativos sin medidas o efectos adversos previsibles (p. ej., especies invasoras, afectación a terceros).</t>
  </si>
  <si>
    <t xml:space="preserve">Análisis de impactos; autorizaciones; manifestación de impacto ambiental cuando aplique.</t>
  </si>
  <si>
    <t xml:space="preserve">Art. 14 (viabilidad ambiental)</t>
  </si>
  <si>
    <t xml:space="preserve">F1</t>
  </si>
  <si>
    <t xml:space="preserve">Finanzas y gestión</t>
  </si>
  <si>
    <t xml:space="preserve">Monto dentro del rango de la convocatoria</t>
  </si>
  <si>
    <t xml:space="preserve">¿El monto solicitado está dentro del rango definido para la convocatoria?</t>
  </si>
  <si>
    <t xml:space="preserve">Sí: el monto está entre el mínimo y el máximo.</t>
  </si>
  <si>
    <t xml:space="preserve">No: el monto está por debajo del mínimo o por encima del máximo.</t>
  </si>
  <si>
    <t xml:space="preserve">Presupuesto; hoja Parámetros.</t>
  </si>
  <si>
    <t xml:space="preserve">Art. 9, fr. III</t>
  </si>
  <si>
    <t xml:space="preserve">F2</t>
  </si>
  <si>
    <t xml:space="preserve">Propuesta técnico-financiera completa</t>
  </si>
  <si>
    <t xml:space="preserve">¿Presenta plan de trabajo, cronograma, presupuesto desglosado y justificación frente a alternativas?</t>
  </si>
  <si>
    <t xml:space="preserve">Sí: presenta los cuatro elementos, con análisis costo-beneficio o costo-efectividad frente a alternativas.</t>
  </si>
  <si>
    <t xml:space="preserve">No: falta alguno de los cuatro elementos.</t>
  </si>
  <si>
    <t xml:space="preserve">Documento técnico; presupuesto; cronograma; análisis de alternativas.</t>
  </si>
  <si>
    <t xml:space="preserve">Art. 14 (evaluación técnica y financiera)</t>
  </si>
  <si>
    <t xml:space="preserve">F3</t>
  </si>
  <si>
    <t xml:space="preserve">Proponente elegible y documentación</t>
  </si>
  <si>
    <t xml:space="preserve">¿El proponente es elegible, tiene documentación legal y fiscal completa, no duplica apoyos ni pide recursos para acciones ya ejecutadas, y acepta las reglas de transparencia?</t>
  </si>
  <si>
    <t xml:space="preserve">Sí: documentación completa, declaración de no duplicidad de apoyos, el proyecto no está ya implementado y hay carta compromiso de informes trimestrales y publicidad de datos.</t>
  </si>
  <si>
    <t xml:space="preserve">No: falta alguno de esos documentos o el proyecto ya está implementado.</t>
  </si>
  <si>
    <t xml:space="preserve">Acta constitutiva o nombramiento; RFC; opinión de cumplimiento fiscal; declaraciones firmadas.</t>
  </si>
  <si>
    <t xml:space="preserve">Arts. 5, 16 y 17</t>
  </si>
  <si>
    <t xml:space="preserve">E1</t>
  </si>
  <si>
    <t xml:space="preserve">Evidencia</t>
  </si>
  <si>
    <t xml:space="preserve">Beneficio cuantificable</t>
  </si>
  <si>
    <t xml:space="preserve">¿Define al menos un indicador de su fracción con unidad, línea base y meta?</t>
  </si>
  <si>
    <t xml:space="preserve">Sí: al menos un indicador con unidad, línea base (o método para establecerla) y meta.</t>
  </si>
  <si>
    <t xml:space="preserve">No: los beneficios se describen solo de forma cualitativa.</t>
  </si>
  <si>
    <t xml:space="preserve">Tabla de indicadores y metas; memoria de cálculo.</t>
  </si>
  <si>
    <t xml:space="preserve">Art. 4 (impacto)</t>
  </si>
  <si>
    <t xml:space="preserve">O4</t>
  </si>
  <si>
    <t xml:space="preserve">Calificación (automática)</t>
  </si>
  <si>
    <t xml:space="preserve">Contribución a varios fines del Fondo (art. 4 del Decreto)</t>
  </si>
  <si>
    <t xml:space="preserve">¿A cuántos fines del Fondo (fracciones del art. 4 del Decreto) contribuye el proyecto?</t>
  </si>
  <si>
    <t xml:space="preserve">3: contribuye a 3 o más fracciones.</t>
  </si>
  <si>
    <t xml:space="preserve">2: contribuye a 2 fracciones.</t>
  </si>
  <si>
    <t xml:space="preserve">1: contribuye a 1 fracción.</t>
  </si>
  <si>
    <t xml:space="preserve">Se calcula con las fracciones registradas en 1_Proyectos.</t>
  </si>
  <si>
    <t xml:space="preserve">O5</t>
  </si>
  <si>
    <t xml:space="preserve">Calificación</t>
  </si>
  <si>
    <t xml:space="preserve">Magnitud del impacto</t>
  </si>
  <si>
    <t xml:space="preserve">¿Qué tan grande es el resultado esperado en el indicador de la fracción frente al problema que atiende?</t>
  </si>
  <si>
    <t xml:space="preserve">3: Alto: resultado cuantificado que atiende una parte sustantiva del problema en su ámbito (cuenca, ecosistema, municipio) o es replicable en otras ciudades o regiones del Estado.</t>
  </si>
  <si>
    <t xml:space="preserve">2: Medio: resultado cuantificado con alcance local o parcial.</t>
  </si>
  <si>
    <t xml:space="preserve">1: Bajo: resultado marginal o demostrativo, sin ruta de escalamiento.</t>
  </si>
  <si>
    <t xml:space="preserve">Memoria de cálculo; diagnóstico del problema.</t>
  </si>
  <si>
    <t xml:space="preserve">Arts. 3 y 4</t>
  </si>
  <si>
    <t xml:space="preserve">T3</t>
  </si>
  <si>
    <t xml:space="preserve">Territorios y población vulnerables</t>
  </si>
  <si>
    <t xml:space="preserve">¿Atiende comunidades rurales, costeras, zonas de alto riesgo o grupos en situación de vulnerabilidad?</t>
  </si>
  <si>
    <t xml:space="preserve">3: Alto: se ubica en zona de riesgo o vulnerabilidad documentada (atlas de riesgos, índices oficiales) y focaliza en ella.</t>
  </si>
  <si>
    <t xml:space="preserve">2: Medio: atiende zonas o grupos vulnerables sin diagnóstico específico.</t>
  </si>
  <si>
    <t xml:space="preserve">1: Bajo: no focaliza en zonas ni grupos vulnerables.</t>
  </si>
  <si>
    <t xml:space="preserve">Atlas de riesgos; índices de marginación o vulnerabilidad; diagnóstico.</t>
  </si>
  <si>
    <t xml:space="preserve">Art. 3; art. 4, fr. I</t>
  </si>
  <si>
    <t xml:space="preserve">T4</t>
  </si>
  <si>
    <t xml:space="preserve">Riesgos y barreras de implementación</t>
  </si>
  <si>
    <t xml:space="preserve">¿Analiza riesgos climáticos, efectos fuera del área de intervención y barreras legales, técnicas, financieras o sociales (incluida posible controversia), y define cómo gestionarlos?</t>
  </si>
  <si>
    <t xml:space="preserve">3: Alto: riesgos y barreras a escala de cuenca, ecosistema o ciudad, con escenarios climáticos y medidas concretas; las barreras son manejables.</t>
  </si>
  <si>
    <t xml:space="preserve">2: Medio: identifica riesgos y barreras con medidas generales o parciales; alguna barrera es difícil de superar.</t>
  </si>
  <si>
    <t xml:space="preserve">1: Bajo: solo riesgos internos o ninguno, o hay barreras muy difíciles sin medidas.</t>
  </si>
  <si>
    <t xml:space="preserve">Matriz de riesgos y barreras; análisis de escenarios.</t>
  </si>
  <si>
    <t xml:space="preserve">Art. 4, fr. III</t>
  </si>
  <si>
    <t xml:space="preserve">F4</t>
  </si>
  <si>
    <t xml:space="preserve">Costo-efectividad</t>
  </si>
  <si>
    <t xml:space="preserve">¿Cuánto cuesta cada unidad de resultado frente a alternativas o referencias?</t>
  </si>
  <si>
    <t xml:space="preserve">3: Alto: calcula el costo por unidad de resultado y es igual o menor que el de alternativas o referencias.</t>
  </si>
  <si>
    <t xml:space="preserve">2: Medio: calcula el costo por unidad sin compararlo, o compara solo de forma cualitativa.</t>
  </si>
  <si>
    <t xml:space="preserve">1: Bajo: no calcula el costo por unidad de resultado.</t>
  </si>
  <si>
    <t xml:space="preserve">Análisis de costo-efectividad o costo-beneficio.</t>
  </si>
  <si>
    <t xml:space="preserve">Art. 14</t>
  </si>
  <si>
    <t xml:space="preserve">F5</t>
  </si>
  <si>
    <t xml:space="preserve">Cofinanciamiento</t>
  </si>
  <si>
    <t xml:space="preserve">¿Qué parte del costo total aportan otras fuentes?</t>
  </si>
  <si>
    <t xml:space="preserve">3: 30 % o más del costo total.</t>
  </si>
  <si>
    <t xml:space="preserve">2: de 10 % a menos de 30 %.</t>
  </si>
  <si>
    <t xml:space="preserve">1: menos de 10 %.</t>
  </si>
  <si>
    <t xml:space="preserve">Se calcula con los montos de 1_Proyectos; cartas de cofinanciamiento.</t>
  </si>
  <si>
    <t xml:space="preserve">Art. 5</t>
  </si>
  <si>
    <t xml:space="preserve">F6</t>
  </si>
  <si>
    <t xml:space="preserve">Sostenibilidad posterior</t>
  </si>
  <si>
    <t xml:space="preserve">¿Tiene un mecanismo para sostenerse cuando termine el apoyo del Fondo?</t>
  </si>
  <si>
    <t xml:space="preserve">3: Alto: mecanismo comprometido (presupuesto institucional, ingresos propios, pago por servicios ambientales, acuerdo de mantenimiento).</t>
  </si>
  <si>
    <t xml:space="preserve">2: Medio: opciones plausibles sin compromiso formal.</t>
  </si>
  <si>
    <t xml:space="preserve">1: Bajo: depende totalmente del Fondo.</t>
  </si>
  <si>
    <t xml:space="preserve">Cartas compromiso; plan de sostenibilidad; acuerdos de mantenimiento.</t>
  </si>
  <si>
    <t xml:space="preserve">F7</t>
  </si>
  <si>
    <t xml:space="preserve">Capacidad de ejecución del proponente</t>
  </si>
  <si>
    <t xml:space="preserve">¿El proponente tiene experiencia y equipo para ejecutar el proyecto?</t>
  </si>
  <si>
    <t xml:space="preserve">3: Alto: ejecutó proyectos similares de monto comparable y presenta equipo con perfiles definidos.</t>
  </si>
  <si>
    <t xml:space="preserve">2: Medio: experiencia en proyectos menores o equipo incompleto.</t>
  </si>
  <si>
    <t xml:space="preserve">1: Bajo: sin experiencia demostrable.</t>
  </si>
  <si>
    <t xml:space="preserve">Currículos; contratos o informes de proyectos previos.</t>
  </si>
  <si>
    <t xml:space="preserve">F8</t>
  </si>
  <si>
    <t xml:space="preserve">Madurez del proyecto</t>
  </si>
  <si>
    <t xml:space="preserve">¿En qué etapa de desarrollo está el proyecto?</t>
  </si>
  <si>
    <t xml:space="preserve">3: Alto: proyecto ejecutivo con autorizaciones obtenidas o en trámite avanzado.</t>
  </si>
  <si>
    <t xml:space="preserve">2: Medio: anteproyecto con alcances, costos y ubicación definidos.</t>
  </si>
  <si>
    <t xml:space="preserve">1: Bajo: idea acotada, sin anteproyecto.</t>
  </si>
  <si>
    <t xml:space="preserve">Proyecto ejecutivo o anteproyecto; autorizaciones.</t>
  </si>
  <si>
    <t xml:space="preserve">E2</t>
  </si>
  <si>
    <t xml:space="preserve">Evidencia de los beneficios</t>
  </si>
  <si>
    <t xml:space="preserve">¿Qué tan sólida es la evidencia de los beneficios esperados?</t>
  </si>
  <si>
    <t xml:space="preserve">3: Alto: datos locales, estudios, monitoreo previo o modelación verificable.</t>
  </si>
  <si>
    <t xml:space="preserve">2: Medio: literatura o experiencias análogas en contextos comparables.</t>
  </si>
  <si>
    <t xml:space="preserve">1: Bajo: supuestos generales sin evidencia.</t>
  </si>
  <si>
    <t xml:space="preserve">Estudios; datos de monitoreo; modelación; referencias.</t>
  </si>
  <si>
    <t xml:space="preserve">E3</t>
  </si>
  <si>
    <t xml:space="preserve">Plan de monitoreo y evaluación</t>
  </si>
  <si>
    <t xml:space="preserve">¿Tiene un plan para reportar avances frente a indicadores y metas?</t>
  </si>
  <si>
    <t xml:space="preserve">3: Alto: indicadores SMART, línea base, metas, frecuencia, responsables y presupuesto asignado.</t>
  </si>
  <si>
    <t xml:space="preserve">2: Medio: indicadores y metas, pero sin línea base o sin presupuesto.</t>
  </si>
  <si>
    <t xml:space="preserve">1: Bajo: solo indicadores de actividad.</t>
  </si>
  <si>
    <t xml:space="preserve">Plan de monitoreo y evaluación; presupuesto de monitoreo.</t>
  </si>
  <si>
    <t xml:space="preserve">Art. 16</t>
  </si>
  <si>
    <t xml:space="preserve">E4</t>
  </si>
  <si>
    <t xml:space="preserve">Colaboración con academia o investigación</t>
  </si>
  <si>
    <t xml:space="preserve">¿Involucra a instituciones académicas o de investigación con un rol definido?</t>
  </si>
  <si>
    <t xml:space="preserve">3: Alto: convenio o carta compromiso con rol técnico definido.</t>
  </si>
  <si>
    <t xml:space="preserve">2: Medio: colaboración propuesta o informal.</t>
  </si>
  <si>
    <t xml:space="preserve">1: Bajo: sin colaboración.</t>
  </si>
  <si>
    <t xml:space="preserve">Convenios o cartas compromiso.</t>
  </si>
  <si>
    <t xml:space="preserve">Art. 4, fr. XI</t>
  </si>
  <si>
    <t xml:space="preserve">V1</t>
  </si>
  <si>
    <t xml:space="preserve">Valores</t>
  </si>
  <si>
    <t xml:space="preserve">Personas beneficiadas y focalización social</t>
  </si>
  <si>
    <t xml:space="preserve">¿Cuántas personas se benefician y qué tanto se focaliza en población de escasos recursos?</t>
  </si>
  <si>
    <t xml:space="preserve">3: Alto: beneficiarios cuantificados y focalización explícita en población de escasos recursos.</t>
  </si>
  <si>
    <t xml:space="preserve">2: Medio: beneficiarios cuantificados sin focalización, o focalización sin cuantificar.</t>
  </si>
  <si>
    <t xml:space="preserve">1: Bajo: beneficios para pocos actores o no identificados.</t>
  </si>
  <si>
    <t xml:space="preserve">Padrón o estimación de beneficiarios; criterios de focalización.</t>
  </si>
  <si>
    <t xml:space="preserve">Art. 3; considerandos</t>
  </si>
  <si>
    <t xml:space="preserve">V2</t>
  </si>
  <si>
    <t xml:space="preserve">Género e inclusión</t>
  </si>
  <si>
    <t xml:space="preserve">¿Incluye acciones y metas para mujeres, juventudes, pueblos indígenas y personas con discapacidad?</t>
  </si>
  <si>
    <t xml:space="preserve">3: Alto: acciones específicas y metas desagregadas por grupo.</t>
  </si>
  <si>
    <t xml:space="preserve">2: Medio: menciona la inclusión con acciones generales.</t>
  </si>
  <si>
    <t xml:space="preserve">1: Bajo: no lo considera.</t>
  </si>
  <si>
    <t xml:space="preserve">Estrategia de inclusión; indicadores desagregados.</t>
  </si>
  <si>
    <t xml:space="preserve">Considerandos</t>
  </si>
  <si>
    <t xml:space="preserve">V3</t>
  </si>
  <si>
    <t xml:space="preserve">Participación social</t>
  </si>
  <si>
    <t xml:space="preserve">¿Las comunidades y partes interesadas participan en el diseño, la ejecución y el seguimiento?</t>
  </si>
  <si>
    <t xml:space="preserve">3: Alto: mecanismos formales (comités, asambleas, consultas) con evidencia de participación en el diseño.</t>
  </si>
  <si>
    <t xml:space="preserve">2: Medio: consulta o socialización puntual.</t>
  </si>
  <si>
    <t xml:space="preserve">1: Bajo: diseño unilateral.</t>
  </si>
  <si>
    <t xml:space="preserve">Actas de asambleas o talleres; estructura de gobernanza del proyecto.</t>
  </si>
  <si>
    <t xml:space="preserve">Art. 8 (Acuerdo de Escazú); art. 4, fr. X</t>
  </si>
  <si>
    <t xml:space="preserve">V4</t>
  </si>
  <si>
    <t xml:space="preserve">Alianzas multisectoriales</t>
  </si>
  <si>
    <t xml:space="preserve">¿Articula alianzas con distintos sectores (público, privado, social, académico)?</t>
  </si>
  <si>
    <t xml:space="preserve">3: Alto: alianzas formales con dos o más sectores, con roles y aportes definidos.</t>
  </si>
  <si>
    <t xml:space="preserve">2: Medio: alianzas con un solo sector o informales.</t>
  </si>
  <si>
    <t xml:space="preserve">1: Bajo: sin alianzas.</t>
  </si>
  <si>
    <t xml:space="preserve">Cartas de alianza; aportes comprometidos.</t>
  </si>
  <si>
    <t xml:space="preserve">Art. 7 (integración multisectorial)</t>
  </si>
  <si>
    <t xml:space="preserve">Temas financiables: los 16 fines del Fondo (art. 4 del Decreto) y sus criterios específicos</t>
  </si>
  <si>
    <t xml:space="preserve">El artículo 4 del Decreto por el que se constituye el Fideicomiso Público denominado Fondo Estatal Ambiental y Climático de Baja California Sur establece los fines del Fondo: 16 fracciones (I a XVI) que definen en qué puede invertir sus recursos. En esta herramienta, «fines del Fondo», «temas» y «fracciones del art. 4 del Decreto» significan lo mismo. El requisito específico se verifica en el filtro O3; el indicador de impacto se usa en E1 y O5.</t>
  </si>
  <si>
    <t xml:space="preserve">Fracción</t>
  </si>
  <si>
    <t xml:space="preserve">Línea temática</t>
  </si>
  <si>
    <t xml:space="preserve">Tema</t>
  </si>
  <si>
    <t xml:space="preserve">Requisito específico de elegibilidad (O3)</t>
  </si>
  <si>
    <t xml:space="preserve">Indicador de impacto (E1 y O5)</t>
  </si>
  <si>
    <t xml:space="preserve">I</t>
  </si>
  <si>
    <t xml:space="preserve">A. Adaptación y resiliencia</t>
  </si>
  <si>
    <t xml:space="preserve">Adaptación y reducción de vulnerabilidad</t>
  </si>
  <si>
    <t xml:space="preserve">Se ubica en comunidad rural, costera o zona de alto riesgo, o atiende a un grupo vulnerable; parte de un diagnóstico de vulnerabilidad o atlas de riesgos</t>
  </si>
  <si>
    <t xml:space="preserve">Personas u hogares con vulnerabilidad reducida</t>
  </si>
  <si>
    <t xml:space="preserve">II</t>
  </si>
  <si>
    <t xml:space="preserve">C. Mitigación y transición energética</t>
  </si>
  <si>
    <t xml:space="preserve">Mitigación de emisiones</t>
  </si>
  <si>
    <t xml:space="preserve">Presenta línea base de emisiones y método de cálculo de la reducción</t>
  </si>
  <si>
    <t xml:space="preserve">tCO2e reducidas o evitadas por año</t>
  </si>
  <si>
    <t xml:space="preserve">III</t>
  </si>
  <si>
    <t xml:space="preserve">Resiliencia territorial e infraestructura resiliente</t>
  </si>
  <si>
    <t xml:space="preserve">Incorpora escenarios climáticos o de riesgo en el diseño; si es obra, tiene proyecto ejecutivo o ruta para obtenerlo</t>
  </si>
  <si>
    <t xml:space="preserve">Población y activos protegidos</t>
  </si>
  <si>
    <t xml:space="preserve">IV</t>
  </si>
  <si>
    <t xml:space="preserve">B. Capital natural y biodiversidad</t>
  </si>
  <si>
    <t xml:space="preserve">Conservación y restauración de capital natural</t>
  </si>
  <si>
    <t xml:space="preserve">Superficie delimitada, tenencia acreditada y acuerdo con propietarios o núcleos agrarios; en un área natural protegida, alineado a su programa de manejo</t>
  </si>
  <si>
    <t xml:space="preserve">Hectáreas conservadas o restauradas</t>
  </si>
  <si>
    <t xml:space="preserve">V</t>
  </si>
  <si>
    <t xml:space="preserve">Restauración ecológica, reforestación y corredores</t>
  </si>
  <si>
    <t xml:space="preserve">Usa especies nativas e incluye mantenimiento y monitoreo de sobrevivencia por al menos 3 años</t>
  </si>
  <si>
    <t xml:space="preserve">Hectáreas restauradas, % de sobrevivencia, km de corredor</t>
  </si>
  <si>
    <t xml:space="preserve">VI</t>
  </si>
  <si>
    <t xml:space="preserve">Transición energética</t>
  </si>
  <si>
    <t xml:space="preserve">Diagnóstico energético o estudio de recurso; cumple la normatividad de interconexión cuando aplica</t>
  </si>
  <si>
    <t xml:space="preserve">MWh ahorrados o generados por año; hogares electrificados</t>
  </si>
  <si>
    <t xml:space="preserve">VII</t>
  </si>
  <si>
    <t xml:space="preserve">Electromovilidad y tecnologías limpias</t>
  </si>
  <si>
    <t xml:space="preserve">Beneficio público (transporte público, escuelas, hospitales, edificios públicos o vivienda social) y análisis de costo total de propiedad</t>
  </si>
  <si>
    <t xml:space="preserve">tCO2e evitadas; unidades o inmuebles intervenidos</t>
  </si>
  <si>
    <t xml:space="preserve">VIII</t>
  </si>
  <si>
    <t xml:space="preserve">D. Calidad ambiental urbana y residuos</t>
  </si>
  <si>
    <t xml:space="preserve">Calidad del aire y movilidad sustentable</t>
  </si>
  <si>
    <t xml:space="preserve">Se basa en datos de calidad del aire o diagnóstico de movilidad; los equipos de monitoreo cumplen la NOM aplicable</t>
  </si>
  <si>
    <t xml:space="preserve">Contaminantes criterio reducidos; estaciones o km de infraestructura</t>
  </si>
  <si>
    <t xml:space="preserve">IX</t>
  </si>
  <si>
    <t xml:space="preserve">Residuos y economía circular</t>
  </si>
  <si>
    <t xml:space="preserve">Es congruente con el programa municipal o estatal de residuos y tiene destino final autorizado</t>
  </si>
  <si>
    <t xml:space="preserve">Toneladas desviadas de disposición final por año</t>
  </si>
  <si>
    <t xml:space="preserve">X</t>
  </si>
  <si>
    <t xml:space="preserve">E. Conocimiento, educación e instituciones</t>
  </si>
  <si>
    <t xml:space="preserve">Educación ambiental y cultura climática</t>
  </si>
  <si>
    <t xml:space="preserve">Define población objetivo, contenidos y una evaluación antes y después</t>
  </si>
  <si>
    <t xml:space="preserve">Personas con aprendizaje verificado</t>
  </si>
  <si>
    <t xml:space="preserve">XI</t>
  </si>
  <si>
    <t xml:space="preserve">Investigación, innovación y tecnología</t>
  </si>
  <si>
    <t xml:space="preserve">La ejecuta una institución de investigación o una alianza con ella; muestra la ruta de aplicación en BCS</t>
  </si>
  <si>
    <t xml:space="preserve">Tecnologías transferidas, prototipos o productos aplicados</t>
  </si>
  <si>
    <t xml:space="preserve">XII</t>
  </si>
  <si>
    <t xml:space="preserve">Infraestructura verde y soluciones basadas en la naturaleza</t>
  </si>
  <si>
    <t xml:space="preserve">Estudio hidrológico o de sitio y plan de mantenimiento con responsable</t>
  </si>
  <si>
    <t xml:space="preserve">m3 captados o infiltrados por año; m2 intervenidos</t>
  </si>
  <si>
    <t xml:space="preserve">XIII</t>
  </si>
  <si>
    <t xml:space="preserve">Ordenamiento ecológico y territorial</t>
  </si>
  <si>
    <t xml:space="preserve">Promovido o avalado por la autoridad competente, con ruta de consulta pública y publicación</t>
  </si>
  <si>
    <t xml:space="preserve">Hectáreas ordenadas; instrumentos publicados</t>
  </si>
  <si>
    <t xml:space="preserve">XIV</t>
  </si>
  <si>
    <t xml:space="preserve">Inspección, vigilancia y cumplimiento ambiental</t>
  </si>
  <si>
    <t xml:space="preserve">Solo dependencias estatales o municipales con atribuciones de inspección, con programa operativo</t>
  </si>
  <si>
    <t xml:space="preserve">Inspecciones realizadas; superficie vigilada</t>
  </si>
  <si>
    <t xml:space="preserve">XV</t>
  </si>
  <si>
    <t xml:space="preserve">Especies nativas, invasoras y bienestar animal</t>
  </si>
  <si>
    <t xml:space="preserve">Diagnóstico o listado oficial de especies; demuestra contribución a la estabilidad ecológica</t>
  </si>
  <si>
    <t xml:space="preserve">Hábitat restaurado; poblaciones invasoras controladas</t>
  </si>
  <si>
    <t xml:space="preserve">XVI</t>
  </si>
  <si>
    <t xml:space="preserve">F. Acciones estratégicas</t>
  </si>
  <si>
    <t xml:space="preserve">Acciones estratégicas</t>
  </si>
  <si>
    <t xml:space="preserve">Acuerdo de la Comisión Intersectorial de Cambio Climático que la determine</t>
  </si>
  <si>
    <t xml:space="preserve">El que fije el acuerdo</t>
  </si>
  <si>
    <t xml:space="preserve">Parámetros del sistema</t>
  </si>
  <si>
    <t xml:space="preserve">Celdas amarillas editables por el Comité Técnico antes de cada convocatoria. No se modifican durante una convocatoria.</t>
  </si>
  <si>
    <t xml:space="preserve">1. Pesos de los criterios de calificación</t>
  </si>
  <si>
    <t xml:space="preserve">Peso</t>
  </si>
  <si>
    <t xml:space="preserve">Peso relativo</t>
  </si>
  <si>
    <t xml:space="preserve">Total</t>
  </si>
  <si>
    <t xml:space="preserve">Peso 2 duplica la influencia de un criterio; peso 0 lo excluye del índice (sigue en el puntaje bruto). Por defecto, O5 y T3 pesan 2 por la «especial atención» a impacto y vulnerabilidad del art. 3.</t>
  </si>
  <si>
    <t xml:space="preserve">2. Peso efectivo por grupo</t>
  </si>
  <si>
    <t xml:space="preserve">N.º de criterios</t>
  </si>
  <si>
    <t xml:space="preserve">Peso efectivo</t>
  </si>
  <si>
    <t xml:space="preserve">3. Umbrales y reglas</t>
  </si>
  <si>
    <t xml:space="preserve">Parámetro</t>
  </si>
  <si>
    <t xml:space="preserve">Valor</t>
  </si>
  <si>
    <t xml:space="preserve">Monto mínimo por proyecto (MXN), criterio F1. Vacío si no está definido.</t>
  </si>
  <si>
    <t xml:space="preserve">Monto máximo por proyecto (MXN), criterio F1. Vacío si no está definido.</t>
  </si>
  <si>
    <t xml:space="preserve">O4: número de fracciones para 3 puntos.</t>
  </si>
  <si>
    <t xml:space="preserve">O4: número de fracciones para 2 puntos.</t>
  </si>
  <si>
    <t xml:space="preserve">F5: cofinanciamiento mínimo para 3 puntos.</t>
  </si>
  <si>
    <t xml:space="preserve">F5: cofinanciamiento mínimo para 2 puntos.</t>
  </si>
  <si>
    <t xml:space="preserve">Índice mínimo para prioridad ALTA (referencial).</t>
  </si>
  <si>
    <t xml:space="preserve">Índice mínimo para prioridad MEDIA (por debajo: BAJA).</t>
  </si>
  <si>
    <t xml:space="preserve">4. Tipos de proponente (lista)</t>
  </si>
  <si>
    <t xml:space="preserve">Público - dependencia estatal</t>
  </si>
  <si>
    <t xml:space="preserve">Público - municipio</t>
  </si>
  <si>
    <t xml:space="preserve">Público - paraestatal</t>
  </si>
  <si>
    <t xml:space="preserve">Privado - empresa</t>
  </si>
  <si>
    <t xml:space="preserve">Privado - OSC</t>
  </si>
  <si>
    <t xml:space="preserve">Privado - comunitaria o ejidal</t>
  </si>
  <si>
    <t xml:space="preserve">Privado - academia o instituto de investigación</t>
  </si>
  <si>
    <t xml:space="preserve">1. Registro de proyectos</t>
  </si>
  <si>
    <t xml:space="preserve">Una fila por proyecto (filas 9 a 58). La fila de cada proyecto es la misma en 2_Evaluación. Las fracciones son los fines del Fondo del art. 4 del Decreto (hoja Temas).</t>
  </si>
  <si>
    <t xml:space="preserve">ID</t>
  </si>
  <si>
    <t xml:space="preserve">Proyecto</t>
  </si>
  <si>
    <t xml:space="preserve">Proponente (entidad líder)</t>
  </si>
  <si>
    <t xml:space="preserve">Tipo de proponente</t>
  </si>
  <si>
    <t xml:space="preserve">Municipio(s)</t>
  </si>
  <si>
    <t xml:space="preserve">Fracción principal</t>
  </si>
  <si>
    <t xml:space="preserve">Fracción secundaria 1</t>
  </si>
  <si>
    <t xml:space="preserve">Fracción secundaria 2</t>
  </si>
  <si>
    <t xml:space="preserve">Fracción secundaria 3</t>
  </si>
  <si>
    <t xml:space="preserve">N.º de fracciones</t>
  </si>
  <si>
    <t xml:space="preserve">Monto solicitado (MXN)</t>
  </si>
  <si>
    <t xml:space="preserve">Costo total del proyecto (MXN)</t>
  </si>
  <si>
    <t xml:space="preserve">Cofinanciamiento (%)</t>
  </si>
  <si>
    <t xml:space="preserve">Indicador principal (unidad)</t>
  </si>
  <si>
    <t xml:space="preserve">Línea base</t>
  </si>
  <si>
    <t xml:space="preserve">Meta</t>
  </si>
  <si>
    <t xml:space="preserve">Evaluador(es)</t>
  </si>
  <si>
    <t xml:space="preserve">Fecha de evaluación</t>
  </si>
  <si>
    <t xml:space="preserve">EJ-01</t>
  </si>
  <si>
    <t xml:space="preserve">Restauración de manglar y humedal costero (ejemplo)</t>
  </si>
  <si>
    <t xml:space="preserve">OSC local (ejemplo)</t>
  </si>
  <si>
    <t xml:space="preserve">La Paz</t>
  </si>
  <si>
    <t xml:space="preserve">Hectáreas restauradas</t>
  </si>
  <si>
    <t xml:space="preserve">0 ha</t>
  </si>
  <si>
    <t xml:space="preserve">45 ha</t>
  </si>
  <si>
    <t xml:space="preserve">Evaluador 1 y 2 (ejemplo)</t>
  </si>
  <si>
    <t xml:space="preserve">EJ-02</t>
  </si>
  <si>
    <t xml:space="preserve">Sistemas fotovoltaicos en escuelas rurales (ejemplo)</t>
  </si>
  <si>
    <t xml:space="preserve">Dependencia estatal (ejemplo)</t>
  </si>
  <si>
    <t xml:space="preserve">Comondú</t>
  </si>
  <si>
    <t xml:space="preserve">MWh generados por año</t>
  </si>
  <si>
    <t xml:space="preserve">0 MWh</t>
  </si>
  <si>
    <t xml:space="preserve">520 MWh/año</t>
  </si>
  <si>
    <t xml:space="preserve">EJ-03</t>
  </si>
  <si>
    <t xml:space="preserve">Campaña de cultura climática en redes sociales (ejemplo)</t>
  </si>
  <si>
    <t xml:space="preserve">OSC (ejemplo)</t>
  </si>
  <si>
    <t xml:space="preserve">Los Cabos</t>
  </si>
  <si>
    <t xml:space="preserve">EJ-04</t>
  </si>
  <si>
    <t xml:space="preserve">Planta municipal de compostaje (ejemplo)</t>
  </si>
  <si>
    <t xml:space="preserve">Municipio (ejemplo)</t>
  </si>
  <si>
    <t xml:space="preserve">Mulegé</t>
  </si>
  <si>
    <t xml:space="preserve">Toneladas desviadas por año</t>
  </si>
  <si>
    <t xml:space="preserve">0 t</t>
  </si>
  <si>
    <t xml:space="preserve">1,800 t/año</t>
  </si>
  <si>
    <t xml:space="preserve">2. Matriz de evaluación</t>
  </si>
  <si>
    <t xml:space="preserve">Filtros: Sí / No. Calificaciones: 1 (bajo), 2 (medio), 3 (alto) según la rúbrica de la hoja Criterios. O4 y F5 se calculan solos.</t>
  </si>
  <si>
    <t xml:space="preserve">Fila 8 = peso de cada criterio (viene de Parámetros)</t>
  </si>
  <si>
    <t xml:space="preserve">Etapa 1 · Filtros de elegibilidad (Sí / No)</t>
  </si>
  <si>
    <t xml:space="preserve">Etapa 2 · Calificación (1 · 2 · 3)</t>
  </si>
  <si>
    <t xml:space="preserve">Resultados (cálculo automático)</t>
  </si>
  <si>
    <t xml:space="preserve">Filtros cumplidos (/9)</t>
  </si>
  <si>
    <t xml:space="preserve">Elegibilidad</t>
  </si>
  <si>
    <t xml:space="preserve">Filtros no cumplidos</t>
  </si>
  <si>
    <t xml:space="preserve">Subtotal Objetivos</t>
  </si>
  <si>
    <t xml:space="preserve">Subtotal Territorio</t>
  </si>
  <si>
    <t xml:space="preserve">Subtotal Finanzas y gestión</t>
  </si>
  <si>
    <t xml:space="preserve">Subtotal Evidencia</t>
  </si>
  <si>
    <t xml:space="preserve">Subtotal Valores</t>
  </si>
  <si>
    <t xml:space="preserve">Puntaje bruto (/48)</t>
  </si>
  <si>
    <t xml:space="preserve">Índice de prioridad (0–100)</t>
  </si>
  <si>
    <t xml:space="preserve">Categoría de prioridad</t>
  </si>
  <si>
    <t xml:space="preserve">Posición en ranking</t>
  </si>
  <si>
    <t xml:space="preserve">Alertas de consistencia</t>
  </si>
  <si>
    <t xml:space="preserve">Observaciones / justificación</t>
  </si>
  <si>
    <t xml:space="preserve">Aux: clave de orden</t>
  </si>
  <si>
    <t xml:space="preserve">Aux: orden</t>
  </si>
  <si>
    <t xml:space="preserve">Filtro
Sí / No</t>
  </si>
  <si>
    <t xml:space="preserve">Automática</t>
  </si>
  <si>
    <t xml:space="preserve">1 · 2 · 3</t>
  </si>
  <si>
    <t xml:space="preserve">—</t>
  </si>
  <si>
    <t xml:space="preserve">Sí</t>
  </si>
  <si>
    <t xml:space="preserve">Ejemplo: candidato prioritario; reforzar sostenibilidad posterior (F6).</t>
  </si>
  <si>
    <t xml:space="preserve">Ejemplo: elegible con áreas de mejora en participación e inclusión.</t>
  </si>
  <si>
    <t xml:space="preserve">No</t>
  </si>
  <si>
    <t xml:space="preserve">Ejemplo: no define evaluación antes y después (O3) ni indicador con línea base y meta (E1).</t>
  </si>
  <si>
    <t xml:space="preserve">Ejemplo: pendiente de acreditar autorizaciones ambientales (T2).</t>
  </si>
  <si>
    <t xml:space="preserve">3. Ranking de proyectos</t>
  </si>
  <si>
    <t xml:space="preserve">Orden automático: primero los elegibles por índice (desempate: O5, luego T3, luego subtotal de Evidencia); después, no elegibles y pendientes en orden de registro.</t>
  </si>
  <si>
    <t xml:space="preserve">Resumen de la cartera</t>
  </si>
  <si>
    <t xml:space="preserve">Proyectos registrados</t>
  </si>
  <si>
    <t xml:space="preserve">Elegibles</t>
  </si>
  <si>
    <t xml:space="preserve">No elegibles</t>
  </si>
  <si>
    <t xml:space="preserve">Pendientes</t>
  </si>
  <si>
    <t xml:space="preserve">Prioridad alta</t>
  </si>
  <si>
    <t xml:space="preserve">Prioridad media</t>
  </si>
  <si>
    <t xml:space="preserve">Prioridad baja</t>
  </si>
  <si>
    <t xml:space="preserve">Monto solicitado por elegibles (MXN)</t>
  </si>
  <si>
    <t xml:space="preserve">Orden</t>
  </si>
  <si>
    <t xml:space="preserve">Fila</t>
  </si>
  <si>
    <t xml:space="preserve">Proponente</t>
  </si>
  <si>
    <t xml:space="preserve">Índice (0–100)</t>
  </si>
  <si>
    <t xml:space="preserve">Categoría</t>
  </si>
  <si>
    <t xml:space="preserve">Posición</t>
  </si>
  <si>
    <t xml:space="preserve">4. Ficha de evaluación individual</t>
  </si>
  <si>
    <t xml:space="preserve">Seleccione el ID del proyecto:</t>
  </si>
  <si>
    <t xml:space="preserve">Fila:</t>
  </si>
  <si>
    <t xml:space="preserve">Resultado</t>
  </si>
  <si>
    <t xml:space="preserve">Descriptor de la rúbrica aplicada</t>
  </si>
  <si>
    <t xml:space="preserve">Justificación y evidencia</t>
  </si>
  <si>
    <t xml:space="preserve">Observaciones del comité</t>
  </si>
  <si>
    <t xml:space="preserve">Firma(s):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</si>
</sst>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0%"/>
    <numFmt numFmtId="167" formatCode="General"/>
    <numFmt numFmtId="168" formatCode="\$#,##0"/>
    <numFmt numFmtId="169" formatCode="0"/>
    <numFmt numFmtId="170" formatCode="dd/mm/yyyy"/>
    <numFmt numFmtId="171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0000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EAF1F4"/>
        <bgColor rgb="FFF2F2F2"/>
      </patternFill>
    </fill>
    <fill>
      <patternFill patternType="solid">
        <fgColor rgb="FFFFF2CC"/>
        <bgColor rgb="FFFCE5CD"/>
      </patternFill>
    </fill>
    <fill>
      <patternFill patternType="solid">
        <fgColor rgb="FFF2F2F2"/>
        <bgColor rgb="FFEAF1F4"/>
      </patternFill>
    </fill>
    <fill>
      <patternFill patternType="solid">
        <fgColor rgb="FFD9E2E6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EAF1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AD3"/>
      <rgbColor rgb="FFFCE5CD"/>
      <rgbColor rgb="FFD9E2E6"/>
      <rgbColor rgb="FFF9F9F9"/>
      <rgbColor rgb="FFCC99FF"/>
      <rgbColor rgb="FFF4CCCC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Índice de prioridad de los proyectos elegibles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3_Ranking!I15</c:f>
              <c:strCache>
                <c:ptCount val="1"/>
                <c:pt idx="0">
                  <c:v>Índice (0–100)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3_Ranking!$C$16:$C$30</c:f>
              <c:strCache>
                <c:ptCount val="15"/>
                <c:pt idx="0">
                  <c:v>EJ-01</c:v>
                </c:pt>
                <c:pt idx="1">
                  <c:v>EJ-02</c:v>
                </c:pt>
                <c:pt idx="2">
                  <c:v>EJ-03</c:v>
                </c:pt>
                <c:pt idx="3">
                  <c:v>EJ-04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</c:strCache>
            </c:strRef>
          </c:cat>
          <c:val>
            <c:numRef>
              <c:f>3_Ranking!$I$16:$I$30</c:f>
              <c:numCache>
                <c:formatCode>0.0</c:formatCode>
                <c:ptCount val="15"/>
                <c:pt idx="0">
                  <c:v>90.7</c:v>
                </c:pt>
                <c:pt idx="1">
                  <c:v>61.1</c:v>
                </c:pt>
              </c:numCache>
            </c:numRef>
          </c:val>
        </c:ser>
        <c:gapWidth val="150"/>
        <c:overlap val="0"/>
        <c:axId val="27787382"/>
        <c:axId val="43246295"/>
      </c:barChart>
      <c:catAx>
        <c:axId val="2778738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46295"/>
        <c:crosses val="autoZero"/>
        <c:auto val="1"/>
        <c:lblAlgn val="ctr"/>
        <c:lblOffset val="100"/>
        <c:noMultiLvlLbl val="0"/>
      </c:catAx>
      <c:valAx>
        <c:axId val="43246295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873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160920</xdr:rowOff>
    </xdr:from>
    <xdr:to>
      <xdr:col>22</xdr:col>
      <xdr:colOff>256320</xdr:colOff>
      <xdr:row>18</xdr:row>
      <xdr:rowOff>40680</xdr:rowOff>
    </xdr:to>
    <xdr:graphicFrame>
      <xdr:nvGraphicFramePr>
        <xdr:cNvPr id="0" name="Chart 1"/>
        <xdr:cNvGraphicFramePr/>
      </xdr:nvGraphicFramePr>
      <xdr:xfrm>
        <a:off x="1238256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5" t="s">
        <v>17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18</v>
      </c>
    </row>
    <row r="25" customFormat="false" ht="15" hidden="false" customHeight="false" outlineLevel="0" collapsed="false">
      <c r="A25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6" min="5" style="0" width="42"/>
    <col collapsed="false" customWidth="true" hidden="false" outlineLevel="0" max="9" min="7" style="0" width="34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</row>
    <row r="5" customFormat="false" ht="102.95" hidden="false" customHeight="false" outlineLevel="0" collapsed="false">
      <c r="A5" s="7" t="s">
        <v>32</v>
      </c>
      <c r="B5" s="8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/>
      <c r="H5" s="8" t="s">
        <v>38</v>
      </c>
      <c r="I5" s="8" t="s">
        <v>39</v>
      </c>
      <c r="J5" s="8" t="s">
        <v>40</v>
      </c>
    </row>
    <row r="6" customFormat="false" ht="39.55" hidden="false" customHeight="false" outlineLevel="0" collapsed="false">
      <c r="A6" s="7" t="s">
        <v>41</v>
      </c>
      <c r="B6" s="8" t="s">
        <v>33</v>
      </c>
      <c r="C6" s="8" t="s">
        <v>34</v>
      </c>
      <c r="D6" s="8" t="s">
        <v>42</v>
      </c>
      <c r="E6" s="8" t="s">
        <v>43</v>
      </c>
      <c r="F6" s="8" t="s">
        <v>44</v>
      </c>
      <c r="G6" s="8"/>
      <c r="H6" s="8" t="s">
        <v>45</v>
      </c>
      <c r="I6" s="8" t="s">
        <v>46</v>
      </c>
      <c r="J6" s="8" t="s">
        <v>47</v>
      </c>
    </row>
    <row r="7" customFormat="false" ht="26.85" hidden="false" customHeight="false" outlineLevel="0" collapsed="false">
      <c r="A7" s="7" t="s">
        <v>48</v>
      </c>
      <c r="B7" s="8" t="s">
        <v>33</v>
      </c>
      <c r="C7" s="8" t="s">
        <v>34</v>
      </c>
      <c r="D7" s="8" t="s">
        <v>49</v>
      </c>
      <c r="E7" s="8" t="s">
        <v>50</v>
      </c>
      <c r="F7" s="8" t="s">
        <v>51</v>
      </c>
      <c r="G7" s="8"/>
      <c r="H7" s="8" t="s">
        <v>52</v>
      </c>
      <c r="I7" s="8" t="s">
        <v>53</v>
      </c>
      <c r="J7" s="8" t="s">
        <v>54</v>
      </c>
    </row>
    <row r="8" customFormat="false" ht="39.55" hidden="false" customHeight="false" outlineLevel="0" collapsed="false">
      <c r="A8" s="7" t="s">
        <v>55</v>
      </c>
      <c r="B8" s="8" t="s">
        <v>56</v>
      </c>
      <c r="C8" s="8" t="s">
        <v>34</v>
      </c>
      <c r="D8" s="8" t="s">
        <v>57</v>
      </c>
      <c r="E8" s="8" t="s">
        <v>58</v>
      </c>
      <c r="F8" s="8" t="s">
        <v>59</v>
      </c>
      <c r="G8" s="8"/>
      <c r="H8" s="8" t="s">
        <v>60</v>
      </c>
      <c r="I8" s="8" t="s">
        <v>61</v>
      </c>
      <c r="J8" s="8" t="s">
        <v>62</v>
      </c>
    </row>
    <row r="9" customFormat="false" ht="52.2" hidden="false" customHeight="false" outlineLevel="0" collapsed="false">
      <c r="A9" s="7" t="s">
        <v>63</v>
      </c>
      <c r="B9" s="8" t="s">
        <v>56</v>
      </c>
      <c r="C9" s="8" t="s">
        <v>34</v>
      </c>
      <c r="D9" s="8" t="s">
        <v>64</v>
      </c>
      <c r="E9" s="8" t="s">
        <v>65</v>
      </c>
      <c r="F9" s="8" t="s">
        <v>66</v>
      </c>
      <c r="G9" s="8"/>
      <c r="H9" s="8" t="s">
        <v>67</v>
      </c>
      <c r="I9" s="8" t="s">
        <v>68</v>
      </c>
      <c r="J9" s="8" t="s">
        <v>69</v>
      </c>
    </row>
    <row r="10" customFormat="false" ht="26.85" hidden="false" customHeight="false" outlineLevel="0" collapsed="false">
      <c r="A10" s="7" t="s">
        <v>70</v>
      </c>
      <c r="B10" s="8" t="s">
        <v>71</v>
      </c>
      <c r="C10" s="8" t="s">
        <v>34</v>
      </c>
      <c r="D10" s="8" t="s">
        <v>72</v>
      </c>
      <c r="E10" s="8" t="s">
        <v>73</v>
      </c>
      <c r="F10" s="8" t="s">
        <v>74</v>
      </c>
      <c r="G10" s="8"/>
      <c r="H10" s="8" t="s">
        <v>75</v>
      </c>
      <c r="I10" s="8" t="s">
        <v>76</v>
      </c>
      <c r="J10" s="8" t="s">
        <v>77</v>
      </c>
    </row>
    <row r="11" customFormat="false" ht="39.55" hidden="false" customHeight="false" outlineLevel="0" collapsed="false">
      <c r="A11" s="7" t="s">
        <v>78</v>
      </c>
      <c r="B11" s="8" t="s">
        <v>71</v>
      </c>
      <c r="C11" s="8" t="s">
        <v>34</v>
      </c>
      <c r="D11" s="8" t="s">
        <v>79</v>
      </c>
      <c r="E11" s="8" t="s">
        <v>80</v>
      </c>
      <c r="F11" s="8" t="s">
        <v>81</v>
      </c>
      <c r="G11" s="8"/>
      <c r="H11" s="8" t="s">
        <v>82</v>
      </c>
      <c r="I11" s="8" t="s">
        <v>83</v>
      </c>
      <c r="J11" s="8" t="s">
        <v>84</v>
      </c>
    </row>
    <row r="12" customFormat="false" ht="64.9" hidden="false" customHeight="false" outlineLevel="0" collapsed="false">
      <c r="A12" s="7" t="s">
        <v>85</v>
      </c>
      <c r="B12" s="8" t="s">
        <v>71</v>
      </c>
      <c r="C12" s="8" t="s">
        <v>34</v>
      </c>
      <c r="D12" s="8" t="s">
        <v>86</v>
      </c>
      <c r="E12" s="8" t="s">
        <v>87</v>
      </c>
      <c r="F12" s="8" t="s">
        <v>88</v>
      </c>
      <c r="G12" s="8"/>
      <c r="H12" s="8" t="s">
        <v>89</v>
      </c>
      <c r="I12" s="8" t="s">
        <v>90</v>
      </c>
      <c r="J12" s="8" t="s">
        <v>91</v>
      </c>
    </row>
    <row r="13" customFormat="false" ht="26.85" hidden="false" customHeight="false" outlineLevel="0" collapsed="false">
      <c r="A13" s="7" t="s">
        <v>92</v>
      </c>
      <c r="B13" s="8" t="s">
        <v>93</v>
      </c>
      <c r="C13" s="8" t="s">
        <v>34</v>
      </c>
      <c r="D13" s="8" t="s">
        <v>94</v>
      </c>
      <c r="E13" s="8" t="s">
        <v>95</v>
      </c>
      <c r="F13" s="8" t="s">
        <v>96</v>
      </c>
      <c r="G13" s="8"/>
      <c r="H13" s="8" t="s">
        <v>97</v>
      </c>
      <c r="I13" s="8" t="s">
        <v>98</v>
      </c>
      <c r="J13" s="8" t="s">
        <v>99</v>
      </c>
    </row>
    <row r="14" customFormat="false" ht="26.85" hidden="false" customHeight="false" outlineLevel="0" collapsed="false">
      <c r="A14" s="9" t="s">
        <v>100</v>
      </c>
      <c r="B14" s="10" t="s">
        <v>33</v>
      </c>
      <c r="C14" s="10" t="s">
        <v>101</v>
      </c>
      <c r="D14" s="10" t="s">
        <v>102</v>
      </c>
      <c r="E14" s="10" t="s">
        <v>103</v>
      </c>
      <c r="F14" s="10" t="s">
        <v>104</v>
      </c>
      <c r="G14" s="10" t="s">
        <v>105</v>
      </c>
      <c r="H14" s="10" t="s">
        <v>106</v>
      </c>
      <c r="I14" s="10" t="s">
        <v>107</v>
      </c>
      <c r="J14" s="10" t="s">
        <v>47</v>
      </c>
    </row>
    <row r="15" customFormat="false" ht="64.9" hidden="false" customHeight="false" outlineLevel="0" collapsed="false">
      <c r="A15" s="9" t="s">
        <v>108</v>
      </c>
      <c r="B15" s="10" t="s">
        <v>33</v>
      </c>
      <c r="C15" s="10" t="s">
        <v>109</v>
      </c>
      <c r="D15" s="10" t="s">
        <v>110</v>
      </c>
      <c r="E15" s="10" t="s">
        <v>111</v>
      </c>
      <c r="F15" s="10" t="s">
        <v>112</v>
      </c>
      <c r="G15" s="10" t="s">
        <v>113</v>
      </c>
      <c r="H15" s="10" t="s">
        <v>114</v>
      </c>
      <c r="I15" s="10" t="s">
        <v>115</v>
      </c>
      <c r="J15" s="10" t="s">
        <v>116</v>
      </c>
    </row>
    <row r="16" customFormat="false" ht="39.55" hidden="false" customHeight="false" outlineLevel="0" collapsed="false">
      <c r="A16" s="9" t="s">
        <v>117</v>
      </c>
      <c r="B16" s="10" t="s">
        <v>56</v>
      </c>
      <c r="C16" s="10" t="s">
        <v>109</v>
      </c>
      <c r="D16" s="10" t="s">
        <v>118</v>
      </c>
      <c r="E16" s="10" t="s">
        <v>119</v>
      </c>
      <c r="F16" s="10" t="s">
        <v>120</v>
      </c>
      <c r="G16" s="10" t="s">
        <v>121</v>
      </c>
      <c r="H16" s="10" t="s">
        <v>122</v>
      </c>
      <c r="I16" s="10" t="s">
        <v>123</v>
      </c>
      <c r="J16" s="10" t="s">
        <v>124</v>
      </c>
    </row>
    <row r="17" customFormat="false" ht="64.9" hidden="false" customHeight="false" outlineLevel="0" collapsed="false">
      <c r="A17" s="9" t="s">
        <v>125</v>
      </c>
      <c r="B17" s="10" t="s">
        <v>56</v>
      </c>
      <c r="C17" s="10" t="s">
        <v>109</v>
      </c>
      <c r="D17" s="10" t="s">
        <v>126</v>
      </c>
      <c r="E17" s="10" t="s">
        <v>127</v>
      </c>
      <c r="F17" s="10" t="s">
        <v>128</v>
      </c>
      <c r="G17" s="10" t="s">
        <v>129</v>
      </c>
      <c r="H17" s="10" t="s">
        <v>130</v>
      </c>
      <c r="I17" s="10" t="s">
        <v>131</v>
      </c>
      <c r="J17" s="10" t="s">
        <v>132</v>
      </c>
    </row>
    <row r="18" customFormat="false" ht="39.55" hidden="false" customHeight="false" outlineLevel="0" collapsed="false">
      <c r="A18" s="9" t="s">
        <v>133</v>
      </c>
      <c r="B18" s="10" t="s">
        <v>71</v>
      </c>
      <c r="C18" s="10" t="s">
        <v>109</v>
      </c>
      <c r="D18" s="10" t="s">
        <v>134</v>
      </c>
      <c r="E18" s="10" t="s">
        <v>135</v>
      </c>
      <c r="F18" s="10" t="s">
        <v>136</v>
      </c>
      <c r="G18" s="10" t="s">
        <v>137</v>
      </c>
      <c r="H18" s="10" t="s">
        <v>138</v>
      </c>
      <c r="I18" s="10" t="s">
        <v>139</v>
      </c>
      <c r="J18" s="10" t="s">
        <v>140</v>
      </c>
    </row>
    <row r="19" customFormat="false" ht="39.55" hidden="false" customHeight="false" outlineLevel="0" collapsed="false">
      <c r="A19" s="9" t="s">
        <v>141</v>
      </c>
      <c r="B19" s="10" t="s">
        <v>71</v>
      </c>
      <c r="C19" s="10" t="s">
        <v>101</v>
      </c>
      <c r="D19" s="10" t="s">
        <v>142</v>
      </c>
      <c r="E19" s="10" t="s">
        <v>143</v>
      </c>
      <c r="F19" s="10" t="s">
        <v>144</v>
      </c>
      <c r="G19" s="10" t="s">
        <v>145</v>
      </c>
      <c r="H19" s="10" t="s">
        <v>146</v>
      </c>
      <c r="I19" s="10" t="s">
        <v>147</v>
      </c>
      <c r="J19" s="10" t="s">
        <v>148</v>
      </c>
    </row>
    <row r="20" customFormat="false" ht="52.2" hidden="false" customHeight="false" outlineLevel="0" collapsed="false">
      <c r="A20" s="9" t="s">
        <v>149</v>
      </c>
      <c r="B20" s="10" t="s">
        <v>71</v>
      </c>
      <c r="C20" s="10" t="s">
        <v>109</v>
      </c>
      <c r="D20" s="10" t="s">
        <v>150</v>
      </c>
      <c r="E20" s="10" t="s">
        <v>151</v>
      </c>
      <c r="F20" s="10" t="s">
        <v>152</v>
      </c>
      <c r="G20" s="10" t="s">
        <v>153</v>
      </c>
      <c r="H20" s="10" t="s">
        <v>154</v>
      </c>
      <c r="I20" s="10" t="s">
        <v>155</v>
      </c>
      <c r="J20" s="10" t="s">
        <v>62</v>
      </c>
    </row>
    <row r="21" customFormat="false" ht="39.55" hidden="false" customHeight="false" outlineLevel="0" collapsed="false">
      <c r="A21" s="9" t="s">
        <v>156</v>
      </c>
      <c r="B21" s="10" t="s">
        <v>71</v>
      </c>
      <c r="C21" s="10" t="s">
        <v>109</v>
      </c>
      <c r="D21" s="10" t="s">
        <v>157</v>
      </c>
      <c r="E21" s="10" t="s">
        <v>158</v>
      </c>
      <c r="F21" s="10" t="s">
        <v>159</v>
      </c>
      <c r="G21" s="10" t="s">
        <v>160</v>
      </c>
      <c r="H21" s="10" t="s">
        <v>161</v>
      </c>
      <c r="I21" s="10" t="s">
        <v>162</v>
      </c>
      <c r="J21" s="10" t="s">
        <v>140</v>
      </c>
    </row>
    <row r="22" customFormat="false" ht="39.55" hidden="false" customHeight="false" outlineLevel="0" collapsed="false">
      <c r="A22" s="9" t="s">
        <v>163</v>
      </c>
      <c r="B22" s="10" t="s">
        <v>71</v>
      </c>
      <c r="C22" s="10" t="s">
        <v>109</v>
      </c>
      <c r="D22" s="10" t="s">
        <v>164</v>
      </c>
      <c r="E22" s="10" t="s">
        <v>165</v>
      </c>
      <c r="F22" s="10" t="s">
        <v>166</v>
      </c>
      <c r="G22" s="10" t="s">
        <v>167</v>
      </c>
      <c r="H22" s="10" t="s">
        <v>168</v>
      </c>
      <c r="I22" s="10" t="s">
        <v>169</v>
      </c>
      <c r="J22" s="10" t="s">
        <v>140</v>
      </c>
    </row>
    <row r="23" customFormat="false" ht="39.55" hidden="false" customHeight="false" outlineLevel="0" collapsed="false">
      <c r="A23" s="9" t="s">
        <v>170</v>
      </c>
      <c r="B23" s="10" t="s">
        <v>93</v>
      </c>
      <c r="C23" s="10" t="s">
        <v>109</v>
      </c>
      <c r="D23" s="10" t="s">
        <v>171</v>
      </c>
      <c r="E23" s="10" t="s">
        <v>172</v>
      </c>
      <c r="F23" s="10" t="s">
        <v>173</v>
      </c>
      <c r="G23" s="10" t="s">
        <v>174</v>
      </c>
      <c r="H23" s="10" t="s">
        <v>175</v>
      </c>
      <c r="I23" s="10" t="s">
        <v>176</v>
      </c>
      <c r="J23" s="10" t="s">
        <v>140</v>
      </c>
    </row>
    <row r="24" customFormat="false" ht="39.55" hidden="false" customHeight="false" outlineLevel="0" collapsed="false">
      <c r="A24" s="9" t="s">
        <v>177</v>
      </c>
      <c r="B24" s="10" t="s">
        <v>93</v>
      </c>
      <c r="C24" s="10" t="s">
        <v>109</v>
      </c>
      <c r="D24" s="10" t="s">
        <v>178</v>
      </c>
      <c r="E24" s="10" t="s">
        <v>179</v>
      </c>
      <c r="F24" s="10" t="s">
        <v>180</v>
      </c>
      <c r="G24" s="10" t="s">
        <v>181</v>
      </c>
      <c r="H24" s="10" t="s">
        <v>182</v>
      </c>
      <c r="I24" s="10" t="s">
        <v>183</v>
      </c>
      <c r="J24" s="10" t="s">
        <v>184</v>
      </c>
    </row>
    <row r="25" customFormat="false" ht="26.85" hidden="false" customHeight="false" outlineLevel="0" collapsed="false">
      <c r="A25" s="9" t="s">
        <v>185</v>
      </c>
      <c r="B25" s="10" t="s">
        <v>93</v>
      </c>
      <c r="C25" s="10" t="s">
        <v>109</v>
      </c>
      <c r="D25" s="10" t="s">
        <v>186</v>
      </c>
      <c r="E25" s="10" t="s">
        <v>187</v>
      </c>
      <c r="F25" s="10" t="s">
        <v>188</v>
      </c>
      <c r="G25" s="10" t="s">
        <v>189</v>
      </c>
      <c r="H25" s="10" t="s">
        <v>190</v>
      </c>
      <c r="I25" s="10" t="s">
        <v>191</v>
      </c>
      <c r="J25" s="10" t="s">
        <v>192</v>
      </c>
    </row>
    <row r="26" customFormat="false" ht="39.55" hidden="false" customHeight="false" outlineLevel="0" collapsed="false">
      <c r="A26" s="9" t="s">
        <v>193</v>
      </c>
      <c r="B26" s="10" t="s">
        <v>194</v>
      </c>
      <c r="C26" s="10" t="s">
        <v>109</v>
      </c>
      <c r="D26" s="10" t="s">
        <v>195</v>
      </c>
      <c r="E26" s="10" t="s">
        <v>196</v>
      </c>
      <c r="F26" s="10" t="s">
        <v>197</v>
      </c>
      <c r="G26" s="10" t="s">
        <v>198</v>
      </c>
      <c r="H26" s="10" t="s">
        <v>199</v>
      </c>
      <c r="I26" s="10" t="s">
        <v>200</v>
      </c>
      <c r="J26" s="10" t="s">
        <v>201</v>
      </c>
    </row>
    <row r="27" customFormat="false" ht="39.55" hidden="false" customHeight="false" outlineLevel="0" collapsed="false">
      <c r="A27" s="9" t="s">
        <v>202</v>
      </c>
      <c r="B27" s="10" t="s">
        <v>194</v>
      </c>
      <c r="C27" s="10" t="s">
        <v>109</v>
      </c>
      <c r="D27" s="10" t="s">
        <v>203</v>
      </c>
      <c r="E27" s="10" t="s">
        <v>204</v>
      </c>
      <c r="F27" s="10" t="s">
        <v>205</v>
      </c>
      <c r="G27" s="10" t="s">
        <v>206</v>
      </c>
      <c r="H27" s="10" t="s">
        <v>207</v>
      </c>
      <c r="I27" s="10" t="s">
        <v>208</v>
      </c>
      <c r="J27" s="10" t="s">
        <v>209</v>
      </c>
    </row>
    <row r="28" customFormat="false" ht="39.55" hidden="false" customHeight="false" outlineLevel="0" collapsed="false">
      <c r="A28" s="9" t="s">
        <v>210</v>
      </c>
      <c r="B28" s="10" t="s">
        <v>194</v>
      </c>
      <c r="C28" s="10" t="s">
        <v>109</v>
      </c>
      <c r="D28" s="10" t="s">
        <v>211</v>
      </c>
      <c r="E28" s="10" t="s">
        <v>212</v>
      </c>
      <c r="F28" s="10" t="s">
        <v>213</v>
      </c>
      <c r="G28" s="10" t="s">
        <v>214</v>
      </c>
      <c r="H28" s="10" t="s">
        <v>215</v>
      </c>
      <c r="I28" s="10" t="s">
        <v>216</v>
      </c>
      <c r="J28" s="10" t="s">
        <v>217</v>
      </c>
    </row>
    <row r="29" customFormat="false" ht="26.85" hidden="false" customHeight="false" outlineLevel="0" collapsed="false">
      <c r="A29" s="9" t="s">
        <v>218</v>
      </c>
      <c r="B29" s="10" t="s">
        <v>194</v>
      </c>
      <c r="C29" s="10" t="s">
        <v>109</v>
      </c>
      <c r="D29" s="10" t="s">
        <v>219</v>
      </c>
      <c r="E29" s="10" t="s">
        <v>220</v>
      </c>
      <c r="F29" s="10" t="s">
        <v>221</v>
      </c>
      <c r="G29" s="10" t="s">
        <v>222</v>
      </c>
      <c r="H29" s="10" t="s">
        <v>223</v>
      </c>
      <c r="I29" s="10" t="s">
        <v>224</v>
      </c>
      <c r="J29" s="10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4" customFormat="false" ht="15" hidden="false" customHeight="false" outlineLevel="0" collapsed="false">
      <c r="A4" s="6" t="s">
        <v>228</v>
      </c>
      <c r="B4" s="6" t="s">
        <v>229</v>
      </c>
      <c r="C4" s="6" t="s">
        <v>230</v>
      </c>
      <c r="D4" s="6" t="s">
        <v>231</v>
      </c>
      <c r="E4" s="6" t="s">
        <v>232</v>
      </c>
    </row>
    <row r="5" customFormat="false" ht="39.55" hidden="false" customHeight="false" outlineLevel="0" collapsed="false">
      <c r="A5" s="10" t="s">
        <v>233</v>
      </c>
      <c r="B5" s="10" t="s">
        <v>234</v>
      </c>
      <c r="C5" s="10" t="s">
        <v>235</v>
      </c>
      <c r="D5" s="10" t="s">
        <v>236</v>
      </c>
      <c r="E5" s="10" t="s">
        <v>237</v>
      </c>
    </row>
    <row r="6" customFormat="false" ht="26.85" hidden="false" customHeight="false" outlineLevel="0" collapsed="false">
      <c r="A6" s="10" t="s">
        <v>238</v>
      </c>
      <c r="B6" s="10" t="s">
        <v>239</v>
      </c>
      <c r="C6" s="10" t="s">
        <v>240</v>
      </c>
      <c r="D6" s="10" t="s">
        <v>241</v>
      </c>
      <c r="E6" s="10" t="s">
        <v>242</v>
      </c>
    </row>
    <row r="7" customFormat="false" ht="26.85" hidden="false" customHeight="false" outlineLevel="0" collapsed="false">
      <c r="A7" s="10" t="s">
        <v>243</v>
      </c>
      <c r="B7" s="10" t="s">
        <v>234</v>
      </c>
      <c r="C7" s="10" t="s">
        <v>244</v>
      </c>
      <c r="D7" s="10" t="s">
        <v>245</v>
      </c>
      <c r="E7" s="10" t="s">
        <v>246</v>
      </c>
    </row>
    <row r="8" customFormat="false" ht="39.55" hidden="false" customHeight="false" outlineLevel="0" collapsed="false">
      <c r="A8" s="10" t="s">
        <v>247</v>
      </c>
      <c r="B8" s="10" t="s">
        <v>248</v>
      </c>
      <c r="C8" s="10" t="s">
        <v>249</v>
      </c>
      <c r="D8" s="10" t="s">
        <v>250</v>
      </c>
      <c r="E8" s="10" t="s">
        <v>251</v>
      </c>
    </row>
    <row r="9" customFormat="false" ht="26.85" hidden="false" customHeight="false" outlineLevel="0" collapsed="false">
      <c r="A9" s="10" t="s">
        <v>252</v>
      </c>
      <c r="B9" s="10" t="s">
        <v>248</v>
      </c>
      <c r="C9" s="10" t="s">
        <v>253</v>
      </c>
      <c r="D9" s="10" t="s">
        <v>254</v>
      </c>
      <c r="E9" s="10" t="s">
        <v>255</v>
      </c>
    </row>
    <row r="10" customFormat="false" ht="26.85" hidden="false" customHeight="false" outlineLevel="0" collapsed="false">
      <c r="A10" s="10" t="s">
        <v>256</v>
      </c>
      <c r="B10" s="10" t="s">
        <v>239</v>
      </c>
      <c r="C10" s="10" t="s">
        <v>257</v>
      </c>
      <c r="D10" s="10" t="s">
        <v>258</v>
      </c>
      <c r="E10" s="10" t="s">
        <v>259</v>
      </c>
    </row>
    <row r="11" customFormat="false" ht="26.85" hidden="false" customHeight="false" outlineLevel="0" collapsed="false">
      <c r="A11" s="10" t="s">
        <v>260</v>
      </c>
      <c r="B11" s="10" t="s">
        <v>239</v>
      </c>
      <c r="C11" s="10" t="s">
        <v>261</v>
      </c>
      <c r="D11" s="10" t="s">
        <v>262</v>
      </c>
      <c r="E11" s="10" t="s">
        <v>263</v>
      </c>
    </row>
    <row r="12" customFormat="false" ht="26.85" hidden="false" customHeight="false" outlineLevel="0" collapsed="false">
      <c r="A12" s="10" t="s">
        <v>264</v>
      </c>
      <c r="B12" s="10" t="s">
        <v>265</v>
      </c>
      <c r="C12" s="10" t="s">
        <v>266</v>
      </c>
      <c r="D12" s="10" t="s">
        <v>267</v>
      </c>
      <c r="E12" s="10" t="s">
        <v>268</v>
      </c>
    </row>
    <row r="13" customFormat="false" ht="26.85" hidden="false" customHeight="false" outlineLevel="0" collapsed="false">
      <c r="A13" s="10" t="s">
        <v>269</v>
      </c>
      <c r="B13" s="10" t="s">
        <v>265</v>
      </c>
      <c r="C13" s="10" t="s">
        <v>270</v>
      </c>
      <c r="D13" s="10" t="s">
        <v>271</v>
      </c>
      <c r="E13" s="10" t="s">
        <v>272</v>
      </c>
    </row>
    <row r="14" customFormat="false" ht="26.85" hidden="false" customHeight="false" outlineLevel="0" collapsed="false">
      <c r="A14" s="10" t="s">
        <v>273</v>
      </c>
      <c r="B14" s="10" t="s">
        <v>274</v>
      </c>
      <c r="C14" s="10" t="s">
        <v>275</v>
      </c>
      <c r="D14" s="10" t="s">
        <v>276</v>
      </c>
      <c r="E14" s="10" t="s">
        <v>277</v>
      </c>
    </row>
    <row r="15" customFormat="false" ht="26.85" hidden="false" customHeight="false" outlineLevel="0" collapsed="false">
      <c r="A15" s="10" t="s">
        <v>278</v>
      </c>
      <c r="B15" s="10" t="s">
        <v>274</v>
      </c>
      <c r="C15" s="10" t="s">
        <v>279</v>
      </c>
      <c r="D15" s="10" t="s">
        <v>280</v>
      </c>
      <c r="E15" s="10" t="s">
        <v>281</v>
      </c>
    </row>
    <row r="16" customFormat="false" ht="26.85" hidden="false" customHeight="false" outlineLevel="0" collapsed="false">
      <c r="A16" s="10" t="s">
        <v>282</v>
      </c>
      <c r="B16" s="10" t="s">
        <v>234</v>
      </c>
      <c r="C16" s="10" t="s">
        <v>283</v>
      </c>
      <c r="D16" s="10" t="s">
        <v>284</v>
      </c>
      <c r="E16" s="10" t="s">
        <v>285</v>
      </c>
    </row>
    <row r="17" customFormat="false" ht="26.85" hidden="false" customHeight="false" outlineLevel="0" collapsed="false">
      <c r="A17" s="10" t="s">
        <v>286</v>
      </c>
      <c r="B17" s="10" t="s">
        <v>274</v>
      </c>
      <c r="C17" s="10" t="s">
        <v>287</v>
      </c>
      <c r="D17" s="10" t="s">
        <v>288</v>
      </c>
      <c r="E17" s="10" t="s">
        <v>289</v>
      </c>
    </row>
    <row r="18" customFormat="false" ht="26.85" hidden="false" customHeight="false" outlineLevel="0" collapsed="false">
      <c r="A18" s="10" t="s">
        <v>290</v>
      </c>
      <c r="B18" s="10" t="s">
        <v>274</v>
      </c>
      <c r="C18" s="10" t="s">
        <v>291</v>
      </c>
      <c r="D18" s="10" t="s">
        <v>292</v>
      </c>
      <c r="E18" s="10" t="s">
        <v>293</v>
      </c>
    </row>
    <row r="19" customFormat="false" ht="26.85" hidden="false" customHeight="false" outlineLevel="0" collapsed="false">
      <c r="A19" s="10" t="s">
        <v>294</v>
      </c>
      <c r="B19" s="10" t="s">
        <v>248</v>
      </c>
      <c r="C19" s="10" t="s">
        <v>295</v>
      </c>
      <c r="D19" s="10" t="s">
        <v>296</v>
      </c>
      <c r="E19" s="10" t="s">
        <v>297</v>
      </c>
    </row>
    <row r="20" customFormat="false" ht="26.85" hidden="false" customHeight="false" outlineLevel="0" collapsed="false">
      <c r="A20" s="10" t="s">
        <v>298</v>
      </c>
      <c r="B20" s="10" t="s">
        <v>299</v>
      </c>
      <c r="C20" s="10" t="s">
        <v>300</v>
      </c>
      <c r="D20" s="10" t="s">
        <v>301</v>
      </c>
      <c r="E20" s="10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303</v>
      </c>
    </row>
    <row r="2" customFormat="false" ht="15" hidden="false" customHeight="false" outlineLevel="0" collapsed="false">
      <c r="A2" s="2" t="s">
        <v>304</v>
      </c>
    </row>
    <row r="4" customFormat="false" ht="15" hidden="false" customHeight="false" outlineLevel="0" collapsed="false">
      <c r="A4" s="4" t="s">
        <v>305</v>
      </c>
    </row>
    <row r="5" customFormat="false" ht="15" hidden="false" customHeight="false" outlineLevel="0" collapsed="false">
      <c r="A5" s="6" t="s">
        <v>22</v>
      </c>
      <c r="B5" s="6" t="s">
        <v>23</v>
      </c>
      <c r="C5" s="6" t="s">
        <v>25</v>
      </c>
      <c r="D5" s="6" t="s">
        <v>306</v>
      </c>
      <c r="E5" s="6" t="s">
        <v>307</v>
      </c>
    </row>
    <row r="6" customFormat="false" ht="15" hidden="false" customHeight="false" outlineLevel="0" collapsed="false">
      <c r="A6" s="11" t="s">
        <v>100</v>
      </c>
      <c r="B6" s="11" t="s">
        <v>33</v>
      </c>
      <c r="C6" s="11" t="s">
        <v>102</v>
      </c>
      <c r="D6" s="12" t="n">
        <v>1</v>
      </c>
      <c r="E6" s="13" t="n">
        <f aca="false">IFERROR(D6/SUM($D$6:$D$21),0)</f>
        <v>0.0555555555555556</v>
      </c>
    </row>
    <row r="7" customFormat="false" ht="15" hidden="false" customHeight="false" outlineLevel="0" collapsed="false">
      <c r="A7" s="11" t="s">
        <v>108</v>
      </c>
      <c r="B7" s="11" t="s">
        <v>33</v>
      </c>
      <c r="C7" s="11" t="s">
        <v>110</v>
      </c>
      <c r="D7" s="12" t="n">
        <v>2</v>
      </c>
      <c r="E7" s="13" t="n">
        <f aca="false">IFERROR(D7/SUM($D$6:$D$21),0)</f>
        <v>0.111111111111111</v>
      </c>
    </row>
    <row r="8" customFormat="false" ht="15" hidden="false" customHeight="false" outlineLevel="0" collapsed="false">
      <c r="A8" s="11" t="s">
        <v>117</v>
      </c>
      <c r="B8" s="11" t="s">
        <v>56</v>
      </c>
      <c r="C8" s="11" t="s">
        <v>118</v>
      </c>
      <c r="D8" s="12" t="n">
        <v>2</v>
      </c>
      <c r="E8" s="13" t="n">
        <f aca="false">IFERROR(D8/SUM($D$6:$D$21),0)</f>
        <v>0.111111111111111</v>
      </c>
    </row>
    <row r="9" customFormat="false" ht="15" hidden="false" customHeight="false" outlineLevel="0" collapsed="false">
      <c r="A9" s="11" t="s">
        <v>125</v>
      </c>
      <c r="B9" s="11" t="s">
        <v>56</v>
      </c>
      <c r="C9" s="11" t="s">
        <v>126</v>
      </c>
      <c r="D9" s="12" t="n">
        <v>1</v>
      </c>
      <c r="E9" s="13" t="n">
        <f aca="false">IFERROR(D9/SUM($D$6:$D$21),0)</f>
        <v>0.0555555555555556</v>
      </c>
    </row>
    <row r="10" customFormat="false" ht="15" hidden="false" customHeight="false" outlineLevel="0" collapsed="false">
      <c r="A10" s="11" t="s">
        <v>133</v>
      </c>
      <c r="B10" s="11" t="s">
        <v>71</v>
      </c>
      <c r="C10" s="11" t="s">
        <v>134</v>
      </c>
      <c r="D10" s="12" t="n">
        <v>1</v>
      </c>
      <c r="E10" s="13" t="n">
        <f aca="false">IFERROR(D10/SUM($D$6:$D$21),0)</f>
        <v>0.0555555555555556</v>
      </c>
    </row>
    <row r="11" customFormat="false" ht="15" hidden="false" customHeight="false" outlineLevel="0" collapsed="false">
      <c r="A11" s="11" t="s">
        <v>141</v>
      </c>
      <c r="B11" s="11" t="s">
        <v>71</v>
      </c>
      <c r="C11" s="11" t="s">
        <v>142</v>
      </c>
      <c r="D11" s="12" t="n">
        <v>1</v>
      </c>
      <c r="E11" s="13" t="n">
        <f aca="false">IFERROR(D11/SUM($D$6:$D$21),0)</f>
        <v>0.0555555555555556</v>
      </c>
    </row>
    <row r="12" customFormat="false" ht="15" hidden="false" customHeight="false" outlineLevel="0" collapsed="false">
      <c r="A12" s="11" t="s">
        <v>149</v>
      </c>
      <c r="B12" s="11" t="s">
        <v>71</v>
      </c>
      <c r="C12" s="11" t="s">
        <v>150</v>
      </c>
      <c r="D12" s="12" t="n">
        <v>1</v>
      </c>
      <c r="E12" s="13" t="n">
        <f aca="false">IFERROR(D12/SUM($D$6:$D$21),0)</f>
        <v>0.0555555555555556</v>
      </c>
    </row>
    <row r="13" customFormat="false" ht="15" hidden="false" customHeight="false" outlineLevel="0" collapsed="false">
      <c r="A13" s="11" t="s">
        <v>156</v>
      </c>
      <c r="B13" s="11" t="s">
        <v>71</v>
      </c>
      <c r="C13" s="11" t="s">
        <v>157</v>
      </c>
      <c r="D13" s="12" t="n">
        <v>1</v>
      </c>
      <c r="E13" s="13" t="n">
        <f aca="false">IFERROR(D13/SUM($D$6:$D$21),0)</f>
        <v>0.0555555555555556</v>
      </c>
    </row>
    <row r="14" customFormat="false" ht="15" hidden="false" customHeight="false" outlineLevel="0" collapsed="false">
      <c r="A14" s="11" t="s">
        <v>163</v>
      </c>
      <c r="B14" s="11" t="s">
        <v>71</v>
      </c>
      <c r="C14" s="11" t="s">
        <v>164</v>
      </c>
      <c r="D14" s="12" t="n">
        <v>1</v>
      </c>
      <c r="E14" s="13" t="n">
        <f aca="false">IFERROR(D14/SUM($D$6:$D$21),0)</f>
        <v>0.0555555555555556</v>
      </c>
    </row>
    <row r="15" customFormat="false" ht="15" hidden="false" customHeight="false" outlineLevel="0" collapsed="false">
      <c r="A15" s="11" t="s">
        <v>170</v>
      </c>
      <c r="B15" s="11" t="s">
        <v>93</v>
      </c>
      <c r="C15" s="11" t="s">
        <v>171</v>
      </c>
      <c r="D15" s="12" t="n">
        <v>1</v>
      </c>
      <c r="E15" s="13" t="n">
        <f aca="false">IFERROR(D15/SUM($D$6:$D$21),0)</f>
        <v>0.0555555555555556</v>
      </c>
    </row>
    <row r="16" customFormat="false" ht="15" hidden="false" customHeight="false" outlineLevel="0" collapsed="false">
      <c r="A16" s="11" t="s">
        <v>177</v>
      </c>
      <c r="B16" s="11" t="s">
        <v>93</v>
      </c>
      <c r="C16" s="11" t="s">
        <v>178</v>
      </c>
      <c r="D16" s="12" t="n">
        <v>1</v>
      </c>
      <c r="E16" s="13" t="n">
        <f aca="false">IFERROR(D16/SUM($D$6:$D$21),0)</f>
        <v>0.0555555555555556</v>
      </c>
    </row>
    <row r="17" customFormat="false" ht="15" hidden="false" customHeight="false" outlineLevel="0" collapsed="false">
      <c r="A17" s="11" t="s">
        <v>185</v>
      </c>
      <c r="B17" s="11" t="s">
        <v>93</v>
      </c>
      <c r="C17" s="11" t="s">
        <v>186</v>
      </c>
      <c r="D17" s="12" t="n">
        <v>1</v>
      </c>
      <c r="E17" s="13" t="n">
        <f aca="false">IFERROR(D17/SUM($D$6:$D$21),0)</f>
        <v>0.0555555555555556</v>
      </c>
    </row>
    <row r="18" customFormat="false" ht="15" hidden="false" customHeight="false" outlineLevel="0" collapsed="false">
      <c r="A18" s="11" t="s">
        <v>193</v>
      </c>
      <c r="B18" s="11" t="s">
        <v>194</v>
      </c>
      <c r="C18" s="11" t="s">
        <v>195</v>
      </c>
      <c r="D18" s="12" t="n">
        <v>1</v>
      </c>
      <c r="E18" s="13" t="n">
        <f aca="false">IFERROR(D18/SUM($D$6:$D$21),0)</f>
        <v>0.0555555555555556</v>
      </c>
    </row>
    <row r="19" customFormat="false" ht="15" hidden="false" customHeight="false" outlineLevel="0" collapsed="false">
      <c r="A19" s="11" t="s">
        <v>202</v>
      </c>
      <c r="B19" s="11" t="s">
        <v>194</v>
      </c>
      <c r="C19" s="11" t="s">
        <v>203</v>
      </c>
      <c r="D19" s="12" t="n">
        <v>1</v>
      </c>
      <c r="E19" s="13" t="n">
        <f aca="false">IFERROR(D19/SUM($D$6:$D$21),0)</f>
        <v>0.0555555555555556</v>
      </c>
    </row>
    <row r="20" customFormat="false" ht="15" hidden="false" customHeight="false" outlineLevel="0" collapsed="false">
      <c r="A20" s="11" t="s">
        <v>210</v>
      </c>
      <c r="B20" s="11" t="s">
        <v>194</v>
      </c>
      <c r="C20" s="11" t="s">
        <v>211</v>
      </c>
      <c r="D20" s="12" t="n">
        <v>1</v>
      </c>
      <c r="E20" s="13" t="n">
        <f aca="false">IFERROR(D20/SUM($D$6:$D$21),0)</f>
        <v>0.0555555555555556</v>
      </c>
    </row>
    <row r="21" customFormat="false" ht="15" hidden="false" customHeight="false" outlineLevel="0" collapsed="false">
      <c r="A21" s="11" t="s">
        <v>218</v>
      </c>
      <c r="B21" s="11" t="s">
        <v>194</v>
      </c>
      <c r="C21" s="11" t="s">
        <v>219</v>
      </c>
      <c r="D21" s="12" t="n">
        <v>1</v>
      </c>
      <c r="E21" s="13" t="n">
        <f aca="false">IFERROR(D21/SUM($D$6:$D$21),0)</f>
        <v>0.0555555555555556</v>
      </c>
    </row>
    <row r="22" customFormat="false" ht="15" hidden="false" customHeight="false" outlineLevel="0" collapsed="false">
      <c r="C22" s="4" t="s">
        <v>308</v>
      </c>
      <c r="D22" s="4" t="n">
        <f aca="false">SUM(D6:D21)</f>
        <v>18</v>
      </c>
      <c r="E22" s="14" t="n">
        <f aca="false">SUM(E6:E21)</f>
        <v>1</v>
      </c>
    </row>
    <row r="23" customFormat="false" ht="15" hidden="false" customHeight="false" outlineLevel="0" collapsed="false">
      <c r="A23" s="2" t="s">
        <v>309</v>
      </c>
    </row>
    <row r="25" customFormat="false" ht="15" hidden="false" customHeight="false" outlineLevel="0" collapsed="false">
      <c r="A25" s="4" t="s">
        <v>310</v>
      </c>
    </row>
    <row r="26" customFormat="false" ht="15" hidden="false" customHeight="false" outlineLevel="0" collapsed="false">
      <c r="A26" s="6" t="s">
        <v>23</v>
      </c>
      <c r="B26" s="6"/>
      <c r="C26" s="6" t="s">
        <v>311</v>
      </c>
      <c r="D26" s="6" t="s">
        <v>312</v>
      </c>
    </row>
    <row r="27" customFormat="false" ht="15" hidden="false" customHeight="false" outlineLevel="0" collapsed="false">
      <c r="A27" s="3" t="s">
        <v>33</v>
      </c>
      <c r="C27" s="15" t="n">
        <f aca="false">COUNTIF($B$6:$B$21,A27)</f>
        <v>2</v>
      </c>
      <c r="D27" s="13" t="n">
        <f aca="false">IFERROR(SUMIF($B$6:$B$21,A27,$D$6:$D$21)/$D$22,0)</f>
        <v>0.166666666666667</v>
      </c>
    </row>
    <row r="28" customFormat="false" ht="15" hidden="false" customHeight="false" outlineLevel="0" collapsed="false">
      <c r="A28" s="3" t="s">
        <v>56</v>
      </c>
      <c r="C28" s="15" t="n">
        <f aca="false">COUNTIF($B$6:$B$21,A28)</f>
        <v>2</v>
      </c>
      <c r="D28" s="13" t="n">
        <f aca="false">IFERROR(SUMIF($B$6:$B$21,A28,$D$6:$D$21)/$D$22,0)</f>
        <v>0.166666666666667</v>
      </c>
    </row>
    <row r="29" customFormat="false" ht="15" hidden="false" customHeight="false" outlineLevel="0" collapsed="false">
      <c r="A29" s="3" t="s">
        <v>71</v>
      </c>
      <c r="C29" s="15" t="n">
        <f aca="false">COUNTIF($B$6:$B$21,A29)</f>
        <v>5</v>
      </c>
      <c r="D29" s="13" t="n">
        <f aca="false">IFERROR(SUMIF($B$6:$B$21,A29,$D$6:$D$21)/$D$22,0)</f>
        <v>0.277777777777778</v>
      </c>
    </row>
    <row r="30" customFormat="false" ht="15" hidden="false" customHeight="false" outlineLevel="0" collapsed="false">
      <c r="A30" s="3" t="s">
        <v>93</v>
      </c>
      <c r="C30" s="15" t="n">
        <f aca="false">COUNTIF($B$6:$B$21,A30)</f>
        <v>3</v>
      </c>
      <c r="D30" s="13" t="n">
        <f aca="false">IFERROR(SUMIF($B$6:$B$21,A30,$D$6:$D$21)/$D$22,0)</f>
        <v>0.166666666666667</v>
      </c>
    </row>
    <row r="31" customFormat="false" ht="15" hidden="false" customHeight="false" outlineLevel="0" collapsed="false">
      <c r="A31" s="3" t="s">
        <v>194</v>
      </c>
      <c r="C31" s="15" t="n">
        <f aca="false">COUNTIF($B$6:$B$21,A31)</f>
        <v>4</v>
      </c>
      <c r="D31" s="13" t="n">
        <f aca="false">IFERROR(SUMIF($B$6:$B$21,A31,$D$6:$D$21)/$D$22,0)</f>
        <v>0.222222222222222</v>
      </c>
    </row>
    <row r="33" customFormat="false" ht="15" hidden="false" customHeight="false" outlineLevel="0" collapsed="false">
      <c r="A33" s="4" t="s">
        <v>313</v>
      </c>
    </row>
    <row r="34" customFormat="false" ht="15" hidden="false" customHeight="false" outlineLevel="0" collapsed="false">
      <c r="A34" s="6" t="s">
        <v>314</v>
      </c>
      <c r="B34" s="6"/>
      <c r="C34" s="6"/>
      <c r="D34" s="6" t="s">
        <v>315</v>
      </c>
    </row>
    <row r="35" customFormat="false" ht="15" hidden="false" customHeight="false" outlineLevel="0" collapsed="false">
      <c r="A35" s="3" t="s">
        <v>316</v>
      </c>
      <c r="D35" s="16"/>
    </row>
    <row r="36" customFormat="false" ht="15" hidden="false" customHeight="false" outlineLevel="0" collapsed="false">
      <c r="A36" s="3" t="s">
        <v>317</v>
      </c>
      <c r="D36" s="16"/>
    </row>
    <row r="37" customFormat="false" ht="15" hidden="false" customHeight="false" outlineLevel="0" collapsed="false">
      <c r="A37" s="3" t="s">
        <v>318</v>
      </c>
      <c r="D37" s="17" t="n">
        <v>3</v>
      </c>
    </row>
    <row r="38" customFormat="false" ht="15" hidden="false" customHeight="false" outlineLevel="0" collapsed="false">
      <c r="A38" s="3" t="s">
        <v>319</v>
      </c>
      <c r="D38" s="17" t="n">
        <v>2</v>
      </c>
    </row>
    <row r="39" customFormat="false" ht="15" hidden="false" customHeight="false" outlineLevel="0" collapsed="false">
      <c r="A39" s="3" t="s">
        <v>320</v>
      </c>
      <c r="D39" s="18" t="n">
        <v>0.3</v>
      </c>
    </row>
    <row r="40" customFormat="false" ht="15" hidden="false" customHeight="false" outlineLevel="0" collapsed="false">
      <c r="A40" s="3" t="s">
        <v>321</v>
      </c>
      <c r="D40" s="18" t="n">
        <v>0.1</v>
      </c>
    </row>
    <row r="41" customFormat="false" ht="15" hidden="false" customHeight="false" outlineLevel="0" collapsed="false">
      <c r="A41" s="3" t="s">
        <v>322</v>
      </c>
      <c r="D41" s="17" t="n">
        <v>75</v>
      </c>
    </row>
    <row r="42" customFormat="false" ht="15" hidden="false" customHeight="false" outlineLevel="0" collapsed="false">
      <c r="A42" s="3" t="s">
        <v>323</v>
      </c>
      <c r="D42" s="17" t="n">
        <v>50</v>
      </c>
    </row>
    <row r="44" customFormat="false" ht="15" hidden="false" customHeight="false" outlineLevel="0" collapsed="false">
      <c r="A44" s="4" t="s">
        <v>324</v>
      </c>
    </row>
    <row r="45" customFormat="false" ht="15" hidden="false" customHeight="false" outlineLevel="0" collapsed="false">
      <c r="A45" s="12" t="s">
        <v>325</v>
      </c>
    </row>
    <row r="46" customFormat="false" ht="15" hidden="false" customHeight="false" outlineLevel="0" collapsed="false">
      <c r="A46" s="12" t="s">
        <v>326</v>
      </c>
    </row>
    <row r="47" customFormat="false" ht="15" hidden="false" customHeight="false" outlineLevel="0" collapsed="false">
      <c r="A47" s="12" t="s">
        <v>327</v>
      </c>
    </row>
    <row r="48" customFormat="false" ht="15" hidden="false" customHeight="false" outlineLevel="0" collapsed="false">
      <c r="A48" s="12" t="s">
        <v>328</v>
      </c>
    </row>
    <row r="49" customFormat="false" ht="15" hidden="false" customHeight="false" outlineLevel="0" collapsed="false">
      <c r="A49" s="12" t="s">
        <v>329</v>
      </c>
    </row>
    <row r="50" customFormat="false" ht="15" hidden="false" customHeight="false" outlineLevel="0" collapsed="false">
      <c r="A50" s="12" t="s">
        <v>330</v>
      </c>
    </row>
    <row r="51" customFormat="false" ht="15" hidden="false" customHeight="false" outlineLevel="0" collapsed="false">
      <c r="A51" s="12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9" min="6" style="0" width="10"/>
    <col collapsed="false" customWidth="true" hidden="false" outlineLevel="0" max="10" min="10" style="0" width="30"/>
    <col collapsed="false" customWidth="true" hidden="false" outlineLevel="0" max="11" min="11" style="0" width="10"/>
    <col collapsed="false" customWidth="true" hidden="false" outlineLevel="0" max="13" min="12" style="0" width="16"/>
    <col collapsed="false" customWidth="true" hidden="false" outlineLevel="0" max="14" min="14" style="0" width="13"/>
    <col collapsed="false" customWidth="true" hidden="false" outlineLevel="0" max="15" min="15" style="0" width="30"/>
    <col collapsed="false" customWidth="true" hidden="false" outlineLevel="0" max="17" min="16" style="0" width="14"/>
    <col collapsed="false" customWidth="true" hidden="false" outlineLevel="0" max="18" min="18" style="0" width="18"/>
    <col collapsed="false" customWidth="true" hidden="false" outlineLevel="0" max="19" min="19" style="0" width="12"/>
  </cols>
  <sheetData>
    <row r="1" customFormat="false" ht="17.35" hidden="false" customHeight="false" outlineLevel="0" collapsed="false">
      <c r="A1" s="1" t="s">
        <v>332</v>
      </c>
    </row>
    <row r="2" customFormat="false" ht="15" hidden="false" customHeight="false" outlineLevel="0" collapsed="false">
      <c r="A2" s="2" t="s">
        <v>333</v>
      </c>
    </row>
    <row r="8" customFormat="false" ht="48" hidden="false" customHeight="true" outlineLevel="0" collapsed="false">
      <c r="A8" s="6" t="s">
        <v>334</v>
      </c>
      <c r="B8" s="6" t="s">
        <v>335</v>
      </c>
      <c r="C8" s="6" t="s">
        <v>336</v>
      </c>
      <c r="D8" s="6" t="s">
        <v>337</v>
      </c>
      <c r="E8" s="6" t="s">
        <v>338</v>
      </c>
      <c r="F8" s="6" t="s">
        <v>339</v>
      </c>
      <c r="G8" s="6" t="s">
        <v>340</v>
      </c>
      <c r="H8" s="6" t="s">
        <v>341</v>
      </c>
      <c r="I8" s="6" t="s">
        <v>342</v>
      </c>
      <c r="J8" s="6" t="s">
        <v>229</v>
      </c>
      <c r="K8" s="6" t="s">
        <v>343</v>
      </c>
      <c r="L8" s="6" t="s">
        <v>344</v>
      </c>
      <c r="M8" s="6" t="s">
        <v>345</v>
      </c>
      <c r="N8" s="6" t="s">
        <v>346</v>
      </c>
      <c r="O8" s="6" t="s">
        <v>347</v>
      </c>
      <c r="P8" s="6" t="s">
        <v>348</v>
      </c>
      <c r="Q8" s="6" t="s">
        <v>349</v>
      </c>
      <c r="R8" s="6" t="s">
        <v>350</v>
      </c>
      <c r="S8" s="6" t="s">
        <v>351</v>
      </c>
    </row>
    <row r="9" customFormat="false" ht="15" hidden="false" customHeight="false" outlineLevel="0" collapsed="false">
      <c r="A9" s="19" t="s">
        <v>352</v>
      </c>
      <c r="B9" s="19" t="s">
        <v>353</v>
      </c>
      <c r="C9" s="19" t="s">
        <v>354</v>
      </c>
      <c r="D9" s="19" t="s">
        <v>329</v>
      </c>
      <c r="E9" s="19" t="s">
        <v>355</v>
      </c>
      <c r="F9" s="19" t="s">
        <v>247</v>
      </c>
      <c r="G9" s="19" t="s">
        <v>252</v>
      </c>
      <c r="H9" s="19" t="s">
        <v>233</v>
      </c>
      <c r="I9" s="12"/>
      <c r="J9" s="15" t="str">
        <f aca="false">IF(F9="","",IFERROR(INDEX(Temas!$B$5:$B$20,MATCH(F9,Temas!$A$5:$A$20,0)),"Fracción no válida"))</f>
        <v>B. Capital natural y biodiversidad</v>
      </c>
      <c r="K9" s="15" t="n">
        <f aca="false">IF(F9="","",1+(G9&lt;&gt;"")*(G9&lt;&gt;F9)+(H9&lt;&gt;"")*(H9&lt;&gt;F9)*(H9&lt;&gt;G9)+(I9&lt;&gt;"")*(I9&lt;&gt;F9)*(I9&lt;&gt;G9)*(I9&lt;&gt;H9))</f>
        <v>3</v>
      </c>
      <c r="L9" s="20" t="n">
        <v>2500000</v>
      </c>
      <c r="M9" s="20" t="n">
        <v>3600000</v>
      </c>
      <c r="N9" s="21" t="n">
        <f aca="false">IF(OR(L9="",M9="",N(M9)=0),"",MAX(0,1-L9/M9))</f>
        <v>0.305555555555556</v>
      </c>
      <c r="O9" s="19" t="s">
        <v>356</v>
      </c>
      <c r="P9" s="19" t="s">
        <v>357</v>
      </c>
      <c r="Q9" s="19" t="s">
        <v>358</v>
      </c>
      <c r="R9" s="19" t="s">
        <v>359</v>
      </c>
      <c r="S9" s="22"/>
    </row>
    <row r="10" customFormat="false" ht="15" hidden="false" customHeight="false" outlineLevel="0" collapsed="false">
      <c r="A10" s="19" t="s">
        <v>360</v>
      </c>
      <c r="B10" s="19" t="s">
        <v>361</v>
      </c>
      <c r="C10" s="19" t="s">
        <v>362</v>
      </c>
      <c r="D10" s="19" t="s">
        <v>325</v>
      </c>
      <c r="E10" s="19" t="s">
        <v>363</v>
      </c>
      <c r="F10" s="19" t="s">
        <v>256</v>
      </c>
      <c r="G10" s="19" t="s">
        <v>260</v>
      </c>
      <c r="H10" s="12"/>
      <c r="I10" s="12"/>
      <c r="J10" s="15" t="str">
        <f aca="false">IF(F10="","",IFERROR(INDEX(Temas!$B$5:$B$20,MATCH(F10,Temas!$A$5:$A$20,0)),"Fracción no válida"))</f>
        <v>C. Mitigación y transición energética</v>
      </c>
      <c r="K10" s="15" t="n">
        <f aca="false">IF(F10="","",1+(G10&lt;&gt;"")*(G10&lt;&gt;F10)+(H10&lt;&gt;"")*(H10&lt;&gt;F10)*(H10&lt;&gt;G10)+(I10&lt;&gt;"")*(I10&lt;&gt;F10)*(I10&lt;&gt;G10)*(I10&lt;&gt;H10))</f>
        <v>2</v>
      </c>
      <c r="L10" s="20" t="n">
        <v>4000000</v>
      </c>
      <c r="M10" s="20" t="n">
        <v>4400000</v>
      </c>
      <c r="N10" s="21" t="n">
        <f aca="false">IF(OR(L10="",M10="",N(M10)=0),"",MAX(0,1-L10/M10))</f>
        <v>0.0909090909090909</v>
      </c>
      <c r="O10" s="19" t="s">
        <v>364</v>
      </c>
      <c r="P10" s="19" t="s">
        <v>365</v>
      </c>
      <c r="Q10" s="19" t="s">
        <v>366</v>
      </c>
      <c r="R10" s="19" t="s">
        <v>359</v>
      </c>
      <c r="S10" s="22"/>
    </row>
    <row r="11" customFormat="false" ht="15" hidden="false" customHeight="false" outlineLevel="0" collapsed="false">
      <c r="A11" s="19" t="s">
        <v>367</v>
      </c>
      <c r="B11" s="19" t="s">
        <v>368</v>
      </c>
      <c r="C11" s="19" t="s">
        <v>369</v>
      </c>
      <c r="D11" s="19" t="s">
        <v>329</v>
      </c>
      <c r="E11" s="19" t="s">
        <v>370</v>
      </c>
      <c r="F11" s="19" t="s">
        <v>273</v>
      </c>
      <c r="G11" s="12"/>
      <c r="H11" s="12"/>
      <c r="I11" s="12"/>
      <c r="J11" s="15" t="str">
        <f aca="false">IF(F11="","",IFERROR(INDEX(Temas!$B$5:$B$20,MATCH(F11,Temas!$A$5:$A$20,0)),"Fracción no válida"))</f>
        <v>E. Conocimiento, educación e instituciones</v>
      </c>
      <c r="K11" s="15" t="n">
        <f aca="false">IF(F11="","",1+(G11&lt;&gt;"")*(G11&lt;&gt;F11)+(H11&lt;&gt;"")*(H11&lt;&gt;F11)*(H11&lt;&gt;G11)+(I11&lt;&gt;"")*(I11&lt;&gt;F11)*(I11&lt;&gt;G11)*(I11&lt;&gt;H11))</f>
        <v>1</v>
      </c>
      <c r="L11" s="20" t="n">
        <v>600000</v>
      </c>
      <c r="M11" s="20" t="n">
        <v>600000</v>
      </c>
      <c r="N11" s="21" t="n">
        <f aca="false">IF(OR(L11="",M11="",N(M11)=0),"",MAX(0,1-L11/M11))</f>
        <v>0</v>
      </c>
      <c r="O11" s="12"/>
      <c r="P11" s="12"/>
      <c r="Q11" s="12"/>
      <c r="R11" s="19" t="s">
        <v>359</v>
      </c>
      <c r="S11" s="22"/>
    </row>
    <row r="12" customFormat="false" ht="15" hidden="false" customHeight="false" outlineLevel="0" collapsed="false">
      <c r="A12" s="19" t="s">
        <v>371</v>
      </c>
      <c r="B12" s="19" t="s">
        <v>372</v>
      </c>
      <c r="C12" s="19" t="s">
        <v>373</v>
      </c>
      <c r="D12" s="19" t="s">
        <v>326</v>
      </c>
      <c r="E12" s="19" t="s">
        <v>374</v>
      </c>
      <c r="F12" s="19" t="s">
        <v>269</v>
      </c>
      <c r="G12" s="19" t="s">
        <v>238</v>
      </c>
      <c r="H12" s="12"/>
      <c r="I12" s="12"/>
      <c r="J12" s="15" t="str">
        <f aca="false">IF(F12="","",IFERROR(INDEX(Temas!$B$5:$B$20,MATCH(F12,Temas!$A$5:$A$20,0)),"Fracción no válida"))</f>
        <v>D. Calidad ambiental urbana y residuos</v>
      </c>
      <c r="K12" s="15" t="n">
        <f aca="false">IF(F12="","",1+(G12&lt;&gt;"")*(G12&lt;&gt;F12)+(H12&lt;&gt;"")*(H12&lt;&gt;F12)*(H12&lt;&gt;G12)+(I12&lt;&gt;"")*(I12&lt;&gt;F12)*(I12&lt;&gt;G12)*(I12&lt;&gt;H12))</f>
        <v>2</v>
      </c>
      <c r="L12" s="20" t="n">
        <v>3000000</v>
      </c>
      <c r="M12" s="20" t="n">
        <v>5000000</v>
      </c>
      <c r="N12" s="21" t="n">
        <f aca="false">IF(OR(L12="",M12="",N(M12)=0),"",MAX(0,1-L12/M12))</f>
        <v>0.4</v>
      </c>
      <c r="O12" s="19" t="s">
        <v>375</v>
      </c>
      <c r="P12" s="19" t="s">
        <v>376</v>
      </c>
      <c r="Q12" s="19" t="s">
        <v>377</v>
      </c>
      <c r="R12" s="19" t="s">
        <v>359</v>
      </c>
      <c r="S12" s="2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5" t="str">
        <f aca="false">IF(F13="","",IFERROR(INDEX(Temas!$B$5:$B$20,MATCH(F13,Temas!$A$5:$A$20,0)),"Fracción no válida"))</f>
        <v/>
      </c>
      <c r="K13" s="15" t="str">
        <f aca="false">IF(F13="","",1+(G13&lt;&gt;"")*(G13&lt;&gt;F13)+(H13&lt;&gt;"")*(H13&lt;&gt;F13)*(H13&lt;&gt;G13)+(I13&lt;&gt;"")*(I13&lt;&gt;F13)*(I13&lt;&gt;G13)*(I13&lt;&gt;H13))</f>
        <v/>
      </c>
      <c r="L13" s="16"/>
      <c r="M13" s="16"/>
      <c r="N13" s="21" t="str">
        <f aca="false">IF(OR(L13="",M13="",N(M13)=0),"",MAX(0,1-L13/M13))</f>
        <v/>
      </c>
      <c r="O13" s="12"/>
      <c r="P13" s="12"/>
      <c r="Q13" s="12"/>
      <c r="R13" s="12"/>
      <c r="S13" s="2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5" t="str">
        <f aca="false">IF(F14="","",IFERROR(INDEX(Temas!$B$5:$B$20,MATCH(F14,Temas!$A$5:$A$20,0)),"Fracción no válida"))</f>
        <v/>
      </c>
      <c r="K14" s="15" t="str">
        <f aca="false">IF(F14="","",1+(G14&lt;&gt;"")*(G14&lt;&gt;F14)+(H14&lt;&gt;"")*(H14&lt;&gt;F14)*(H14&lt;&gt;G14)+(I14&lt;&gt;"")*(I14&lt;&gt;F14)*(I14&lt;&gt;G14)*(I14&lt;&gt;H14))</f>
        <v/>
      </c>
      <c r="L14" s="16"/>
      <c r="M14" s="16"/>
      <c r="N14" s="21" t="str">
        <f aca="false">IF(OR(L14="",M14="",N(M14)=0),"",MAX(0,1-L14/M14))</f>
        <v/>
      </c>
      <c r="O14" s="12"/>
      <c r="P14" s="12"/>
      <c r="Q14" s="12"/>
      <c r="R14" s="12"/>
      <c r="S14" s="2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5" t="str">
        <f aca="false">IF(F15="","",IFERROR(INDEX(Temas!$B$5:$B$20,MATCH(F15,Temas!$A$5:$A$20,0)),"Fracción no válida"))</f>
        <v/>
      </c>
      <c r="K15" s="15" t="str">
        <f aca="false">IF(F15="","",1+(G15&lt;&gt;"")*(G15&lt;&gt;F15)+(H15&lt;&gt;"")*(H15&lt;&gt;F15)*(H15&lt;&gt;G15)+(I15&lt;&gt;"")*(I15&lt;&gt;F15)*(I15&lt;&gt;G15)*(I15&lt;&gt;H15))</f>
        <v/>
      </c>
      <c r="L15" s="16"/>
      <c r="M15" s="16"/>
      <c r="N15" s="21" t="str">
        <f aca="false">IF(OR(L15="",M15="",N(M15)=0),"",MAX(0,1-L15/M15))</f>
        <v/>
      </c>
      <c r="O15" s="12"/>
      <c r="P15" s="12"/>
      <c r="Q15" s="12"/>
      <c r="R15" s="12"/>
      <c r="S15" s="2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5" t="str">
        <f aca="false">IF(F16="","",IFERROR(INDEX(Temas!$B$5:$B$20,MATCH(F16,Temas!$A$5:$A$20,0)),"Fracción no válida"))</f>
        <v/>
      </c>
      <c r="K16" s="15" t="str">
        <f aca="false">IF(F16="","",1+(G16&lt;&gt;"")*(G16&lt;&gt;F16)+(H16&lt;&gt;"")*(H16&lt;&gt;F16)*(H16&lt;&gt;G16)+(I16&lt;&gt;"")*(I16&lt;&gt;F16)*(I16&lt;&gt;G16)*(I16&lt;&gt;H16))</f>
        <v/>
      </c>
      <c r="L16" s="16"/>
      <c r="M16" s="16"/>
      <c r="N16" s="21" t="str">
        <f aca="false">IF(OR(L16="",M16="",N(M16)=0),"",MAX(0,1-L16/M16))</f>
        <v/>
      </c>
      <c r="O16" s="12"/>
      <c r="P16" s="12"/>
      <c r="Q16" s="12"/>
      <c r="R16" s="12"/>
      <c r="S16" s="2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5" t="str">
        <f aca="false">IF(F17="","",IFERROR(INDEX(Temas!$B$5:$B$20,MATCH(F17,Temas!$A$5:$A$20,0)),"Fracción no válida"))</f>
        <v/>
      </c>
      <c r="K17" s="15" t="str">
        <f aca="false">IF(F17="","",1+(G17&lt;&gt;"")*(G17&lt;&gt;F17)+(H17&lt;&gt;"")*(H17&lt;&gt;F17)*(H17&lt;&gt;G17)+(I17&lt;&gt;"")*(I17&lt;&gt;F17)*(I17&lt;&gt;G17)*(I17&lt;&gt;H17))</f>
        <v/>
      </c>
      <c r="L17" s="16"/>
      <c r="M17" s="16"/>
      <c r="N17" s="21" t="str">
        <f aca="false">IF(OR(L17="",M17="",N(M17)=0),"",MAX(0,1-L17/M17))</f>
        <v/>
      </c>
      <c r="O17" s="12"/>
      <c r="P17" s="12"/>
      <c r="Q17" s="12"/>
      <c r="R17" s="12"/>
      <c r="S17" s="2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5" t="str">
        <f aca="false">IF(F18="","",IFERROR(INDEX(Temas!$B$5:$B$20,MATCH(F18,Temas!$A$5:$A$20,0)),"Fracción no válida"))</f>
        <v/>
      </c>
      <c r="K18" s="15" t="str">
        <f aca="false">IF(F18="","",1+(G18&lt;&gt;"")*(G18&lt;&gt;F18)+(H18&lt;&gt;"")*(H18&lt;&gt;F18)*(H18&lt;&gt;G18)+(I18&lt;&gt;"")*(I18&lt;&gt;F18)*(I18&lt;&gt;G18)*(I18&lt;&gt;H18))</f>
        <v/>
      </c>
      <c r="L18" s="16"/>
      <c r="M18" s="16"/>
      <c r="N18" s="21" t="str">
        <f aca="false">IF(OR(L18="",M18="",N(M18)=0),"",MAX(0,1-L18/M18))</f>
        <v/>
      </c>
      <c r="O18" s="12"/>
      <c r="P18" s="12"/>
      <c r="Q18" s="12"/>
      <c r="R18" s="12"/>
      <c r="S18" s="2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5" t="str">
        <f aca="false">IF(F19="","",IFERROR(INDEX(Temas!$B$5:$B$20,MATCH(F19,Temas!$A$5:$A$20,0)),"Fracción no válida"))</f>
        <v/>
      </c>
      <c r="K19" s="15" t="str">
        <f aca="false">IF(F19="","",1+(G19&lt;&gt;"")*(G19&lt;&gt;F19)+(H19&lt;&gt;"")*(H19&lt;&gt;F19)*(H19&lt;&gt;G19)+(I19&lt;&gt;"")*(I19&lt;&gt;F19)*(I19&lt;&gt;G19)*(I19&lt;&gt;H19))</f>
        <v/>
      </c>
      <c r="L19" s="16"/>
      <c r="M19" s="16"/>
      <c r="N19" s="21" t="str">
        <f aca="false">IF(OR(L19="",M19="",N(M19)=0),"",MAX(0,1-L19/M19))</f>
        <v/>
      </c>
      <c r="O19" s="12"/>
      <c r="P19" s="12"/>
      <c r="Q19" s="12"/>
      <c r="R19" s="12"/>
      <c r="S19" s="2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5" t="str">
        <f aca="false">IF(F20="","",IFERROR(INDEX(Temas!$B$5:$B$20,MATCH(F20,Temas!$A$5:$A$20,0)),"Fracción no válida"))</f>
        <v/>
      </c>
      <c r="K20" s="15" t="str">
        <f aca="false">IF(F20="","",1+(G20&lt;&gt;"")*(G20&lt;&gt;F20)+(H20&lt;&gt;"")*(H20&lt;&gt;F20)*(H20&lt;&gt;G20)+(I20&lt;&gt;"")*(I20&lt;&gt;F20)*(I20&lt;&gt;G20)*(I20&lt;&gt;H20))</f>
        <v/>
      </c>
      <c r="L20" s="16"/>
      <c r="M20" s="16"/>
      <c r="N20" s="21" t="str">
        <f aca="false">IF(OR(L20="",M20="",N(M20)=0),"",MAX(0,1-L20/M20))</f>
        <v/>
      </c>
      <c r="O20" s="12"/>
      <c r="P20" s="12"/>
      <c r="Q20" s="12"/>
      <c r="R20" s="12"/>
      <c r="S20" s="2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5" t="str">
        <f aca="false">IF(F21="","",IFERROR(INDEX(Temas!$B$5:$B$20,MATCH(F21,Temas!$A$5:$A$20,0)),"Fracción no válida"))</f>
        <v/>
      </c>
      <c r="K21" s="15" t="str">
        <f aca="false">IF(F21="","",1+(G21&lt;&gt;"")*(G21&lt;&gt;F21)+(H21&lt;&gt;"")*(H21&lt;&gt;F21)*(H21&lt;&gt;G21)+(I21&lt;&gt;"")*(I21&lt;&gt;F21)*(I21&lt;&gt;G21)*(I21&lt;&gt;H21))</f>
        <v/>
      </c>
      <c r="L21" s="16"/>
      <c r="M21" s="16"/>
      <c r="N21" s="21" t="str">
        <f aca="false">IF(OR(L21="",M21="",N(M21)=0),"",MAX(0,1-L21/M21))</f>
        <v/>
      </c>
      <c r="O21" s="12"/>
      <c r="P21" s="12"/>
      <c r="Q21" s="12"/>
      <c r="R21" s="12"/>
      <c r="S21" s="2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5" t="str">
        <f aca="false">IF(F22="","",IFERROR(INDEX(Temas!$B$5:$B$20,MATCH(F22,Temas!$A$5:$A$20,0)),"Fracción no válida"))</f>
        <v/>
      </c>
      <c r="K22" s="15" t="str">
        <f aca="false">IF(F22="","",1+(G22&lt;&gt;"")*(G22&lt;&gt;F22)+(H22&lt;&gt;"")*(H22&lt;&gt;F22)*(H22&lt;&gt;G22)+(I22&lt;&gt;"")*(I22&lt;&gt;F22)*(I22&lt;&gt;G22)*(I22&lt;&gt;H22))</f>
        <v/>
      </c>
      <c r="L22" s="16"/>
      <c r="M22" s="16"/>
      <c r="N22" s="21" t="str">
        <f aca="false">IF(OR(L22="",M22="",N(M22)=0),"",MAX(0,1-L22/M22))</f>
        <v/>
      </c>
      <c r="O22" s="12"/>
      <c r="P22" s="12"/>
      <c r="Q22" s="12"/>
      <c r="R22" s="12"/>
      <c r="S22" s="2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5" t="str">
        <f aca="false">IF(F23="","",IFERROR(INDEX(Temas!$B$5:$B$20,MATCH(F23,Temas!$A$5:$A$20,0)),"Fracción no válida"))</f>
        <v/>
      </c>
      <c r="K23" s="15" t="str">
        <f aca="false">IF(F23="","",1+(G23&lt;&gt;"")*(G23&lt;&gt;F23)+(H23&lt;&gt;"")*(H23&lt;&gt;F23)*(H23&lt;&gt;G23)+(I23&lt;&gt;"")*(I23&lt;&gt;F23)*(I23&lt;&gt;G23)*(I23&lt;&gt;H23))</f>
        <v/>
      </c>
      <c r="L23" s="16"/>
      <c r="M23" s="16"/>
      <c r="N23" s="21" t="str">
        <f aca="false">IF(OR(L23="",M23="",N(M23)=0),"",MAX(0,1-L23/M23))</f>
        <v/>
      </c>
      <c r="O23" s="12"/>
      <c r="P23" s="12"/>
      <c r="Q23" s="12"/>
      <c r="R23" s="12"/>
      <c r="S23" s="2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5" t="str">
        <f aca="false">IF(F24="","",IFERROR(INDEX(Temas!$B$5:$B$20,MATCH(F24,Temas!$A$5:$A$20,0)),"Fracción no válida"))</f>
        <v/>
      </c>
      <c r="K24" s="15" t="str">
        <f aca="false">IF(F24="","",1+(G24&lt;&gt;"")*(G24&lt;&gt;F24)+(H24&lt;&gt;"")*(H24&lt;&gt;F24)*(H24&lt;&gt;G24)+(I24&lt;&gt;"")*(I24&lt;&gt;F24)*(I24&lt;&gt;G24)*(I24&lt;&gt;H24))</f>
        <v/>
      </c>
      <c r="L24" s="16"/>
      <c r="M24" s="16"/>
      <c r="N24" s="21" t="str">
        <f aca="false">IF(OR(L24="",M24="",N(M24)=0),"",MAX(0,1-L24/M24))</f>
        <v/>
      </c>
      <c r="O24" s="12"/>
      <c r="P24" s="12"/>
      <c r="Q24" s="12"/>
      <c r="R24" s="12"/>
      <c r="S24" s="2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5" t="str">
        <f aca="false">IF(F25="","",IFERROR(INDEX(Temas!$B$5:$B$20,MATCH(F25,Temas!$A$5:$A$20,0)),"Fracción no válida"))</f>
        <v/>
      </c>
      <c r="K25" s="15" t="str">
        <f aca="false">IF(F25="","",1+(G25&lt;&gt;"")*(G25&lt;&gt;F25)+(H25&lt;&gt;"")*(H25&lt;&gt;F25)*(H25&lt;&gt;G25)+(I25&lt;&gt;"")*(I25&lt;&gt;F25)*(I25&lt;&gt;G25)*(I25&lt;&gt;H25))</f>
        <v/>
      </c>
      <c r="L25" s="16"/>
      <c r="M25" s="16"/>
      <c r="N25" s="21" t="str">
        <f aca="false">IF(OR(L25="",M25="",N(M25)=0),"",MAX(0,1-L25/M25))</f>
        <v/>
      </c>
      <c r="O25" s="12"/>
      <c r="P25" s="12"/>
      <c r="Q25" s="12"/>
      <c r="R25" s="12"/>
      <c r="S25" s="2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5" t="str">
        <f aca="false">IF(F26="","",IFERROR(INDEX(Temas!$B$5:$B$20,MATCH(F26,Temas!$A$5:$A$20,0)),"Fracción no válida"))</f>
        <v/>
      </c>
      <c r="K26" s="15" t="str">
        <f aca="false">IF(F26="","",1+(G26&lt;&gt;"")*(G26&lt;&gt;F26)+(H26&lt;&gt;"")*(H26&lt;&gt;F26)*(H26&lt;&gt;G26)+(I26&lt;&gt;"")*(I26&lt;&gt;F26)*(I26&lt;&gt;G26)*(I26&lt;&gt;H26))</f>
        <v/>
      </c>
      <c r="L26" s="16"/>
      <c r="M26" s="16"/>
      <c r="N26" s="21" t="str">
        <f aca="false">IF(OR(L26="",M26="",N(M26)=0),"",MAX(0,1-L26/M26))</f>
        <v/>
      </c>
      <c r="O26" s="12"/>
      <c r="P26" s="12"/>
      <c r="Q26" s="12"/>
      <c r="R26" s="12"/>
      <c r="S26" s="2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5" t="str">
        <f aca="false">IF(F27="","",IFERROR(INDEX(Temas!$B$5:$B$20,MATCH(F27,Temas!$A$5:$A$20,0)),"Fracción no válida"))</f>
        <v/>
      </c>
      <c r="K27" s="15" t="str">
        <f aca="false">IF(F27="","",1+(G27&lt;&gt;"")*(G27&lt;&gt;F27)+(H27&lt;&gt;"")*(H27&lt;&gt;F27)*(H27&lt;&gt;G27)+(I27&lt;&gt;"")*(I27&lt;&gt;F27)*(I27&lt;&gt;G27)*(I27&lt;&gt;H27))</f>
        <v/>
      </c>
      <c r="L27" s="16"/>
      <c r="M27" s="16"/>
      <c r="N27" s="21" t="str">
        <f aca="false">IF(OR(L27="",M27="",N(M27)=0),"",MAX(0,1-L27/M27))</f>
        <v/>
      </c>
      <c r="O27" s="12"/>
      <c r="P27" s="12"/>
      <c r="Q27" s="12"/>
      <c r="R27" s="12"/>
      <c r="S27" s="2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5" t="str">
        <f aca="false">IF(F28="","",IFERROR(INDEX(Temas!$B$5:$B$20,MATCH(F28,Temas!$A$5:$A$20,0)),"Fracción no válida"))</f>
        <v/>
      </c>
      <c r="K28" s="15" t="str">
        <f aca="false">IF(F28="","",1+(G28&lt;&gt;"")*(G28&lt;&gt;F28)+(H28&lt;&gt;"")*(H28&lt;&gt;F28)*(H28&lt;&gt;G28)+(I28&lt;&gt;"")*(I28&lt;&gt;F28)*(I28&lt;&gt;G28)*(I28&lt;&gt;H28))</f>
        <v/>
      </c>
      <c r="L28" s="16"/>
      <c r="M28" s="16"/>
      <c r="N28" s="21" t="str">
        <f aca="false">IF(OR(L28="",M28="",N(M28)=0),"",MAX(0,1-L28/M28))</f>
        <v/>
      </c>
      <c r="O28" s="12"/>
      <c r="P28" s="12"/>
      <c r="Q28" s="12"/>
      <c r="R28" s="12"/>
      <c r="S28" s="2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5" t="str">
        <f aca="false">IF(F29="","",IFERROR(INDEX(Temas!$B$5:$B$20,MATCH(F29,Temas!$A$5:$A$20,0)),"Fracción no válida"))</f>
        <v/>
      </c>
      <c r="K29" s="15" t="str">
        <f aca="false">IF(F29="","",1+(G29&lt;&gt;"")*(G29&lt;&gt;F29)+(H29&lt;&gt;"")*(H29&lt;&gt;F29)*(H29&lt;&gt;G29)+(I29&lt;&gt;"")*(I29&lt;&gt;F29)*(I29&lt;&gt;G29)*(I29&lt;&gt;H29))</f>
        <v/>
      </c>
      <c r="L29" s="16"/>
      <c r="M29" s="16"/>
      <c r="N29" s="21" t="str">
        <f aca="false">IF(OR(L29="",M29="",N(M29)=0),"",MAX(0,1-L29/M29))</f>
        <v/>
      </c>
      <c r="O29" s="12"/>
      <c r="P29" s="12"/>
      <c r="Q29" s="12"/>
      <c r="R29" s="12"/>
      <c r="S29" s="2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5" t="str">
        <f aca="false">IF(F30="","",IFERROR(INDEX(Temas!$B$5:$B$20,MATCH(F30,Temas!$A$5:$A$20,0)),"Fracción no válida"))</f>
        <v/>
      </c>
      <c r="K30" s="15" t="str">
        <f aca="false">IF(F30="","",1+(G30&lt;&gt;"")*(G30&lt;&gt;F30)+(H30&lt;&gt;"")*(H30&lt;&gt;F30)*(H30&lt;&gt;G30)+(I30&lt;&gt;"")*(I30&lt;&gt;F30)*(I30&lt;&gt;G30)*(I30&lt;&gt;H30))</f>
        <v/>
      </c>
      <c r="L30" s="16"/>
      <c r="M30" s="16"/>
      <c r="N30" s="21" t="str">
        <f aca="false">IF(OR(L30="",M30="",N(M30)=0),"",MAX(0,1-L30/M30))</f>
        <v/>
      </c>
      <c r="O30" s="12"/>
      <c r="P30" s="12"/>
      <c r="Q30" s="12"/>
      <c r="R30" s="12"/>
      <c r="S30" s="2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5" t="str">
        <f aca="false">IF(F31="","",IFERROR(INDEX(Temas!$B$5:$B$20,MATCH(F31,Temas!$A$5:$A$20,0)),"Fracción no válida"))</f>
        <v/>
      </c>
      <c r="K31" s="15" t="str">
        <f aca="false">IF(F31="","",1+(G31&lt;&gt;"")*(G31&lt;&gt;F31)+(H31&lt;&gt;"")*(H31&lt;&gt;F31)*(H31&lt;&gt;G31)+(I31&lt;&gt;"")*(I31&lt;&gt;F31)*(I31&lt;&gt;G31)*(I31&lt;&gt;H31))</f>
        <v/>
      </c>
      <c r="L31" s="16"/>
      <c r="M31" s="16"/>
      <c r="N31" s="21" t="str">
        <f aca="false">IF(OR(L31="",M31="",N(M31)=0),"",MAX(0,1-L31/M31))</f>
        <v/>
      </c>
      <c r="O31" s="12"/>
      <c r="P31" s="12"/>
      <c r="Q31" s="12"/>
      <c r="R31" s="12"/>
      <c r="S31" s="2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5" t="str">
        <f aca="false">IF(F32="","",IFERROR(INDEX(Temas!$B$5:$B$20,MATCH(F32,Temas!$A$5:$A$20,0)),"Fracción no válida"))</f>
        <v/>
      </c>
      <c r="K32" s="15" t="str">
        <f aca="false">IF(F32="","",1+(G32&lt;&gt;"")*(G32&lt;&gt;F32)+(H32&lt;&gt;"")*(H32&lt;&gt;F32)*(H32&lt;&gt;G32)+(I32&lt;&gt;"")*(I32&lt;&gt;F32)*(I32&lt;&gt;G32)*(I32&lt;&gt;H32))</f>
        <v/>
      </c>
      <c r="L32" s="16"/>
      <c r="M32" s="16"/>
      <c r="N32" s="21" t="str">
        <f aca="false">IF(OR(L32="",M32="",N(M32)=0),"",MAX(0,1-L32/M32))</f>
        <v/>
      </c>
      <c r="O32" s="12"/>
      <c r="P32" s="12"/>
      <c r="Q32" s="12"/>
      <c r="R32" s="12"/>
      <c r="S32" s="2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5" t="str">
        <f aca="false">IF(F33="","",IFERROR(INDEX(Temas!$B$5:$B$20,MATCH(F33,Temas!$A$5:$A$20,0)),"Fracción no válida"))</f>
        <v/>
      </c>
      <c r="K33" s="15" t="str">
        <f aca="false">IF(F33="","",1+(G33&lt;&gt;"")*(G33&lt;&gt;F33)+(H33&lt;&gt;"")*(H33&lt;&gt;F33)*(H33&lt;&gt;G33)+(I33&lt;&gt;"")*(I33&lt;&gt;F33)*(I33&lt;&gt;G33)*(I33&lt;&gt;H33))</f>
        <v/>
      </c>
      <c r="L33" s="16"/>
      <c r="M33" s="16"/>
      <c r="N33" s="21" t="str">
        <f aca="false">IF(OR(L33="",M33="",N(M33)=0),"",MAX(0,1-L33/M33))</f>
        <v/>
      </c>
      <c r="O33" s="12"/>
      <c r="P33" s="12"/>
      <c r="Q33" s="12"/>
      <c r="R33" s="12"/>
      <c r="S33" s="2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5" t="str">
        <f aca="false">IF(F34="","",IFERROR(INDEX(Temas!$B$5:$B$20,MATCH(F34,Temas!$A$5:$A$20,0)),"Fracción no válida"))</f>
        <v/>
      </c>
      <c r="K34" s="15" t="str">
        <f aca="false">IF(F34="","",1+(G34&lt;&gt;"")*(G34&lt;&gt;F34)+(H34&lt;&gt;"")*(H34&lt;&gt;F34)*(H34&lt;&gt;G34)+(I34&lt;&gt;"")*(I34&lt;&gt;F34)*(I34&lt;&gt;G34)*(I34&lt;&gt;H34))</f>
        <v/>
      </c>
      <c r="L34" s="16"/>
      <c r="M34" s="16"/>
      <c r="N34" s="21" t="str">
        <f aca="false">IF(OR(L34="",M34="",N(M34)=0),"",MAX(0,1-L34/M34))</f>
        <v/>
      </c>
      <c r="O34" s="12"/>
      <c r="P34" s="12"/>
      <c r="Q34" s="12"/>
      <c r="R34" s="12"/>
      <c r="S34" s="2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5" t="str">
        <f aca="false">IF(F35="","",IFERROR(INDEX(Temas!$B$5:$B$20,MATCH(F35,Temas!$A$5:$A$20,0)),"Fracción no válida"))</f>
        <v/>
      </c>
      <c r="K35" s="15" t="str">
        <f aca="false">IF(F35="","",1+(G35&lt;&gt;"")*(G35&lt;&gt;F35)+(H35&lt;&gt;"")*(H35&lt;&gt;F35)*(H35&lt;&gt;G35)+(I35&lt;&gt;"")*(I35&lt;&gt;F35)*(I35&lt;&gt;G35)*(I35&lt;&gt;H35))</f>
        <v/>
      </c>
      <c r="L35" s="16"/>
      <c r="M35" s="16"/>
      <c r="N35" s="21" t="str">
        <f aca="false">IF(OR(L35="",M35="",N(M35)=0),"",MAX(0,1-L35/M35))</f>
        <v/>
      </c>
      <c r="O35" s="12"/>
      <c r="P35" s="12"/>
      <c r="Q35" s="12"/>
      <c r="R35" s="12"/>
      <c r="S35" s="2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5" t="str">
        <f aca="false">IF(F36="","",IFERROR(INDEX(Temas!$B$5:$B$20,MATCH(F36,Temas!$A$5:$A$20,0)),"Fracción no válida"))</f>
        <v/>
      </c>
      <c r="K36" s="15" t="str">
        <f aca="false">IF(F36="","",1+(G36&lt;&gt;"")*(G36&lt;&gt;F36)+(H36&lt;&gt;"")*(H36&lt;&gt;F36)*(H36&lt;&gt;G36)+(I36&lt;&gt;"")*(I36&lt;&gt;F36)*(I36&lt;&gt;G36)*(I36&lt;&gt;H36))</f>
        <v/>
      </c>
      <c r="L36" s="16"/>
      <c r="M36" s="16"/>
      <c r="N36" s="21" t="str">
        <f aca="false">IF(OR(L36="",M36="",N(M36)=0),"",MAX(0,1-L36/M36))</f>
        <v/>
      </c>
      <c r="O36" s="12"/>
      <c r="P36" s="12"/>
      <c r="Q36" s="12"/>
      <c r="R36" s="12"/>
      <c r="S36" s="2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5" t="str">
        <f aca="false">IF(F37="","",IFERROR(INDEX(Temas!$B$5:$B$20,MATCH(F37,Temas!$A$5:$A$20,0)),"Fracción no válida"))</f>
        <v/>
      </c>
      <c r="K37" s="15" t="str">
        <f aca="false">IF(F37="","",1+(G37&lt;&gt;"")*(G37&lt;&gt;F37)+(H37&lt;&gt;"")*(H37&lt;&gt;F37)*(H37&lt;&gt;G37)+(I37&lt;&gt;"")*(I37&lt;&gt;F37)*(I37&lt;&gt;G37)*(I37&lt;&gt;H37))</f>
        <v/>
      </c>
      <c r="L37" s="16"/>
      <c r="M37" s="16"/>
      <c r="N37" s="21" t="str">
        <f aca="false">IF(OR(L37="",M37="",N(M37)=0),"",MAX(0,1-L37/M37))</f>
        <v/>
      </c>
      <c r="O37" s="12"/>
      <c r="P37" s="12"/>
      <c r="Q37" s="12"/>
      <c r="R37" s="12"/>
      <c r="S37" s="2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5" t="str">
        <f aca="false">IF(F38="","",IFERROR(INDEX(Temas!$B$5:$B$20,MATCH(F38,Temas!$A$5:$A$20,0)),"Fracción no válida"))</f>
        <v/>
      </c>
      <c r="K38" s="15" t="str">
        <f aca="false">IF(F38="","",1+(G38&lt;&gt;"")*(G38&lt;&gt;F38)+(H38&lt;&gt;"")*(H38&lt;&gt;F38)*(H38&lt;&gt;G38)+(I38&lt;&gt;"")*(I38&lt;&gt;F38)*(I38&lt;&gt;G38)*(I38&lt;&gt;H38))</f>
        <v/>
      </c>
      <c r="L38" s="16"/>
      <c r="M38" s="16"/>
      <c r="N38" s="21" t="str">
        <f aca="false">IF(OR(L38="",M38="",N(M38)=0),"",MAX(0,1-L38/M38))</f>
        <v/>
      </c>
      <c r="O38" s="12"/>
      <c r="P38" s="12"/>
      <c r="Q38" s="12"/>
      <c r="R38" s="12"/>
      <c r="S38" s="2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5" t="str">
        <f aca="false">IF(F39="","",IFERROR(INDEX(Temas!$B$5:$B$20,MATCH(F39,Temas!$A$5:$A$20,0)),"Fracción no válida"))</f>
        <v/>
      </c>
      <c r="K39" s="15" t="str">
        <f aca="false">IF(F39="","",1+(G39&lt;&gt;"")*(G39&lt;&gt;F39)+(H39&lt;&gt;"")*(H39&lt;&gt;F39)*(H39&lt;&gt;G39)+(I39&lt;&gt;"")*(I39&lt;&gt;F39)*(I39&lt;&gt;G39)*(I39&lt;&gt;H39))</f>
        <v/>
      </c>
      <c r="L39" s="16"/>
      <c r="M39" s="16"/>
      <c r="N39" s="21" t="str">
        <f aca="false">IF(OR(L39="",M39="",N(M39)=0),"",MAX(0,1-L39/M39))</f>
        <v/>
      </c>
      <c r="O39" s="12"/>
      <c r="P39" s="12"/>
      <c r="Q39" s="12"/>
      <c r="R39" s="12"/>
      <c r="S39" s="2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5" t="str">
        <f aca="false">IF(F40="","",IFERROR(INDEX(Temas!$B$5:$B$20,MATCH(F40,Temas!$A$5:$A$20,0)),"Fracción no válida"))</f>
        <v/>
      </c>
      <c r="K40" s="15" t="str">
        <f aca="false">IF(F40="","",1+(G40&lt;&gt;"")*(G40&lt;&gt;F40)+(H40&lt;&gt;"")*(H40&lt;&gt;F40)*(H40&lt;&gt;G40)+(I40&lt;&gt;"")*(I40&lt;&gt;F40)*(I40&lt;&gt;G40)*(I40&lt;&gt;H40))</f>
        <v/>
      </c>
      <c r="L40" s="16"/>
      <c r="M40" s="16"/>
      <c r="N40" s="21" t="str">
        <f aca="false">IF(OR(L40="",M40="",N(M40)=0),"",MAX(0,1-L40/M40))</f>
        <v/>
      </c>
      <c r="O40" s="12"/>
      <c r="P40" s="12"/>
      <c r="Q40" s="12"/>
      <c r="R40" s="12"/>
      <c r="S40" s="2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5" t="str">
        <f aca="false">IF(F41="","",IFERROR(INDEX(Temas!$B$5:$B$20,MATCH(F41,Temas!$A$5:$A$20,0)),"Fracción no válida"))</f>
        <v/>
      </c>
      <c r="K41" s="15" t="str">
        <f aca="false">IF(F41="","",1+(G41&lt;&gt;"")*(G41&lt;&gt;F41)+(H41&lt;&gt;"")*(H41&lt;&gt;F41)*(H41&lt;&gt;G41)+(I41&lt;&gt;"")*(I41&lt;&gt;F41)*(I41&lt;&gt;G41)*(I41&lt;&gt;H41))</f>
        <v/>
      </c>
      <c r="L41" s="16"/>
      <c r="M41" s="16"/>
      <c r="N41" s="21" t="str">
        <f aca="false">IF(OR(L41="",M41="",N(M41)=0),"",MAX(0,1-L41/M41))</f>
        <v/>
      </c>
      <c r="O41" s="12"/>
      <c r="P41" s="12"/>
      <c r="Q41" s="12"/>
      <c r="R41" s="12"/>
      <c r="S41" s="2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5" t="str">
        <f aca="false">IF(F42="","",IFERROR(INDEX(Temas!$B$5:$B$20,MATCH(F42,Temas!$A$5:$A$20,0)),"Fracción no válida"))</f>
        <v/>
      </c>
      <c r="K42" s="15" t="str">
        <f aca="false">IF(F42="","",1+(G42&lt;&gt;"")*(G42&lt;&gt;F42)+(H42&lt;&gt;"")*(H42&lt;&gt;F42)*(H42&lt;&gt;G42)+(I42&lt;&gt;"")*(I42&lt;&gt;F42)*(I42&lt;&gt;G42)*(I42&lt;&gt;H42))</f>
        <v/>
      </c>
      <c r="L42" s="16"/>
      <c r="M42" s="16"/>
      <c r="N42" s="21" t="str">
        <f aca="false">IF(OR(L42="",M42="",N(M42)=0),"",MAX(0,1-L42/M42))</f>
        <v/>
      </c>
      <c r="O42" s="12"/>
      <c r="P42" s="12"/>
      <c r="Q42" s="12"/>
      <c r="R42" s="12"/>
      <c r="S42" s="2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5" t="str">
        <f aca="false">IF(F43="","",IFERROR(INDEX(Temas!$B$5:$B$20,MATCH(F43,Temas!$A$5:$A$20,0)),"Fracción no válida"))</f>
        <v/>
      </c>
      <c r="K43" s="15" t="str">
        <f aca="false">IF(F43="","",1+(G43&lt;&gt;"")*(G43&lt;&gt;F43)+(H43&lt;&gt;"")*(H43&lt;&gt;F43)*(H43&lt;&gt;G43)+(I43&lt;&gt;"")*(I43&lt;&gt;F43)*(I43&lt;&gt;G43)*(I43&lt;&gt;H43))</f>
        <v/>
      </c>
      <c r="L43" s="16"/>
      <c r="M43" s="16"/>
      <c r="N43" s="21" t="str">
        <f aca="false">IF(OR(L43="",M43="",N(M43)=0),"",MAX(0,1-L43/M43))</f>
        <v/>
      </c>
      <c r="O43" s="12"/>
      <c r="P43" s="12"/>
      <c r="Q43" s="12"/>
      <c r="R43" s="12"/>
      <c r="S43" s="2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5" t="str">
        <f aca="false">IF(F44="","",IFERROR(INDEX(Temas!$B$5:$B$20,MATCH(F44,Temas!$A$5:$A$20,0)),"Fracción no válida"))</f>
        <v/>
      </c>
      <c r="K44" s="15" t="str">
        <f aca="false">IF(F44="","",1+(G44&lt;&gt;"")*(G44&lt;&gt;F44)+(H44&lt;&gt;"")*(H44&lt;&gt;F44)*(H44&lt;&gt;G44)+(I44&lt;&gt;"")*(I44&lt;&gt;F44)*(I44&lt;&gt;G44)*(I44&lt;&gt;H44))</f>
        <v/>
      </c>
      <c r="L44" s="16"/>
      <c r="M44" s="16"/>
      <c r="N44" s="21" t="str">
        <f aca="false">IF(OR(L44="",M44="",N(M44)=0),"",MAX(0,1-L44/M44))</f>
        <v/>
      </c>
      <c r="O44" s="12"/>
      <c r="P44" s="12"/>
      <c r="Q44" s="12"/>
      <c r="R44" s="12"/>
      <c r="S44" s="2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5" t="str">
        <f aca="false">IF(F45="","",IFERROR(INDEX(Temas!$B$5:$B$20,MATCH(F45,Temas!$A$5:$A$20,0)),"Fracción no válida"))</f>
        <v/>
      </c>
      <c r="K45" s="15" t="str">
        <f aca="false">IF(F45="","",1+(G45&lt;&gt;"")*(G45&lt;&gt;F45)+(H45&lt;&gt;"")*(H45&lt;&gt;F45)*(H45&lt;&gt;G45)+(I45&lt;&gt;"")*(I45&lt;&gt;F45)*(I45&lt;&gt;G45)*(I45&lt;&gt;H45))</f>
        <v/>
      </c>
      <c r="L45" s="16"/>
      <c r="M45" s="16"/>
      <c r="N45" s="21" t="str">
        <f aca="false">IF(OR(L45="",M45="",N(M45)=0),"",MAX(0,1-L45/M45))</f>
        <v/>
      </c>
      <c r="O45" s="12"/>
      <c r="P45" s="12"/>
      <c r="Q45" s="12"/>
      <c r="R45" s="12"/>
      <c r="S45" s="2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5" t="str">
        <f aca="false">IF(F46="","",IFERROR(INDEX(Temas!$B$5:$B$20,MATCH(F46,Temas!$A$5:$A$20,0)),"Fracción no válida"))</f>
        <v/>
      </c>
      <c r="K46" s="15" t="str">
        <f aca="false">IF(F46="","",1+(G46&lt;&gt;"")*(G46&lt;&gt;F46)+(H46&lt;&gt;"")*(H46&lt;&gt;F46)*(H46&lt;&gt;G46)+(I46&lt;&gt;"")*(I46&lt;&gt;F46)*(I46&lt;&gt;G46)*(I46&lt;&gt;H46))</f>
        <v/>
      </c>
      <c r="L46" s="16"/>
      <c r="M46" s="16"/>
      <c r="N46" s="21" t="str">
        <f aca="false">IF(OR(L46="",M46="",N(M46)=0),"",MAX(0,1-L46/M46))</f>
        <v/>
      </c>
      <c r="O46" s="12"/>
      <c r="P46" s="12"/>
      <c r="Q46" s="12"/>
      <c r="R46" s="12"/>
      <c r="S46" s="2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5" t="str">
        <f aca="false">IF(F47="","",IFERROR(INDEX(Temas!$B$5:$B$20,MATCH(F47,Temas!$A$5:$A$20,0)),"Fracción no válida"))</f>
        <v/>
      </c>
      <c r="K47" s="15" t="str">
        <f aca="false">IF(F47="","",1+(G47&lt;&gt;"")*(G47&lt;&gt;F47)+(H47&lt;&gt;"")*(H47&lt;&gt;F47)*(H47&lt;&gt;G47)+(I47&lt;&gt;"")*(I47&lt;&gt;F47)*(I47&lt;&gt;G47)*(I47&lt;&gt;H47))</f>
        <v/>
      </c>
      <c r="L47" s="16"/>
      <c r="M47" s="16"/>
      <c r="N47" s="21" t="str">
        <f aca="false">IF(OR(L47="",M47="",N(M47)=0),"",MAX(0,1-L47/M47))</f>
        <v/>
      </c>
      <c r="O47" s="12"/>
      <c r="P47" s="12"/>
      <c r="Q47" s="12"/>
      <c r="R47" s="12"/>
      <c r="S47" s="2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5" t="str">
        <f aca="false">IF(F48="","",IFERROR(INDEX(Temas!$B$5:$B$20,MATCH(F48,Temas!$A$5:$A$20,0)),"Fracción no válida"))</f>
        <v/>
      </c>
      <c r="K48" s="15" t="str">
        <f aca="false">IF(F48="","",1+(G48&lt;&gt;"")*(G48&lt;&gt;F48)+(H48&lt;&gt;"")*(H48&lt;&gt;F48)*(H48&lt;&gt;G48)+(I48&lt;&gt;"")*(I48&lt;&gt;F48)*(I48&lt;&gt;G48)*(I48&lt;&gt;H48))</f>
        <v/>
      </c>
      <c r="L48" s="16"/>
      <c r="M48" s="16"/>
      <c r="N48" s="21" t="str">
        <f aca="false">IF(OR(L48="",M48="",N(M48)=0),"",MAX(0,1-L48/M48))</f>
        <v/>
      </c>
      <c r="O48" s="12"/>
      <c r="P48" s="12"/>
      <c r="Q48" s="12"/>
      <c r="R48" s="12"/>
      <c r="S48" s="2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5" t="str">
        <f aca="false">IF(F49="","",IFERROR(INDEX(Temas!$B$5:$B$20,MATCH(F49,Temas!$A$5:$A$20,0)),"Fracción no válida"))</f>
        <v/>
      </c>
      <c r="K49" s="15" t="str">
        <f aca="false">IF(F49="","",1+(G49&lt;&gt;"")*(G49&lt;&gt;F49)+(H49&lt;&gt;"")*(H49&lt;&gt;F49)*(H49&lt;&gt;G49)+(I49&lt;&gt;"")*(I49&lt;&gt;F49)*(I49&lt;&gt;G49)*(I49&lt;&gt;H49))</f>
        <v/>
      </c>
      <c r="L49" s="16"/>
      <c r="M49" s="16"/>
      <c r="N49" s="21" t="str">
        <f aca="false">IF(OR(L49="",M49="",N(M49)=0),"",MAX(0,1-L49/M49))</f>
        <v/>
      </c>
      <c r="O49" s="12"/>
      <c r="P49" s="12"/>
      <c r="Q49" s="12"/>
      <c r="R49" s="12"/>
      <c r="S49" s="2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5" t="str">
        <f aca="false">IF(F50="","",IFERROR(INDEX(Temas!$B$5:$B$20,MATCH(F50,Temas!$A$5:$A$20,0)),"Fracción no válida"))</f>
        <v/>
      </c>
      <c r="K50" s="15" t="str">
        <f aca="false">IF(F50="","",1+(G50&lt;&gt;"")*(G50&lt;&gt;F50)+(H50&lt;&gt;"")*(H50&lt;&gt;F50)*(H50&lt;&gt;G50)+(I50&lt;&gt;"")*(I50&lt;&gt;F50)*(I50&lt;&gt;G50)*(I50&lt;&gt;H50))</f>
        <v/>
      </c>
      <c r="L50" s="16"/>
      <c r="M50" s="16"/>
      <c r="N50" s="21" t="str">
        <f aca="false">IF(OR(L50="",M50="",N(M50)=0),"",MAX(0,1-L50/M50))</f>
        <v/>
      </c>
      <c r="O50" s="12"/>
      <c r="P50" s="12"/>
      <c r="Q50" s="12"/>
      <c r="R50" s="12"/>
      <c r="S50" s="2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5" t="str">
        <f aca="false">IF(F51="","",IFERROR(INDEX(Temas!$B$5:$B$20,MATCH(F51,Temas!$A$5:$A$20,0)),"Fracción no válida"))</f>
        <v/>
      </c>
      <c r="K51" s="15" t="str">
        <f aca="false">IF(F51="","",1+(G51&lt;&gt;"")*(G51&lt;&gt;F51)+(H51&lt;&gt;"")*(H51&lt;&gt;F51)*(H51&lt;&gt;G51)+(I51&lt;&gt;"")*(I51&lt;&gt;F51)*(I51&lt;&gt;G51)*(I51&lt;&gt;H51))</f>
        <v/>
      </c>
      <c r="L51" s="16"/>
      <c r="M51" s="16"/>
      <c r="N51" s="21" t="str">
        <f aca="false">IF(OR(L51="",M51="",N(M51)=0),"",MAX(0,1-L51/M51))</f>
        <v/>
      </c>
      <c r="O51" s="12"/>
      <c r="P51" s="12"/>
      <c r="Q51" s="12"/>
      <c r="R51" s="12"/>
      <c r="S51" s="2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5" t="str">
        <f aca="false">IF(F52="","",IFERROR(INDEX(Temas!$B$5:$B$20,MATCH(F52,Temas!$A$5:$A$20,0)),"Fracción no válida"))</f>
        <v/>
      </c>
      <c r="K52" s="15" t="str">
        <f aca="false">IF(F52="","",1+(G52&lt;&gt;"")*(G52&lt;&gt;F52)+(H52&lt;&gt;"")*(H52&lt;&gt;F52)*(H52&lt;&gt;G52)+(I52&lt;&gt;"")*(I52&lt;&gt;F52)*(I52&lt;&gt;G52)*(I52&lt;&gt;H52))</f>
        <v/>
      </c>
      <c r="L52" s="16"/>
      <c r="M52" s="16"/>
      <c r="N52" s="21" t="str">
        <f aca="false">IF(OR(L52="",M52="",N(M52)=0),"",MAX(0,1-L52/M52))</f>
        <v/>
      </c>
      <c r="O52" s="12"/>
      <c r="P52" s="12"/>
      <c r="Q52" s="12"/>
      <c r="R52" s="12"/>
      <c r="S52" s="2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5" t="str">
        <f aca="false">IF(F53="","",IFERROR(INDEX(Temas!$B$5:$B$20,MATCH(F53,Temas!$A$5:$A$20,0)),"Fracción no válida"))</f>
        <v/>
      </c>
      <c r="K53" s="15" t="str">
        <f aca="false">IF(F53="","",1+(G53&lt;&gt;"")*(G53&lt;&gt;F53)+(H53&lt;&gt;"")*(H53&lt;&gt;F53)*(H53&lt;&gt;G53)+(I53&lt;&gt;"")*(I53&lt;&gt;F53)*(I53&lt;&gt;G53)*(I53&lt;&gt;H53))</f>
        <v/>
      </c>
      <c r="L53" s="16"/>
      <c r="M53" s="16"/>
      <c r="N53" s="21" t="str">
        <f aca="false">IF(OR(L53="",M53="",N(M53)=0),"",MAX(0,1-L53/M53))</f>
        <v/>
      </c>
      <c r="O53" s="12"/>
      <c r="P53" s="12"/>
      <c r="Q53" s="12"/>
      <c r="R53" s="12"/>
      <c r="S53" s="2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5" t="str">
        <f aca="false">IF(F54="","",IFERROR(INDEX(Temas!$B$5:$B$20,MATCH(F54,Temas!$A$5:$A$20,0)),"Fracción no válida"))</f>
        <v/>
      </c>
      <c r="K54" s="15" t="str">
        <f aca="false">IF(F54="","",1+(G54&lt;&gt;"")*(G54&lt;&gt;F54)+(H54&lt;&gt;"")*(H54&lt;&gt;F54)*(H54&lt;&gt;G54)+(I54&lt;&gt;"")*(I54&lt;&gt;F54)*(I54&lt;&gt;G54)*(I54&lt;&gt;H54))</f>
        <v/>
      </c>
      <c r="L54" s="16"/>
      <c r="M54" s="16"/>
      <c r="N54" s="21" t="str">
        <f aca="false">IF(OR(L54="",M54="",N(M54)=0),"",MAX(0,1-L54/M54))</f>
        <v/>
      </c>
      <c r="O54" s="12"/>
      <c r="P54" s="12"/>
      <c r="Q54" s="12"/>
      <c r="R54" s="12"/>
      <c r="S54" s="2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5" t="str">
        <f aca="false">IF(F55="","",IFERROR(INDEX(Temas!$B$5:$B$20,MATCH(F55,Temas!$A$5:$A$20,0)),"Fracción no válida"))</f>
        <v/>
      </c>
      <c r="K55" s="15" t="str">
        <f aca="false">IF(F55="","",1+(G55&lt;&gt;"")*(G55&lt;&gt;F55)+(H55&lt;&gt;"")*(H55&lt;&gt;F55)*(H55&lt;&gt;G55)+(I55&lt;&gt;"")*(I55&lt;&gt;F55)*(I55&lt;&gt;G55)*(I55&lt;&gt;H55))</f>
        <v/>
      </c>
      <c r="L55" s="16"/>
      <c r="M55" s="16"/>
      <c r="N55" s="21" t="str">
        <f aca="false">IF(OR(L55="",M55="",N(M55)=0),"",MAX(0,1-L55/M55))</f>
        <v/>
      </c>
      <c r="O55" s="12"/>
      <c r="P55" s="12"/>
      <c r="Q55" s="12"/>
      <c r="R55" s="12"/>
      <c r="S55" s="2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5" t="str">
        <f aca="false">IF(F56="","",IFERROR(INDEX(Temas!$B$5:$B$20,MATCH(F56,Temas!$A$5:$A$20,0)),"Fracción no válida"))</f>
        <v/>
      </c>
      <c r="K56" s="15" t="str">
        <f aca="false">IF(F56="","",1+(G56&lt;&gt;"")*(G56&lt;&gt;F56)+(H56&lt;&gt;"")*(H56&lt;&gt;F56)*(H56&lt;&gt;G56)+(I56&lt;&gt;"")*(I56&lt;&gt;F56)*(I56&lt;&gt;G56)*(I56&lt;&gt;H56))</f>
        <v/>
      </c>
      <c r="L56" s="16"/>
      <c r="M56" s="16"/>
      <c r="N56" s="21" t="str">
        <f aca="false">IF(OR(L56="",M56="",N(M56)=0),"",MAX(0,1-L56/M56))</f>
        <v/>
      </c>
      <c r="O56" s="12"/>
      <c r="P56" s="12"/>
      <c r="Q56" s="12"/>
      <c r="R56" s="12"/>
      <c r="S56" s="2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5" t="str">
        <f aca="false">IF(F57="","",IFERROR(INDEX(Temas!$B$5:$B$20,MATCH(F57,Temas!$A$5:$A$20,0)),"Fracción no válida"))</f>
        <v/>
      </c>
      <c r="K57" s="15" t="str">
        <f aca="false">IF(F57="","",1+(G57&lt;&gt;"")*(G57&lt;&gt;F57)+(H57&lt;&gt;"")*(H57&lt;&gt;F57)*(H57&lt;&gt;G57)+(I57&lt;&gt;"")*(I57&lt;&gt;F57)*(I57&lt;&gt;G57)*(I57&lt;&gt;H57))</f>
        <v/>
      </c>
      <c r="L57" s="16"/>
      <c r="M57" s="16"/>
      <c r="N57" s="21" t="str">
        <f aca="false">IF(OR(L57="",M57="",N(M57)=0),"",MAX(0,1-L57/M57))</f>
        <v/>
      </c>
      <c r="O57" s="12"/>
      <c r="P57" s="12"/>
      <c r="Q57" s="12"/>
      <c r="R57" s="12"/>
      <c r="S57" s="2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5" t="str">
        <f aca="false">IF(F58="","",IFERROR(INDEX(Temas!$B$5:$B$20,MATCH(F58,Temas!$A$5:$A$20,0)),"Fracción no válida"))</f>
        <v/>
      </c>
      <c r="K58" s="15" t="str">
        <f aca="false">IF(F58="","",1+(G58&lt;&gt;"")*(G58&lt;&gt;F58)+(H58&lt;&gt;"")*(H58&lt;&gt;F58)*(H58&lt;&gt;G58)+(I58&lt;&gt;"")*(I58&lt;&gt;F58)*(I58&lt;&gt;G58)*(I58&lt;&gt;H58))</f>
        <v/>
      </c>
      <c r="L58" s="16"/>
      <c r="M58" s="16"/>
      <c r="N58" s="21" t="str">
        <f aca="false">IF(OR(L58="",M58="",N(M58)=0),"",MAX(0,1-L58/M58))</f>
        <v/>
      </c>
      <c r="O58" s="12"/>
      <c r="P58" s="12"/>
      <c r="Q58" s="12"/>
      <c r="R58" s="12"/>
      <c r="S58" s="22"/>
    </row>
  </sheetData>
  <dataValidations count="2">
    <dataValidation allowBlank="true" errorStyle="stop" operator="between" showDropDown="false" showErrorMessage="false" showInputMessage="false" sqref="F9:I58" type="list">
      <formula1>Temas!$A$5:$A$20</formula1>
      <formula2>0</formula2>
    </dataValidation>
    <dataValidation allowBlank="true" errorStyle="stop" operator="between" showDropDown="false" showErrorMessage="false" showInputMessage="false" sqref="D9:D58" type="list">
      <formula1>Parámetros!$A$45:$A$51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28" min="3" style="0" width="9"/>
    <col collapsed="false" customWidth="true" hidden="false" outlineLevel="0" max="29" min="29" style="0" width="10"/>
    <col collapsed="false" customWidth="true" hidden="false" outlineLevel="0" max="30" min="30" style="0" width="13"/>
    <col collapsed="false" customWidth="true" hidden="false" outlineLevel="0" max="31" min="31" style="0" width="16"/>
    <col collapsed="false" customWidth="true" hidden="false" outlineLevel="0" max="38" min="32" style="0" width="11"/>
    <col collapsed="false" customWidth="true" hidden="false" outlineLevel="0" max="39" min="39" style="0" width="12"/>
    <col collapsed="false" customWidth="true" hidden="false" outlineLevel="0" max="40" min="40" style="0" width="10"/>
    <col collapsed="false" customWidth="true" hidden="false" outlineLevel="0" max="42" min="41" style="0" width="34"/>
    <col collapsed="false" customWidth="true" hidden="true" outlineLevel="0" max="43" min="43" style="0" width="12"/>
    <col collapsed="false" customWidth="true" hidden="true" outlineLevel="0" max="44" min="44" style="0" width="8"/>
  </cols>
  <sheetData>
    <row r="1" customFormat="false" ht="17.35" hidden="false" customHeight="false" outlineLevel="0" collapsed="false">
      <c r="A1" s="1" t="s">
        <v>378</v>
      </c>
    </row>
    <row r="2" customFormat="false" ht="15" hidden="false" customHeight="false" outlineLevel="0" collapsed="false">
      <c r="A2" s="2" t="s">
        <v>379</v>
      </c>
    </row>
    <row r="3" customFormat="false" ht="15" hidden="false" customHeight="false" outlineLevel="0" collapsed="false">
      <c r="M3" s="2" t="s">
        <v>380</v>
      </c>
    </row>
    <row r="4" customFormat="false" ht="15" hidden="false" customHeight="true" outlineLevel="0" collapsed="false">
      <c r="D4" s="23" t="s">
        <v>381</v>
      </c>
      <c r="E4" s="23"/>
      <c r="F4" s="23"/>
      <c r="G4" s="23"/>
      <c r="H4" s="23"/>
      <c r="I4" s="23"/>
      <c r="J4" s="23"/>
      <c r="K4" s="23"/>
      <c r="L4" s="23"/>
      <c r="M4" s="23" t="s">
        <v>382</v>
      </c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 t="s">
        <v>383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customFormat="false" ht="15" hidden="false" customHeight="true" outlineLevel="0" collapsed="false">
      <c r="A5" s="24" t="s">
        <v>334</v>
      </c>
      <c r="B5" s="24" t="s">
        <v>335</v>
      </c>
      <c r="C5" s="24" t="s">
        <v>339</v>
      </c>
      <c r="D5" s="6" t="s">
        <v>32</v>
      </c>
      <c r="E5" s="6" t="s">
        <v>41</v>
      </c>
      <c r="F5" s="6" t="s">
        <v>48</v>
      </c>
      <c r="G5" s="6" t="s">
        <v>55</v>
      </c>
      <c r="H5" s="6" t="s">
        <v>63</v>
      </c>
      <c r="I5" s="6" t="s">
        <v>70</v>
      </c>
      <c r="J5" s="6" t="s">
        <v>78</v>
      </c>
      <c r="K5" s="6" t="s">
        <v>85</v>
      </c>
      <c r="L5" s="6" t="s">
        <v>92</v>
      </c>
      <c r="M5" s="6" t="s">
        <v>100</v>
      </c>
      <c r="N5" s="6" t="s">
        <v>108</v>
      </c>
      <c r="O5" s="6" t="s">
        <v>117</v>
      </c>
      <c r="P5" s="6" t="s">
        <v>125</v>
      </c>
      <c r="Q5" s="6" t="s">
        <v>133</v>
      </c>
      <c r="R5" s="6" t="s">
        <v>141</v>
      </c>
      <c r="S5" s="6" t="s">
        <v>149</v>
      </c>
      <c r="T5" s="6" t="s">
        <v>156</v>
      </c>
      <c r="U5" s="6" t="s">
        <v>163</v>
      </c>
      <c r="V5" s="6" t="s">
        <v>170</v>
      </c>
      <c r="W5" s="6" t="s">
        <v>177</v>
      </c>
      <c r="X5" s="6" t="s">
        <v>185</v>
      </c>
      <c r="Y5" s="6" t="s">
        <v>193</v>
      </c>
      <c r="Z5" s="6" t="s">
        <v>202</v>
      </c>
      <c r="AA5" s="6" t="s">
        <v>210</v>
      </c>
      <c r="AB5" s="6" t="s">
        <v>218</v>
      </c>
      <c r="AC5" s="24" t="s">
        <v>384</v>
      </c>
      <c r="AD5" s="24" t="s">
        <v>385</v>
      </c>
      <c r="AE5" s="24" t="s">
        <v>386</v>
      </c>
      <c r="AF5" s="24" t="s">
        <v>387</v>
      </c>
      <c r="AG5" s="24" t="s">
        <v>388</v>
      </c>
      <c r="AH5" s="24" t="s">
        <v>389</v>
      </c>
      <c r="AI5" s="24" t="s">
        <v>390</v>
      </c>
      <c r="AJ5" s="24" t="s">
        <v>391</v>
      </c>
      <c r="AK5" s="24" t="s">
        <v>392</v>
      </c>
      <c r="AL5" s="24" t="s">
        <v>393</v>
      </c>
      <c r="AM5" s="24" t="s">
        <v>394</v>
      </c>
      <c r="AN5" s="24" t="s">
        <v>395</v>
      </c>
      <c r="AO5" s="24" t="s">
        <v>396</v>
      </c>
      <c r="AP5" s="24" t="s">
        <v>397</v>
      </c>
      <c r="AQ5" s="24" t="s">
        <v>398</v>
      </c>
      <c r="AR5" s="24" t="s">
        <v>399</v>
      </c>
    </row>
    <row r="6" customFormat="false" ht="69.75" hidden="false" customHeight="true" outlineLevel="0" collapsed="false">
      <c r="A6" s="24"/>
      <c r="B6" s="24"/>
      <c r="C6" s="24"/>
      <c r="D6" s="25" t="s">
        <v>35</v>
      </c>
      <c r="E6" s="25" t="s">
        <v>42</v>
      </c>
      <c r="F6" s="25" t="s">
        <v>49</v>
      </c>
      <c r="G6" s="25" t="s">
        <v>57</v>
      </c>
      <c r="H6" s="25" t="s">
        <v>64</v>
      </c>
      <c r="I6" s="25" t="s">
        <v>72</v>
      </c>
      <c r="J6" s="25" t="s">
        <v>79</v>
      </c>
      <c r="K6" s="25" t="s">
        <v>86</v>
      </c>
      <c r="L6" s="25" t="s">
        <v>94</v>
      </c>
      <c r="M6" s="25" t="s">
        <v>102</v>
      </c>
      <c r="N6" s="25" t="s">
        <v>110</v>
      </c>
      <c r="O6" s="25" t="s">
        <v>118</v>
      </c>
      <c r="P6" s="25" t="s">
        <v>126</v>
      </c>
      <c r="Q6" s="25" t="s">
        <v>134</v>
      </c>
      <c r="R6" s="25" t="s">
        <v>142</v>
      </c>
      <c r="S6" s="25" t="s">
        <v>150</v>
      </c>
      <c r="T6" s="25" t="s">
        <v>157</v>
      </c>
      <c r="U6" s="25" t="s">
        <v>164</v>
      </c>
      <c r="V6" s="25" t="s">
        <v>171</v>
      </c>
      <c r="W6" s="25" t="s">
        <v>178</v>
      </c>
      <c r="X6" s="25" t="s">
        <v>186</v>
      </c>
      <c r="Y6" s="25" t="s">
        <v>195</v>
      </c>
      <c r="Z6" s="25" t="s">
        <v>203</v>
      </c>
      <c r="AA6" s="25" t="s">
        <v>211</v>
      </c>
      <c r="AB6" s="25" t="s">
        <v>219</v>
      </c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</row>
    <row r="7" customFormat="false" ht="24" hidden="false" customHeight="true" outlineLevel="0" collapsed="false">
      <c r="A7" s="24"/>
      <c r="B7" s="24"/>
      <c r="C7" s="24"/>
      <c r="D7" s="25" t="s">
        <v>400</v>
      </c>
      <c r="E7" s="25" t="s">
        <v>400</v>
      </c>
      <c r="F7" s="25" t="s">
        <v>400</v>
      </c>
      <c r="G7" s="25" t="s">
        <v>400</v>
      </c>
      <c r="H7" s="25" t="s">
        <v>400</v>
      </c>
      <c r="I7" s="25" t="s">
        <v>400</v>
      </c>
      <c r="J7" s="25" t="s">
        <v>400</v>
      </c>
      <c r="K7" s="25" t="s">
        <v>400</v>
      </c>
      <c r="L7" s="25" t="s">
        <v>400</v>
      </c>
      <c r="M7" s="25" t="s">
        <v>401</v>
      </c>
      <c r="N7" s="25" t="s">
        <v>402</v>
      </c>
      <c r="O7" s="25" t="s">
        <v>402</v>
      </c>
      <c r="P7" s="25" t="s">
        <v>402</v>
      </c>
      <c r="Q7" s="25" t="s">
        <v>402</v>
      </c>
      <c r="R7" s="25" t="s">
        <v>401</v>
      </c>
      <c r="S7" s="25" t="s">
        <v>402</v>
      </c>
      <c r="T7" s="25" t="s">
        <v>402</v>
      </c>
      <c r="U7" s="25" t="s">
        <v>402</v>
      </c>
      <c r="V7" s="25" t="s">
        <v>402</v>
      </c>
      <c r="W7" s="25" t="s">
        <v>402</v>
      </c>
      <c r="X7" s="25" t="s">
        <v>402</v>
      </c>
      <c r="Y7" s="25" t="s">
        <v>402</v>
      </c>
      <c r="Z7" s="25" t="s">
        <v>402</v>
      </c>
      <c r="AA7" s="25" t="s">
        <v>402</v>
      </c>
      <c r="AB7" s="25" t="s">
        <v>402</v>
      </c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</row>
    <row r="8" customFormat="false" ht="15" hidden="false" customHeight="false" outlineLevel="0" collapsed="false">
      <c r="A8" s="24"/>
      <c r="B8" s="24"/>
      <c r="C8" s="24"/>
      <c r="D8" s="6" t="s">
        <v>403</v>
      </c>
      <c r="E8" s="6" t="s">
        <v>403</v>
      </c>
      <c r="F8" s="6" t="s">
        <v>403</v>
      </c>
      <c r="G8" s="6" t="s">
        <v>403</v>
      </c>
      <c r="H8" s="6" t="s">
        <v>403</v>
      </c>
      <c r="I8" s="6" t="s">
        <v>403</v>
      </c>
      <c r="J8" s="6" t="s">
        <v>403</v>
      </c>
      <c r="K8" s="6" t="s">
        <v>403</v>
      </c>
      <c r="L8" s="6" t="s">
        <v>403</v>
      </c>
      <c r="M8" s="26" t="n">
        <f aca="false">Parámetros!$D$6</f>
        <v>1</v>
      </c>
      <c r="N8" s="26" t="n">
        <f aca="false">Parámetros!$D$7</f>
        <v>2</v>
      </c>
      <c r="O8" s="26" t="n">
        <f aca="false">Parámetros!$D$8</f>
        <v>2</v>
      </c>
      <c r="P8" s="26" t="n">
        <f aca="false">Parámetros!$D$9</f>
        <v>1</v>
      </c>
      <c r="Q8" s="26" t="n">
        <f aca="false">Parámetros!$D$10</f>
        <v>1</v>
      </c>
      <c r="R8" s="26" t="n">
        <f aca="false">Parámetros!$D$11</f>
        <v>1</v>
      </c>
      <c r="S8" s="26" t="n">
        <f aca="false">Parámetros!$D$12</f>
        <v>1</v>
      </c>
      <c r="T8" s="26" t="n">
        <f aca="false">Parámetros!$D$13</f>
        <v>1</v>
      </c>
      <c r="U8" s="26" t="n">
        <f aca="false">Parámetros!$D$14</f>
        <v>1</v>
      </c>
      <c r="V8" s="26" t="n">
        <f aca="false">Parámetros!$D$15</f>
        <v>1</v>
      </c>
      <c r="W8" s="26" t="n">
        <f aca="false">Parámetros!$D$16</f>
        <v>1</v>
      </c>
      <c r="X8" s="26" t="n">
        <f aca="false">Parámetros!$D$17</f>
        <v>1</v>
      </c>
      <c r="Y8" s="26" t="n">
        <f aca="false">Parámetros!$D$18</f>
        <v>1</v>
      </c>
      <c r="Z8" s="26" t="n">
        <f aca="false">Parámetros!$D$19</f>
        <v>1</v>
      </c>
      <c r="AA8" s="26" t="n">
        <f aca="false">Parámetros!$D$20</f>
        <v>1</v>
      </c>
      <c r="AB8" s="26" t="n">
        <f aca="false">Parámetros!$D$21</f>
        <v>1</v>
      </c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</row>
    <row r="9" customFormat="false" ht="39.55" hidden="false" customHeight="false" outlineLevel="0" collapsed="false">
      <c r="A9" s="27" t="str">
        <f aca="false">IF(1_Proyectos!A9="","",1_Proyectos!A9)</f>
        <v>EJ-01</v>
      </c>
      <c r="B9" s="27" t="str">
        <f aca="false">IF(1_Proyectos!B9="","",1_Proyectos!B9)</f>
        <v>Restauración de manglar y humedal costero (ejemplo)</v>
      </c>
      <c r="C9" s="27" t="str">
        <f aca="false">IF(1_Proyectos!F9="","",1_Proyectos!F9)</f>
        <v>IV</v>
      </c>
      <c r="D9" s="28" t="s">
        <v>404</v>
      </c>
      <c r="E9" s="28" t="s">
        <v>404</v>
      </c>
      <c r="F9" s="28" t="s">
        <v>404</v>
      </c>
      <c r="G9" s="28" t="s">
        <v>404</v>
      </c>
      <c r="H9" s="28" t="s">
        <v>404</v>
      </c>
      <c r="I9" s="28" t="s">
        <v>404</v>
      </c>
      <c r="J9" s="28" t="s">
        <v>404</v>
      </c>
      <c r="K9" s="28" t="s">
        <v>404</v>
      </c>
      <c r="L9" s="28" t="s">
        <v>404</v>
      </c>
      <c r="M9" s="29" t="n">
        <f aca="false">IF(1_Proyectos!K9="","",IF(1_Proyectos!K9&gt;=Parámetros!$D$37,3,IF(1_Proyectos!K9&gt;=Parámetros!$D$38,2,1)))</f>
        <v>3</v>
      </c>
      <c r="N9" s="28" t="n">
        <v>3</v>
      </c>
      <c r="O9" s="28" t="n">
        <v>3</v>
      </c>
      <c r="P9" s="28" t="n">
        <v>2</v>
      </c>
      <c r="Q9" s="28" t="n">
        <v>2</v>
      </c>
      <c r="R9" s="29" t="n">
        <f aca="false">IF(1_Proyectos!N9="","",IF(1_Proyectos!N9&gt;=Parámetros!$D$39,3,IF(1_Proyectos!N9&gt;=Parámetros!$D$40,2,1)))</f>
        <v>3</v>
      </c>
      <c r="S9" s="28" t="n">
        <v>2</v>
      </c>
      <c r="T9" s="28" t="n">
        <v>3</v>
      </c>
      <c r="U9" s="28" t="n">
        <v>3</v>
      </c>
      <c r="V9" s="28" t="n">
        <v>3</v>
      </c>
      <c r="W9" s="28" t="n">
        <v>3</v>
      </c>
      <c r="X9" s="28" t="n">
        <v>3</v>
      </c>
      <c r="Y9" s="28" t="n">
        <v>2</v>
      </c>
      <c r="Z9" s="28" t="n">
        <v>2</v>
      </c>
      <c r="AA9" s="28" t="n">
        <v>3</v>
      </c>
      <c r="AB9" s="28" t="n">
        <v>3</v>
      </c>
      <c r="AC9" s="15" t="n">
        <f aca="false">IF(A9="","",COUNTIF(D9:L9,"Sí"))</f>
        <v>9</v>
      </c>
      <c r="AD9" s="30" t="str">
        <f aca="false">IF(A9="","",IF(COUNTIF(D9:L9,"No")&gt;0,"No elegible",IF(COUNTIF(D9:L9,"Sí")=9,"Elegible","Pendiente")))</f>
        <v>Elegible</v>
      </c>
      <c r="AE9" s="31" t="str">
        <f aca="false">TRIM(IF(D9="No","O1 ","")&amp;IF(E9="No","O2 ","")&amp;IF(F9="No","O3 ","")&amp;IF(G9="No","T1 ","")&amp;IF(H9="No","T2 ","")&amp;IF(I9="No","F1 ","")&amp;IF(J9="No","F2 ","")&amp;IF(K9="No","F3 ","")&amp;IF(L9="No","E1 ",""))</f>
        <v/>
      </c>
      <c r="AF9" s="15" t="n">
        <f aca="false">IF(AD9="Elegible",SUM(M9,N9),"")</f>
        <v>6</v>
      </c>
      <c r="AG9" s="15" t="n">
        <f aca="false">IF(AD9="Elegible",SUM(O9,P9),"")</f>
        <v>5</v>
      </c>
      <c r="AH9" s="15" t="n">
        <f aca="false">IF(AD9="Elegible",SUM(Q9,R9,S9,T9,U9),"")</f>
        <v>13</v>
      </c>
      <c r="AI9" s="15" t="n">
        <f aca="false">IF(AD9="Elegible",SUM(V9,W9,X9),"")</f>
        <v>9</v>
      </c>
      <c r="AJ9" s="15" t="n">
        <f aca="false">IF(AD9="Elegible",SUM(Y9,Z9,AA9,AB9),"")</f>
        <v>10</v>
      </c>
      <c r="AK9" s="15" t="n">
        <f aca="false">IF(AND(AD9="Elegible",COUNT(M9:AB9)=16),SUM(M9:AB9),"")</f>
        <v>43</v>
      </c>
      <c r="AL9" s="32" t="n">
        <f aca="false">IF(AK9="","",ROUND(SUMPRODUCT($M$8:$AB$8,M9:AB9)/(3*SUM($M$8:$AB$8))*100,1))</f>
        <v>90.7</v>
      </c>
      <c r="AM9" s="30" t="str">
        <f aca="false">IF(AL9="","",IF(AL9&gt;=Parámetros!$D$41,"Alta",IF(AL9&gt;=Parámetros!$D$42,"Media","Baja")))</f>
        <v>Alta</v>
      </c>
      <c r="AN9" s="15" t="n">
        <f aca="false">IF(AL9="","",AR9)</f>
        <v>1</v>
      </c>
      <c r="AO9" s="31" t="str">
        <f aca="false">IF(A9="","",TRIM(IF(AND(I9="Sí",1_Proyectos!L9&lt;&gt;"",OR(AND(Parámetros!$D$35&lt;&gt;"",1_Proyectos!L9&lt;Parámetros!$D$35),AND(Parámetros!$D$36&lt;&gt;"",1_Proyectos!L9&gt;Parámetros!$D$36))),"F1 en Sí con monto fuera de rango. ","")&amp;IF(AND(E9="Sí",1_Proyectos!F9=""),"O2 en Sí sin fracción principal. ","")&amp;IF(AND(AD9="Elegible",COUNT(M9:AB9)&lt;16),"Elegible con calificaciones incompletas. ","")&amp;IF(AND(1_Proyectos!F9&lt;&gt;"",COUNTA(1_Proyectos!F9:I9)&gt;N(1_Proyectos!K9)),"Fracción repetida en el registro. ","")&amp;IF(AND(AD9="Elegible",R9=""),"Falta monto o costo total para calcular F5. ","")&amp;IF(AND(A9&lt;&gt;"",1_Proyectos!D9=""),"Falta tipo de proponente. ","")))</f>
        <v/>
      </c>
      <c r="AP9" s="33" t="s">
        <v>405</v>
      </c>
      <c r="AQ9" s="15" t="n">
        <f aca="false">IF(A9="","",IF(AL9&lt;&gt;"",AL9*1000000+N9*10000+O9*100+AI9-ROW()/1000,-ROW()))</f>
        <v>90730308.991</v>
      </c>
      <c r="AR9" s="15" t="n">
        <f aca="false">IF(AQ9="","",COUNTIF($AQ$9:$AQ$58,"&gt;"&amp;AQ9)+1)</f>
        <v>1</v>
      </c>
    </row>
    <row r="10" customFormat="false" ht="26.85" hidden="false" customHeight="false" outlineLevel="0" collapsed="false">
      <c r="A10" s="27" t="str">
        <f aca="false">IF(1_Proyectos!A10="","",1_Proyectos!A10)</f>
        <v>EJ-02</v>
      </c>
      <c r="B10" s="27" t="str">
        <f aca="false">IF(1_Proyectos!B10="","",1_Proyectos!B10)</f>
        <v>Sistemas fotovoltaicos en escuelas rurales (ejemplo)</v>
      </c>
      <c r="C10" s="27" t="str">
        <f aca="false">IF(1_Proyectos!F10="","",1_Proyectos!F10)</f>
        <v>VI</v>
      </c>
      <c r="D10" s="28" t="s">
        <v>404</v>
      </c>
      <c r="E10" s="28" t="s">
        <v>404</v>
      </c>
      <c r="F10" s="28" t="s">
        <v>404</v>
      </c>
      <c r="G10" s="28" t="s">
        <v>404</v>
      </c>
      <c r="H10" s="28" t="s">
        <v>404</v>
      </c>
      <c r="I10" s="28" t="s">
        <v>404</v>
      </c>
      <c r="J10" s="28" t="s">
        <v>404</v>
      </c>
      <c r="K10" s="28" t="s">
        <v>404</v>
      </c>
      <c r="L10" s="28" t="s">
        <v>404</v>
      </c>
      <c r="M10" s="29" t="n">
        <f aca="false">IF(1_Proyectos!K10="","",IF(1_Proyectos!K10&gt;=Parámetros!$D$37,3,IF(1_Proyectos!K10&gt;=Parámetros!$D$38,2,1)))</f>
        <v>2</v>
      </c>
      <c r="N10" s="28" t="n">
        <v>2</v>
      </c>
      <c r="O10" s="28" t="n">
        <v>2</v>
      </c>
      <c r="P10" s="28" t="n">
        <v>1</v>
      </c>
      <c r="Q10" s="28" t="n">
        <v>3</v>
      </c>
      <c r="R10" s="29" t="n">
        <f aca="false">IF(1_Proyectos!N10="","",IF(1_Proyectos!N10&gt;=Parámetros!$D$39,3,IF(1_Proyectos!N10&gt;=Parámetros!$D$40,2,1)))</f>
        <v>1</v>
      </c>
      <c r="S10" s="28" t="n">
        <v>3</v>
      </c>
      <c r="T10" s="28" t="n">
        <v>2</v>
      </c>
      <c r="U10" s="28" t="n">
        <v>2</v>
      </c>
      <c r="V10" s="28" t="n">
        <v>2</v>
      </c>
      <c r="W10" s="28" t="n">
        <v>2</v>
      </c>
      <c r="X10" s="28" t="n">
        <v>1</v>
      </c>
      <c r="Y10" s="28" t="n">
        <v>2</v>
      </c>
      <c r="Z10" s="28" t="n">
        <v>1</v>
      </c>
      <c r="AA10" s="28" t="n">
        <v>1</v>
      </c>
      <c r="AB10" s="28" t="n">
        <v>2</v>
      </c>
      <c r="AC10" s="15" t="n">
        <f aca="false">IF(A10="","",COUNTIF(D10:L10,"Sí"))</f>
        <v>9</v>
      </c>
      <c r="AD10" s="30" t="str">
        <f aca="false">IF(A10="","",IF(COUNTIF(D10:L10,"No")&gt;0,"No elegible",IF(COUNTIF(D10:L10,"Sí")=9,"Elegible","Pendiente")))</f>
        <v>Elegible</v>
      </c>
      <c r="AE10" s="31" t="str">
        <f aca="false">TRIM(IF(D10="No","O1 ","")&amp;IF(E10="No","O2 ","")&amp;IF(F10="No","O3 ","")&amp;IF(G10="No","T1 ","")&amp;IF(H10="No","T2 ","")&amp;IF(I10="No","F1 ","")&amp;IF(J10="No","F2 ","")&amp;IF(K10="No","F3 ","")&amp;IF(L10="No","E1 ",""))</f>
        <v/>
      </c>
      <c r="AF10" s="15" t="n">
        <f aca="false">IF(AD10="Elegible",SUM(M10,N10),"")</f>
        <v>4</v>
      </c>
      <c r="AG10" s="15" t="n">
        <f aca="false">IF(AD10="Elegible",SUM(O10,P10),"")</f>
        <v>3</v>
      </c>
      <c r="AH10" s="15" t="n">
        <f aca="false">IF(AD10="Elegible",SUM(Q10,R10,S10,T10,U10),"")</f>
        <v>11</v>
      </c>
      <c r="AI10" s="15" t="n">
        <f aca="false">IF(AD10="Elegible",SUM(V10,W10,X10),"")</f>
        <v>5</v>
      </c>
      <c r="AJ10" s="15" t="n">
        <f aca="false">IF(AD10="Elegible",SUM(Y10,Z10,AA10,AB10),"")</f>
        <v>6</v>
      </c>
      <c r="AK10" s="15" t="n">
        <f aca="false">IF(AND(AD10="Elegible",COUNT(M10:AB10)=16),SUM(M10:AB10),"")</f>
        <v>29</v>
      </c>
      <c r="AL10" s="32" t="n">
        <f aca="false">IF(AK10="","",ROUND(SUMPRODUCT($M$8:$AB$8,M10:AB10)/(3*SUM($M$8:$AB$8))*100,1))</f>
        <v>61.1</v>
      </c>
      <c r="AM10" s="30" t="str">
        <f aca="false">IF(AL10="","",IF(AL10&gt;=Parámetros!$D$41,"Alta",IF(AL10&gt;=Parámetros!$D$42,"Media","Baja")))</f>
        <v>Media</v>
      </c>
      <c r="AN10" s="15" t="n">
        <f aca="false">IF(AL10="","",AR10)</f>
        <v>2</v>
      </c>
      <c r="AO10" s="31" t="str">
        <f aca="false">IF(A10="","",TRIM(IF(AND(I10="Sí",1_Proyectos!L10&lt;&gt;"",OR(AND(Parámetros!$D$35&lt;&gt;"",1_Proyectos!L10&lt;Parámetros!$D$35),AND(Parámetros!$D$36&lt;&gt;"",1_Proyectos!L10&gt;Parámetros!$D$36))),"F1 en Sí con monto fuera de rango. ","")&amp;IF(AND(E10="Sí",1_Proyectos!F10=""),"O2 en Sí sin fracción principal. ","")&amp;IF(AND(AD10="Elegible",COUNT(M10:AB10)&lt;16),"Elegible con calificaciones incompletas. ","")&amp;IF(AND(1_Proyectos!F10&lt;&gt;"",COUNTA(1_Proyectos!F10:I10)&gt;N(1_Proyectos!K10)),"Fracción repetida en el registro. ","")&amp;IF(AND(AD10="Elegible",R10=""),"Falta monto o costo total para calcular F5. ","")&amp;IF(AND(A10&lt;&gt;"",1_Proyectos!D10=""),"Falta tipo de proponente. ","")))</f>
        <v/>
      </c>
      <c r="AP10" s="33" t="s">
        <v>406</v>
      </c>
      <c r="AQ10" s="15" t="n">
        <f aca="false">IF(A10="","",IF(AL10&lt;&gt;"",AL10*1000000+N10*10000+O10*100+AI10-ROW()/1000,-ROW()))</f>
        <v>61120204.99</v>
      </c>
      <c r="AR10" s="15" t="n">
        <f aca="false">IF(AQ10="","",COUNTIF($AQ$9:$AQ$58,"&gt;"&amp;AQ10)+1)</f>
        <v>2</v>
      </c>
    </row>
    <row r="11" customFormat="false" ht="39.55" hidden="false" customHeight="false" outlineLevel="0" collapsed="false">
      <c r="A11" s="27" t="str">
        <f aca="false">IF(1_Proyectos!A11="","",1_Proyectos!A11)</f>
        <v>EJ-03</v>
      </c>
      <c r="B11" s="27" t="str">
        <f aca="false">IF(1_Proyectos!B11="","",1_Proyectos!B11)</f>
        <v>Campaña de cultura climática en redes sociales (ejemplo)</v>
      </c>
      <c r="C11" s="27" t="str">
        <f aca="false">IF(1_Proyectos!F11="","",1_Proyectos!F11)</f>
        <v>X</v>
      </c>
      <c r="D11" s="28" t="s">
        <v>404</v>
      </c>
      <c r="E11" s="28" t="s">
        <v>404</v>
      </c>
      <c r="F11" s="28" t="s">
        <v>407</v>
      </c>
      <c r="G11" s="28" t="s">
        <v>404</v>
      </c>
      <c r="H11" s="28" t="s">
        <v>404</v>
      </c>
      <c r="I11" s="28" t="s">
        <v>404</v>
      </c>
      <c r="J11" s="28" t="s">
        <v>404</v>
      </c>
      <c r="K11" s="28" t="s">
        <v>404</v>
      </c>
      <c r="L11" s="28" t="s">
        <v>407</v>
      </c>
      <c r="M11" s="29" t="n">
        <f aca="false">IF(1_Proyectos!K11="","",IF(1_Proyectos!K11&gt;=Parámetros!$D$37,3,IF(1_Proyectos!K11&gt;=Parámetros!$D$38,2,1)))</f>
        <v>1</v>
      </c>
      <c r="N11" s="34"/>
      <c r="O11" s="34"/>
      <c r="P11" s="34"/>
      <c r="Q11" s="34"/>
      <c r="R11" s="29" t="n">
        <f aca="false">IF(1_Proyectos!N11="","",IF(1_Proyectos!N11&gt;=Parámetros!$D$39,3,IF(1_Proyectos!N11&gt;=Parámetros!$D$40,2,1)))</f>
        <v>1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15" t="n">
        <f aca="false">IF(A11="","",COUNTIF(D11:L11,"Sí"))</f>
        <v>7</v>
      </c>
      <c r="AD11" s="30" t="str">
        <f aca="false">IF(A11="","",IF(COUNTIF(D11:L11,"No")&gt;0,"No elegible",IF(COUNTIF(D11:L11,"Sí")=9,"Elegible","Pendiente")))</f>
        <v>No elegible</v>
      </c>
      <c r="AE11" s="31" t="str">
        <f aca="false">TRIM(IF(D11="No","O1 ","")&amp;IF(E11="No","O2 ","")&amp;IF(F11="No","O3 ","")&amp;IF(G11="No","T1 ","")&amp;IF(H11="No","T2 ","")&amp;IF(I11="No","F1 ","")&amp;IF(J11="No","F2 ","")&amp;IF(K11="No","F3 ","")&amp;IF(L11="No","E1 ",""))</f>
        <v>O3 E1</v>
      </c>
      <c r="AF11" s="15" t="str">
        <f aca="false">IF(AD11="Elegible",SUM(M11,N11),"")</f>
        <v/>
      </c>
      <c r="AG11" s="15" t="str">
        <f aca="false">IF(AD11="Elegible",SUM(O11,P11),"")</f>
        <v/>
      </c>
      <c r="AH11" s="15" t="str">
        <f aca="false">IF(AD11="Elegible",SUM(Q11,R11,S11,T11,U11),"")</f>
        <v/>
      </c>
      <c r="AI11" s="15" t="str">
        <f aca="false">IF(AD11="Elegible",SUM(V11,W11,X11),"")</f>
        <v/>
      </c>
      <c r="AJ11" s="15" t="str">
        <f aca="false">IF(AD11="Elegible",SUM(Y11,Z11,AA11,AB11),"")</f>
        <v/>
      </c>
      <c r="AK11" s="15" t="str">
        <f aca="false">IF(AND(AD11="Elegible",COUNT(M11:AB11)=16),SUM(M11:AB11),"")</f>
        <v/>
      </c>
      <c r="AL11" s="32" t="str">
        <f aca="false">IF(AK11="","",ROUND(SUMPRODUCT($M$8:$AB$8,M11:AB11)/(3*SUM($M$8:$AB$8))*100,1))</f>
        <v/>
      </c>
      <c r="AM11" s="30" t="str">
        <f aca="false">IF(AL11="","",IF(AL11&gt;=Parámetros!$D$41,"Alta",IF(AL11&gt;=Parámetros!$D$42,"Media","Baja")))</f>
        <v/>
      </c>
      <c r="AN11" s="15" t="str">
        <f aca="false">IF(AL11="","",AR11)</f>
        <v/>
      </c>
      <c r="AO11" s="31" t="str">
        <f aca="false">IF(A11="","",TRIM(IF(AND(I11="Sí",1_Proyectos!L11&lt;&gt;"",OR(AND(Parámetros!$D$35&lt;&gt;"",1_Proyectos!L11&lt;Parámetros!$D$35),AND(Parámetros!$D$36&lt;&gt;"",1_Proyectos!L11&gt;Parámetros!$D$36))),"F1 en Sí con monto fuera de rango. ","")&amp;IF(AND(E11="Sí",1_Proyectos!F11=""),"O2 en Sí sin fracción principal. ","")&amp;IF(AND(AD11="Elegible",COUNT(M11:AB11)&lt;16),"Elegible con calificaciones incompletas. ","")&amp;IF(AND(1_Proyectos!F11&lt;&gt;"",COUNTA(1_Proyectos!F11:I11)&gt;N(1_Proyectos!K11)),"Fracción repetida en el registro. ","")&amp;IF(AND(AD11="Elegible",R11=""),"Falta monto o costo total para calcular F5. ","")&amp;IF(AND(A11&lt;&gt;"",1_Proyectos!D11=""),"Falta tipo de proponente. ","")))</f>
        <v/>
      </c>
      <c r="AP11" s="33" t="s">
        <v>408</v>
      </c>
      <c r="AQ11" s="15" t="n">
        <f aca="false">IF(A11="","",IF(AL11&lt;&gt;"",AL11*1000000+N11*10000+O11*100+AI11-ROW()/1000,-ROW()))</f>
        <v>-11</v>
      </c>
      <c r="AR11" s="15" t="n">
        <f aca="false">IF(AQ11="","",COUNTIF($AQ$9:$AQ$58,"&gt;"&amp;AQ11)+1)</f>
        <v>3</v>
      </c>
    </row>
    <row r="12" customFormat="false" ht="26.85" hidden="false" customHeight="false" outlineLevel="0" collapsed="false">
      <c r="A12" s="27" t="str">
        <f aca="false">IF(1_Proyectos!A12="","",1_Proyectos!A12)</f>
        <v>EJ-04</v>
      </c>
      <c r="B12" s="27" t="str">
        <f aca="false">IF(1_Proyectos!B12="","",1_Proyectos!B12)</f>
        <v>Planta municipal de compostaje (ejemplo)</v>
      </c>
      <c r="C12" s="27" t="str">
        <f aca="false">IF(1_Proyectos!F12="","",1_Proyectos!F12)</f>
        <v>IX</v>
      </c>
      <c r="D12" s="28" t="s">
        <v>404</v>
      </c>
      <c r="E12" s="28" t="s">
        <v>404</v>
      </c>
      <c r="F12" s="28" t="s">
        <v>404</v>
      </c>
      <c r="G12" s="28" t="s">
        <v>404</v>
      </c>
      <c r="H12" s="34"/>
      <c r="I12" s="28" t="s">
        <v>404</v>
      </c>
      <c r="J12" s="28" t="s">
        <v>404</v>
      </c>
      <c r="K12" s="28" t="s">
        <v>404</v>
      </c>
      <c r="L12" s="28" t="s">
        <v>404</v>
      </c>
      <c r="M12" s="29" t="n">
        <f aca="false">IF(1_Proyectos!K12="","",IF(1_Proyectos!K12&gt;=Parámetros!$D$37,3,IF(1_Proyectos!K12&gt;=Parámetros!$D$38,2,1)))</f>
        <v>2</v>
      </c>
      <c r="N12" s="34"/>
      <c r="O12" s="34"/>
      <c r="P12" s="34"/>
      <c r="Q12" s="34"/>
      <c r="R12" s="29" t="n">
        <f aca="false">IF(1_Proyectos!N12="","",IF(1_Proyectos!N12&gt;=Parámetros!$D$39,3,IF(1_Proyectos!N12&gt;=Parámetros!$D$40,2,1)))</f>
        <v>3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15" t="n">
        <f aca="false">IF(A12="","",COUNTIF(D12:L12,"Sí"))</f>
        <v>8</v>
      </c>
      <c r="AD12" s="30" t="str">
        <f aca="false">IF(A12="","",IF(COUNTIF(D12:L12,"No")&gt;0,"No elegible",IF(COUNTIF(D12:L12,"Sí")=9,"Elegible","Pendiente")))</f>
        <v>Pendiente</v>
      </c>
      <c r="AE12" s="31" t="str">
        <f aca="false">TRIM(IF(D12="No","O1 ","")&amp;IF(E12="No","O2 ","")&amp;IF(F12="No","O3 ","")&amp;IF(G12="No","T1 ","")&amp;IF(H12="No","T2 ","")&amp;IF(I12="No","F1 ","")&amp;IF(J12="No","F2 ","")&amp;IF(K12="No","F3 ","")&amp;IF(L12="No","E1 ",""))</f>
        <v/>
      </c>
      <c r="AF12" s="15" t="str">
        <f aca="false">IF(AD12="Elegible",SUM(M12,N12),"")</f>
        <v/>
      </c>
      <c r="AG12" s="15" t="str">
        <f aca="false">IF(AD12="Elegible",SUM(O12,P12),"")</f>
        <v/>
      </c>
      <c r="AH12" s="15" t="str">
        <f aca="false">IF(AD12="Elegible",SUM(Q12,R12,S12,T12,U12),"")</f>
        <v/>
      </c>
      <c r="AI12" s="15" t="str">
        <f aca="false">IF(AD12="Elegible",SUM(V12,W12,X12),"")</f>
        <v/>
      </c>
      <c r="AJ12" s="15" t="str">
        <f aca="false">IF(AD12="Elegible",SUM(Y12,Z12,AA12,AB12),"")</f>
        <v/>
      </c>
      <c r="AK12" s="15" t="str">
        <f aca="false">IF(AND(AD12="Elegible",COUNT(M12:AB12)=16),SUM(M12:AB12),"")</f>
        <v/>
      </c>
      <c r="AL12" s="32" t="str">
        <f aca="false">IF(AK12="","",ROUND(SUMPRODUCT($M$8:$AB$8,M12:AB12)/(3*SUM($M$8:$AB$8))*100,1))</f>
        <v/>
      </c>
      <c r="AM12" s="30" t="str">
        <f aca="false">IF(AL12="","",IF(AL12&gt;=Parámetros!$D$41,"Alta",IF(AL12&gt;=Parámetros!$D$42,"Media","Baja")))</f>
        <v/>
      </c>
      <c r="AN12" s="15" t="str">
        <f aca="false">IF(AL12="","",AR12)</f>
        <v/>
      </c>
      <c r="AO12" s="31" t="str">
        <f aca="false">IF(A12="","",TRIM(IF(AND(I12="Sí",1_Proyectos!L12&lt;&gt;"",OR(AND(Parámetros!$D$35&lt;&gt;"",1_Proyectos!L12&lt;Parámetros!$D$35),AND(Parámetros!$D$36&lt;&gt;"",1_Proyectos!L12&gt;Parámetros!$D$36))),"F1 en Sí con monto fuera de rango. ","")&amp;IF(AND(E12="Sí",1_Proyectos!F12=""),"O2 en Sí sin fracción principal. ","")&amp;IF(AND(AD12="Elegible",COUNT(M12:AB12)&lt;16),"Elegible con calificaciones incompletas. ","")&amp;IF(AND(1_Proyectos!F12&lt;&gt;"",COUNTA(1_Proyectos!F12:I12)&gt;N(1_Proyectos!K12)),"Fracción repetida en el registro. ","")&amp;IF(AND(AD12="Elegible",R12=""),"Falta monto o costo total para calcular F5. ","")&amp;IF(AND(A12&lt;&gt;"",1_Proyectos!D12=""),"Falta tipo de proponente. ","")))</f>
        <v/>
      </c>
      <c r="AP12" s="33" t="s">
        <v>409</v>
      </c>
      <c r="AQ12" s="15" t="n">
        <f aca="false">IF(A12="","",IF(AL12&lt;&gt;"",AL12*1000000+N12*10000+O12*100+AI12-ROW()/1000,-ROW()))</f>
        <v>-12</v>
      </c>
      <c r="AR12" s="15" t="n">
        <f aca="false">IF(AQ12="","",COUNTIF($AQ$9:$AQ$58,"&gt;"&amp;AQ12)+1)</f>
        <v>4</v>
      </c>
    </row>
    <row r="13" customFormat="false" ht="15" hidden="false" customHeight="false" outlineLevel="0" collapsed="false">
      <c r="A13" s="27" t="str">
        <f aca="false">IF(1_Proyectos!A13="","",1_Proyectos!A13)</f>
        <v/>
      </c>
      <c r="B13" s="27" t="str">
        <f aca="false">IF(1_Proyectos!B13="","",1_Proyectos!B13)</f>
        <v/>
      </c>
      <c r="C13" s="27" t="str">
        <f aca="false">IF(1_Proyectos!F13="","",1_Proyectos!F13)</f>
        <v/>
      </c>
      <c r="D13" s="34"/>
      <c r="E13" s="34"/>
      <c r="F13" s="34"/>
      <c r="G13" s="34"/>
      <c r="H13" s="34"/>
      <c r="I13" s="34"/>
      <c r="J13" s="34"/>
      <c r="K13" s="34"/>
      <c r="L13" s="34"/>
      <c r="M13" s="29" t="str">
        <f aca="false">IF(1_Proyectos!K13="","",IF(1_Proyectos!K13&gt;=Parámetros!$D$37,3,IF(1_Proyectos!K13&gt;=Parámetros!$D$38,2,1)))</f>
        <v/>
      </c>
      <c r="N13" s="34"/>
      <c r="O13" s="34"/>
      <c r="P13" s="34"/>
      <c r="Q13" s="34"/>
      <c r="R13" s="29" t="str">
        <f aca="false">IF(1_Proyectos!N13="","",IF(1_Proyectos!N13&gt;=Parámetros!$D$39,3,IF(1_Proyectos!N13&gt;=Parámetros!$D$40,2,1)))</f>
        <v/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15" t="str">
        <f aca="false">IF(A13="","",COUNTIF(D13:L13,"Sí"))</f>
        <v/>
      </c>
      <c r="AD13" s="30" t="str">
        <f aca="false">IF(A13="","",IF(COUNTIF(D13:L13,"No")&gt;0,"No elegible",IF(COUNTIF(D13:L13,"Sí")=9,"Elegible","Pendiente")))</f>
        <v/>
      </c>
      <c r="AE13" s="31" t="str">
        <f aca="false">TRIM(IF(D13="No","O1 ","")&amp;IF(E13="No","O2 ","")&amp;IF(F13="No","O3 ","")&amp;IF(G13="No","T1 ","")&amp;IF(H13="No","T2 ","")&amp;IF(I13="No","F1 ","")&amp;IF(J13="No","F2 ","")&amp;IF(K13="No","F3 ","")&amp;IF(L13="No","E1 ",""))</f>
        <v/>
      </c>
      <c r="AF13" s="15" t="str">
        <f aca="false">IF(AD13="Elegible",SUM(M13,N13),"")</f>
        <v/>
      </c>
      <c r="AG13" s="15" t="str">
        <f aca="false">IF(AD13="Elegible",SUM(O13,P13),"")</f>
        <v/>
      </c>
      <c r="AH13" s="15" t="str">
        <f aca="false">IF(AD13="Elegible",SUM(Q13,R13,S13,T13,U13),"")</f>
        <v/>
      </c>
      <c r="AI13" s="15" t="str">
        <f aca="false">IF(AD13="Elegible",SUM(V13,W13,X13),"")</f>
        <v/>
      </c>
      <c r="AJ13" s="15" t="str">
        <f aca="false">IF(AD13="Elegible",SUM(Y13,Z13,AA13,AB13),"")</f>
        <v/>
      </c>
      <c r="AK13" s="15" t="str">
        <f aca="false">IF(AND(AD13="Elegible",COUNT(M13:AB13)=16),SUM(M13:AB13),"")</f>
        <v/>
      </c>
      <c r="AL13" s="32" t="str">
        <f aca="false">IF(AK13="","",ROUND(SUMPRODUCT($M$8:$AB$8,M13:AB13)/(3*SUM($M$8:$AB$8))*100,1))</f>
        <v/>
      </c>
      <c r="AM13" s="30" t="str">
        <f aca="false">IF(AL13="","",IF(AL13&gt;=Parámetros!$D$41,"Alta",IF(AL13&gt;=Parámetros!$D$42,"Media","Baja")))</f>
        <v/>
      </c>
      <c r="AN13" s="15" t="str">
        <f aca="false">IF(AL13="","",AR13)</f>
        <v/>
      </c>
      <c r="AO13" s="31" t="str">
        <f aca="false">IF(A13="","",TRIM(IF(AND(I13="Sí",1_Proyectos!L13&lt;&gt;"",OR(AND(Parámetros!$D$35&lt;&gt;"",1_Proyectos!L13&lt;Parámetros!$D$35),AND(Parámetros!$D$36&lt;&gt;"",1_Proyectos!L13&gt;Parámetros!$D$36))),"F1 en Sí con monto fuera de rango. ","")&amp;IF(AND(E13="Sí",1_Proyectos!F13=""),"O2 en Sí sin fracción principal. ","")&amp;IF(AND(AD13="Elegible",COUNT(M13:AB13)&lt;16),"Elegible con calificaciones incompletas. ","")&amp;IF(AND(1_Proyectos!F13&lt;&gt;"",COUNTA(1_Proyectos!F13:I13)&gt;N(1_Proyectos!K13)),"Fracción repetida en el registro. ","")&amp;IF(AND(AD13="Elegible",R13=""),"Falta monto o costo total para calcular F5. ","")&amp;IF(AND(A13&lt;&gt;"",1_Proyectos!D13=""),"Falta tipo de proponente. ","")))</f>
        <v/>
      </c>
      <c r="AP13" s="35"/>
      <c r="AQ13" s="15" t="str">
        <f aca="false">IF(A13="","",IF(AL13&lt;&gt;"",AL13*1000000+N13*10000+O13*100+AI13-ROW()/1000,-ROW()))</f>
        <v/>
      </c>
      <c r="AR13" s="15" t="str">
        <f aca="false">IF(AQ13="","",COUNTIF($AQ$9:$AQ$58,"&gt;"&amp;AQ13)+1)</f>
        <v/>
      </c>
    </row>
    <row r="14" customFormat="false" ht="15" hidden="false" customHeight="false" outlineLevel="0" collapsed="false">
      <c r="A14" s="27" t="str">
        <f aca="false">IF(1_Proyectos!A14="","",1_Proyectos!A14)</f>
        <v/>
      </c>
      <c r="B14" s="27" t="str">
        <f aca="false">IF(1_Proyectos!B14="","",1_Proyectos!B14)</f>
        <v/>
      </c>
      <c r="C14" s="27" t="str">
        <f aca="false">IF(1_Proyectos!F14="","",1_Proyectos!F14)</f>
        <v/>
      </c>
      <c r="D14" s="34"/>
      <c r="E14" s="34"/>
      <c r="F14" s="34"/>
      <c r="G14" s="34"/>
      <c r="H14" s="34"/>
      <c r="I14" s="34"/>
      <c r="J14" s="34"/>
      <c r="K14" s="34"/>
      <c r="L14" s="34"/>
      <c r="M14" s="29" t="str">
        <f aca="false">IF(1_Proyectos!K14="","",IF(1_Proyectos!K14&gt;=Parámetros!$D$37,3,IF(1_Proyectos!K14&gt;=Parámetros!$D$38,2,1)))</f>
        <v/>
      </c>
      <c r="N14" s="34"/>
      <c r="O14" s="34"/>
      <c r="P14" s="34"/>
      <c r="Q14" s="34"/>
      <c r="R14" s="29" t="str">
        <f aca="false">IF(1_Proyectos!N14="","",IF(1_Proyectos!N14&gt;=Parámetros!$D$39,3,IF(1_Proyectos!N14&gt;=Parámetros!$D$40,2,1)))</f>
        <v/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15" t="str">
        <f aca="false">IF(A14="","",COUNTIF(D14:L14,"Sí"))</f>
        <v/>
      </c>
      <c r="AD14" s="30" t="str">
        <f aca="false">IF(A14="","",IF(COUNTIF(D14:L14,"No")&gt;0,"No elegible",IF(COUNTIF(D14:L14,"Sí")=9,"Elegible","Pendiente")))</f>
        <v/>
      </c>
      <c r="AE14" s="31" t="str">
        <f aca="false">TRIM(IF(D14="No","O1 ","")&amp;IF(E14="No","O2 ","")&amp;IF(F14="No","O3 ","")&amp;IF(G14="No","T1 ","")&amp;IF(H14="No","T2 ","")&amp;IF(I14="No","F1 ","")&amp;IF(J14="No","F2 ","")&amp;IF(K14="No","F3 ","")&amp;IF(L14="No","E1 ",""))</f>
        <v/>
      </c>
      <c r="AF14" s="15" t="str">
        <f aca="false">IF(AD14="Elegible",SUM(M14,N14),"")</f>
        <v/>
      </c>
      <c r="AG14" s="15" t="str">
        <f aca="false">IF(AD14="Elegible",SUM(O14,P14),"")</f>
        <v/>
      </c>
      <c r="AH14" s="15" t="str">
        <f aca="false">IF(AD14="Elegible",SUM(Q14,R14,S14,T14,U14),"")</f>
        <v/>
      </c>
      <c r="AI14" s="15" t="str">
        <f aca="false">IF(AD14="Elegible",SUM(V14,W14,X14),"")</f>
        <v/>
      </c>
      <c r="AJ14" s="15" t="str">
        <f aca="false">IF(AD14="Elegible",SUM(Y14,Z14,AA14,AB14),"")</f>
        <v/>
      </c>
      <c r="AK14" s="15" t="str">
        <f aca="false">IF(AND(AD14="Elegible",COUNT(M14:AB14)=16),SUM(M14:AB14),"")</f>
        <v/>
      </c>
      <c r="AL14" s="32" t="str">
        <f aca="false">IF(AK14="","",ROUND(SUMPRODUCT($M$8:$AB$8,M14:AB14)/(3*SUM($M$8:$AB$8))*100,1))</f>
        <v/>
      </c>
      <c r="AM14" s="30" t="str">
        <f aca="false">IF(AL14="","",IF(AL14&gt;=Parámetros!$D$41,"Alta",IF(AL14&gt;=Parámetros!$D$42,"Media","Baja")))</f>
        <v/>
      </c>
      <c r="AN14" s="15" t="str">
        <f aca="false">IF(AL14="","",AR14)</f>
        <v/>
      </c>
      <c r="AO14" s="31" t="str">
        <f aca="false">IF(A14="","",TRIM(IF(AND(I14="Sí",1_Proyectos!L14&lt;&gt;"",OR(AND(Parámetros!$D$35&lt;&gt;"",1_Proyectos!L14&lt;Parámetros!$D$35),AND(Parámetros!$D$36&lt;&gt;"",1_Proyectos!L14&gt;Parámetros!$D$36))),"F1 en Sí con monto fuera de rango. ","")&amp;IF(AND(E14="Sí",1_Proyectos!F14=""),"O2 en Sí sin fracción principal. ","")&amp;IF(AND(AD14="Elegible",COUNT(M14:AB14)&lt;16),"Elegible con calificaciones incompletas. ","")&amp;IF(AND(1_Proyectos!F14&lt;&gt;"",COUNTA(1_Proyectos!F14:I14)&gt;N(1_Proyectos!K14)),"Fracción repetida en el registro. ","")&amp;IF(AND(AD14="Elegible",R14=""),"Falta monto o costo total para calcular F5. ","")&amp;IF(AND(A14&lt;&gt;"",1_Proyectos!D14=""),"Falta tipo de proponente. ","")))</f>
        <v/>
      </c>
      <c r="AP14" s="35"/>
      <c r="AQ14" s="15" t="str">
        <f aca="false">IF(A14="","",IF(AL14&lt;&gt;"",AL14*1000000+N14*10000+O14*100+AI14-ROW()/1000,-ROW()))</f>
        <v/>
      </c>
      <c r="AR14" s="15" t="str">
        <f aca="false">IF(AQ14="","",COUNTIF($AQ$9:$AQ$58,"&gt;"&amp;AQ14)+1)</f>
        <v/>
      </c>
    </row>
    <row r="15" customFormat="false" ht="15" hidden="false" customHeight="false" outlineLevel="0" collapsed="false">
      <c r="A15" s="27" t="str">
        <f aca="false">IF(1_Proyectos!A15="","",1_Proyectos!A15)</f>
        <v/>
      </c>
      <c r="B15" s="27" t="str">
        <f aca="false">IF(1_Proyectos!B15="","",1_Proyectos!B15)</f>
        <v/>
      </c>
      <c r="C15" s="27" t="str">
        <f aca="false">IF(1_Proyectos!F15="","",1_Proyectos!F15)</f>
        <v/>
      </c>
      <c r="D15" s="34"/>
      <c r="E15" s="34"/>
      <c r="F15" s="34"/>
      <c r="G15" s="34"/>
      <c r="H15" s="34"/>
      <c r="I15" s="34"/>
      <c r="J15" s="34"/>
      <c r="K15" s="34"/>
      <c r="L15" s="34"/>
      <c r="M15" s="29" t="str">
        <f aca="false">IF(1_Proyectos!K15="","",IF(1_Proyectos!K15&gt;=Parámetros!$D$37,3,IF(1_Proyectos!K15&gt;=Parámetros!$D$38,2,1)))</f>
        <v/>
      </c>
      <c r="N15" s="34"/>
      <c r="O15" s="34"/>
      <c r="P15" s="34"/>
      <c r="Q15" s="34"/>
      <c r="R15" s="29" t="str">
        <f aca="false">IF(1_Proyectos!N15="","",IF(1_Proyectos!N15&gt;=Parámetros!$D$39,3,IF(1_Proyectos!N15&gt;=Parámetros!$D$40,2,1)))</f>
        <v/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15" t="str">
        <f aca="false">IF(A15="","",COUNTIF(D15:L15,"Sí"))</f>
        <v/>
      </c>
      <c r="AD15" s="30" t="str">
        <f aca="false">IF(A15="","",IF(COUNTIF(D15:L15,"No")&gt;0,"No elegible",IF(COUNTIF(D15:L15,"Sí")=9,"Elegible","Pendiente")))</f>
        <v/>
      </c>
      <c r="AE15" s="31" t="str">
        <f aca="false">TRIM(IF(D15="No","O1 ","")&amp;IF(E15="No","O2 ","")&amp;IF(F15="No","O3 ","")&amp;IF(G15="No","T1 ","")&amp;IF(H15="No","T2 ","")&amp;IF(I15="No","F1 ","")&amp;IF(J15="No","F2 ","")&amp;IF(K15="No","F3 ","")&amp;IF(L15="No","E1 ",""))</f>
        <v/>
      </c>
      <c r="AF15" s="15" t="str">
        <f aca="false">IF(AD15="Elegible",SUM(M15,N15),"")</f>
        <v/>
      </c>
      <c r="AG15" s="15" t="str">
        <f aca="false">IF(AD15="Elegible",SUM(O15,P15),"")</f>
        <v/>
      </c>
      <c r="AH15" s="15" t="str">
        <f aca="false">IF(AD15="Elegible",SUM(Q15,R15,S15,T15,U15),"")</f>
        <v/>
      </c>
      <c r="AI15" s="15" t="str">
        <f aca="false">IF(AD15="Elegible",SUM(V15,W15,X15),"")</f>
        <v/>
      </c>
      <c r="AJ15" s="15" t="str">
        <f aca="false">IF(AD15="Elegible",SUM(Y15,Z15,AA15,AB15),"")</f>
        <v/>
      </c>
      <c r="AK15" s="15" t="str">
        <f aca="false">IF(AND(AD15="Elegible",COUNT(M15:AB15)=16),SUM(M15:AB15),"")</f>
        <v/>
      </c>
      <c r="AL15" s="32" t="str">
        <f aca="false">IF(AK15="","",ROUND(SUMPRODUCT($M$8:$AB$8,M15:AB15)/(3*SUM($M$8:$AB$8))*100,1))</f>
        <v/>
      </c>
      <c r="AM15" s="30" t="str">
        <f aca="false">IF(AL15="","",IF(AL15&gt;=Parámetros!$D$41,"Alta",IF(AL15&gt;=Parámetros!$D$42,"Media","Baja")))</f>
        <v/>
      </c>
      <c r="AN15" s="15" t="str">
        <f aca="false">IF(AL15="","",AR15)</f>
        <v/>
      </c>
      <c r="AO15" s="31" t="str">
        <f aca="false">IF(A15="","",TRIM(IF(AND(I15="Sí",1_Proyectos!L15&lt;&gt;"",OR(AND(Parámetros!$D$35&lt;&gt;"",1_Proyectos!L15&lt;Parámetros!$D$35),AND(Parámetros!$D$36&lt;&gt;"",1_Proyectos!L15&gt;Parámetros!$D$36))),"F1 en Sí con monto fuera de rango. ","")&amp;IF(AND(E15="Sí",1_Proyectos!F15=""),"O2 en Sí sin fracción principal. ","")&amp;IF(AND(AD15="Elegible",COUNT(M15:AB15)&lt;16),"Elegible con calificaciones incompletas. ","")&amp;IF(AND(1_Proyectos!F15&lt;&gt;"",COUNTA(1_Proyectos!F15:I15)&gt;N(1_Proyectos!K15)),"Fracción repetida en el registro. ","")&amp;IF(AND(AD15="Elegible",R15=""),"Falta monto o costo total para calcular F5. ","")&amp;IF(AND(A15&lt;&gt;"",1_Proyectos!D15=""),"Falta tipo de proponente. ","")))</f>
        <v/>
      </c>
      <c r="AP15" s="35"/>
      <c r="AQ15" s="15" t="str">
        <f aca="false">IF(A15="","",IF(AL15&lt;&gt;"",AL15*1000000+N15*10000+O15*100+AI15-ROW()/1000,-ROW()))</f>
        <v/>
      </c>
      <c r="AR15" s="15" t="str">
        <f aca="false">IF(AQ15="","",COUNTIF($AQ$9:$AQ$58,"&gt;"&amp;AQ15)+1)</f>
        <v/>
      </c>
    </row>
    <row r="16" customFormat="false" ht="15" hidden="false" customHeight="false" outlineLevel="0" collapsed="false">
      <c r="A16" s="27" t="str">
        <f aca="false">IF(1_Proyectos!A16="","",1_Proyectos!A16)</f>
        <v/>
      </c>
      <c r="B16" s="27" t="str">
        <f aca="false">IF(1_Proyectos!B16="","",1_Proyectos!B16)</f>
        <v/>
      </c>
      <c r="C16" s="27" t="str">
        <f aca="false">IF(1_Proyectos!F16="","",1_Proyectos!F16)</f>
        <v/>
      </c>
      <c r="D16" s="34"/>
      <c r="E16" s="34"/>
      <c r="F16" s="34"/>
      <c r="G16" s="34"/>
      <c r="H16" s="34"/>
      <c r="I16" s="34"/>
      <c r="J16" s="34"/>
      <c r="K16" s="34"/>
      <c r="L16" s="34"/>
      <c r="M16" s="29" t="str">
        <f aca="false">IF(1_Proyectos!K16="","",IF(1_Proyectos!K16&gt;=Parámetros!$D$37,3,IF(1_Proyectos!K16&gt;=Parámetros!$D$38,2,1)))</f>
        <v/>
      </c>
      <c r="N16" s="34"/>
      <c r="O16" s="34"/>
      <c r="P16" s="34"/>
      <c r="Q16" s="34"/>
      <c r="R16" s="29" t="str">
        <f aca="false">IF(1_Proyectos!N16="","",IF(1_Proyectos!N16&gt;=Parámetros!$D$39,3,IF(1_Proyectos!N16&gt;=Parámetros!$D$40,2,1)))</f>
        <v/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15" t="str">
        <f aca="false">IF(A16="","",COUNTIF(D16:L16,"Sí"))</f>
        <v/>
      </c>
      <c r="AD16" s="30" t="str">
        <f aca="false">IF(A16="","",IF(COUNTIF(D16:L16,"No")&gt;0,"No elegible",IF(COUNTIF(D16:L16,"Sí")=9,"Elegible","Pendiente")))</f>
        <v/>
      </c>
      <c r="AE16" s="31" t="str">
        <f aca="false">TRIM(IF(D16="No","O1 ","")&amp;IF(E16="No","O2 ","")&amp;IF(F16="No","O3 ","")&amp;IF(G16="No","T1 ","")&amp;IF(H16="No","T2 ","")&amp;IF(I16="No","F1 ","")&amp;IF(J16="No","F2 ","")&amp;IF(K16="No","F3 ","")&amp;IF(L16="No","E1 ",""))</f>
        <v/>
      </c>
      <c r="AF16" s="15" t="str">
        <f aca="false">IF(AD16="Elegible",SUM(M16,N16),"")</f>
        <v/>
      </c>
      <c r="AG16" s="15" t="str">
        <f aca="false">IF(AD16="Elegible",SUM(O16,P16),"")</f>
        <v/>
      </c>
      <c r="AH16" s="15" t="str">
        <f aca="false">IF(AD16="Elegible",SUM(Q16,R16,S16,T16,U16),"")</f>
        <v/>
      </c>
      <c r="AI16" s="15" t="str">
        <f aca="false">IF(AD16="Elegible",SUM(V16,W16,X16),"")</f>
        <v/>
      </c>
      <c r="AJ16" s="15" t="str">
        <f aca="false">IF(AD16="Elegible",SUM(Y16,Z16,AA16,AB16),"")</f>
        <v/>
      </c>
      <c r="AK16" s="15" t="str">
        <f aca="false">IF(AND(AD16="Elegible",COUNT(M16:AB16)=16),SUM(M16:AB16),"")</f>
        <v/>
      </c>
      <c r="AL16" s="32" t="str">
        <f aca="false">IF(AK16="","",ROUND(SUMPRODUCT($M$8:$AB$8,M16:AB16)/(3*SUM($M$8:$AB$8))*100,1))</f>
        <v/>
      </c>
      <c r="AM16" s="30" t="str">
        <f aca="false">IF(AL16="","",IF(AL16&gt;=Parámetros!$D$41,"Alta",IF(AL16&gt;=Parámetros!$D$42,"Media","Baja")))</f>
        <v/>
      </c>
      <c r="AN16" s="15" t="str">
        <f aca="false">IF(AL16="","",AR16)</f>
        <v/>
      </c>
      <c r="AO16" s="31" t="str">
        <f aca="false">IF(A16="","",TRIM(IF(AND(I16="Sí",1_Proyectos!L16&lt;&gt;"",OR(AND(Parámetros!$D$35&lt;&gt;"",1_Proyectos!L16&lt;Parámetros!$D$35),AND(Parámetros!$D$36&lt;&gt;"",1_Proyectos!L16&gt;Parámetros!$D$36))),"F1 en Sí con monto fuera de rango. ","")&amp;IF(AND(E16="Sí",1_Proyectos!F16=""),"O2 en Sí sin fracción principal. ","")&amp;IF(AND(AD16="Elegible",COUNT(M16:AB16)&lt;16),"Elegible con calificaciones incompletas. ","")&amp;IF(AND(1_Proyectos!F16&lt;&gt;"",COUNTA(1_Proyectos!F16:I16)&gt;N(1_Proyectos!K16)),"Fracción repetida en el registro. ","")&amp;IF(AND(AD16="Elegible",R16=""),"Falta monto o costo total para calcular F5. ","")&amp;IF(AND(A16&lt;&gt;"",1_Proyectos!D16=""),"Falta tipo de proponente. ","")))</f>
        <v/>
      </c>
      <c r="AP16" s="35"/>
      <c r="AQ16" s="15" t="str">
        <f aca="false">IF(A16="","",IF(AL16&lt;&gt;"",AL16*1000000+N16*10000+O16*100+AI16-ROW()/1000,-ROW()))</f>
        <v/>
      </c>
      <c r="AR16" s="15" t="str">
        <f aca="false">IF(AQ16="","",COUNTIF($AQ$9:$AQ$58,"&gt;"&amp;AQ16)+1)</f>
        <v/>
      </c>
    </row>
    <row r="17" customFormat="false" ht="15" hidden="false" customHeight="false" outlineLevel="0" collapsed="false">
      <c r="A17" s="27" t="str">
        <f aca="false">IF(1_Proyectos!A17="","",1_Proyectos!A17)</f>
        <v/>
      </c>
      <c r="B17" s="27" t="str">
        <f aca="false">IF(1_Proyectos!B17="","",1_Proyectos!B17)</f>
        <v/>
      </c>
      <c r="C17" s="27" t="str">
        <f aca="false">IF(1_Proyectos!F17="","",1_Proyectos!F17)</f>
        <v/>
      </c>
      <c r="D17" s="34"/>
      <c r="E17" s="34"/>
      <c r="F17" s="34"/>
      <c r="G17" s="34"/>
      <c r="H17" s="34"/>
      <c r="I17" s="34"/>
      <c r="J17" s="34"/>
      <c r="K17" s="34"/>
      <c r="L17" s="34"/>
      <c r="M17" s="29" t="str">
        <f aca="false">IF(1_Proyectos!K17="","",IF(1_Proyectos!K17&gt;=Parámetros!$D$37,3,IF(1_Proyectos!K17&gt;=Parámetros!$D$38,2,1)))</f>
        <v/>
      </c>
      <c r="N17" s="34"/>
      <c r="O17" s="34"/>
      <c r="P17" s="34"/>
      <c r="Q17" s="34"/>
      <c r="R17" s="29" t="str">
        <f aca="false">IF(1_Proyectos!N17="","",IF(1_Proyectos!N17&gt;=Parámetros!$D$39,3,IF(1_Proyectos!N17&gt;=Parámetros!$D$40,2,1)))</f>
        <v/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15" t="str">
        <f aca="false">IF(A17="","",COUNTIF(D17:L17,"Sí"))</f>
        <v/>
      </c>
      <c r="AD17" s="30" t="str">
        <f aca="false">IF(A17="","",IF(COUNTIF(D17:L17,"No")&gt;0,"No elegible",IF(COUNTIF(D17:L17,"Sí")=9,"Elegible","Pendiente")))</f>
        <v/>
      </c>
      <c r="AE17" s="31" t="str">
        <f aca="false">TRIM(IF(D17="No","O1 ","")&amp;IF(E17="No","O2 ","")&amp;IF(F17="No","O3 ","")&amp;IF(G17="No","T1 ","")&amp;IF(H17="No","T2 ","")&amp;IF(I17="No","F1 ","")&amp;IF(J17="No","F2 ","")&amp;IF(K17="No","F3 ","")&amp;IF(L17="No","E1 ",""))</f>
        <v/>
      </c>
      <c r="AF17" s="15" t="str">
        <f aca="false">IF(AD17="Elegible",SUM(M17,N17),"")</f>
        <v/>
      </c>
      <c r="AG17" s="15" t="str">
        <f aca="false">IF(AD17="Elegible",SUM(O17,P17),"")</f>
        <v/>
      </c>
      <c r="AH17" s="15" t="str">
        <f aca="false">IF(AD17="Elegible",SUM(Q17,R17,S17,T17,U17),"")</f>
        <v/>
      </c>
      <c r="AI17" s="15" t="str">
        <f aca="false">IF(AD17="Elegible",SUM(V17,W17,X17),"")</f>
        <v/>
      </c>
      <c r="AJ17" s="15" t="str">
        <f aca="false">IF(AD17="Elegible",SUM(Y17,Z17,AA17,AB17),"")</f>
        <v/>
      </c>
      <c r="AK17" s="15" t="str">
        <f aca="false">IF(AND(AD17="Elegible",COUNT(M17:AB17)=16),SUM(M17:AB17),"")</f>
        <v/>
      </c>
      <c r="AL17" s="32" t="str">
        <f aca="false">IF(AK17="","",ROUND(SUMPRODUCT($M$8:$AB$8,M17:AB17)/(3*SUM($M$8:$AB$8))*100,1))</f>
        <v/>
      </c>
      <c r="AM17" s="30" t="str">
        <f aca="false">IF(AL17="","",IF(AL17&gt;=Parámetros!$D$41,"Alta",IF(AL17&gt;=Parámetros!$D$42,"Media","Baja")))</f>
        <v/>
      </c>
      <c r="AN17" s="15" t="str">
        <f aca="false">IF(AL17="","",AR17)</f>
        <v/>
      </c>
      <c r="AO17" s="31" t="str">
        <f aca="false">IF(A17="","",TRIM(IF(AND(I17="Sí",1_Proyectos!L17&lt;&gt;"",OR(AND(Parámetros!$D$35&lt;&gt;"",1_Proyectos!L17&lt;Parámetros!$D$35),AND(Parámetros!$D$36&lt;&gt;"",1_Proyectos!L17&gt;Parámetros!$D$36))),"F1 en Sí con monto fuera de rango. ","")&amp;IF(AND(E17="Sí",1_Proyectos!F17=""),"O2 en Sí sin fracción principal. ","")&amp;IF(AND(AD17="Elegible",COUNT(M17:AB17)&lt;16),"Elegible con calificaciones incompletas. ","")&amp;IF(AND(1_Proyectos!F17&lt;&gt;"",COUNTA(1_Proyectos!F17:I17)&gt;N(1_Proyectos!K17)),"Fracción repetida en el registro. ","")&amp;IF(AND(AD17="Elegible",R17=""),"Falta monto o costo total para calcular F5. ","")&amp;IF(AND(A17&lt;&gt;"",1_Proyectos!D17=""),"Falta tipo de proponente. ","")))</f>
        <v/>
      </c>
      <c r="AP17" s="35"/>
      <c r="AQ17" s="15" t="str">
        <f aca="false">IF(A17="","",IF(AL17&lt;&gt;"",AL17*1000000+N17*10000+O17*100+AI17-ROW()/1000,-ROW()))</f>
        <v/>
      </c>
      <c r="AR17" s="15" t="str">
        <f aca="false">IF(AQ17="","",COUNTIF($AQ$9:$AQ$58,"&gt;"&amp;AQ17)+1)</f>
        <v/>
      </c>
    </row>
    <row r="18" customFormat="false" ht="15" hidden="false" customHeight="false" outlineLevel="0" collapsed="false">
      <c r="A18" s="27" t="str">
        <f aca="false">IF(1_Proyectos!A18="","",1_Proyectos!A18)</f>
        <v/>
      </c>
      <c r="B18" s="27" t="str">
        <f aca="false">IF(1_Proyectos!B18="","",1_Proyectos!B18)</f>
        <v/>
      </c>
      <c r="C18" s="27" t="str">
        <f aca="false">IF(1_Proyectos!F18="","",1_Proyectos!F18)</f>
        <v/>
      </c>
      <c r="D18" s="34"/>
      <c r="E18" s="34"/>
      <c r="F18" s="34"/>
      <c r="G18" s="34"/>
      <c r="H18" s="34"/>
      <c r="I18" s="34"/>
      <c r="J18" s="34"/>
      <c r="K18" s="34"/>
      <c r="L18" s="34"/>
      <c r="M18" s="29" t="str">
        <f aca="false">IF(1_Proyectos!K18="","",IF(1_Proyectos!K18&gt;=Parámetros!$D$37,3,IF(1_Proyectos!K18&gt;=Parámetros!$D$38,2,1)))</f>
        <v/>
      </c>
      <c r="N18" s="34"/>
      <c r="O18" s="34"/>
      <c r="P18" s="34"/>
      <c r="Q18" s="34"/>
      <c r="R18" s="29" t="str">
        <f aca="false">IF(1_Proyectos!N18="","",IF(1_Proyectos!N18&gt;=Parámetros!$D$39,3,IF(1_Proyectos!N18&gt;=Parámetros!$D$40,2,1)))</f>
        <v/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15" t="str">
        <f aca="false">IF(A18="","",COUNTIF(D18:L18,"Sí"))</f>
        <v/>
      </c>
      <c r="AD18" s="30" t="str">
        <f aca="false">IF(A18="","",IF(COUNTIF(D18:L18,"No")&gt;0,"No elegible",IF(COUNTIF(D18:L18,"Sí")=9,"Elegible","Pendiente")))</f>
        <v/>
      </c>
      <c r="AE18" s="31" t="str">
        <f aca="false">TRIM(IF(D18="No","O1 ","")&amp;IF(E18="No","O2 ","")&amp;IF(F18="No","O3 ","")&amp;IF(G18="No","T1 ","")&amp;IF(H18="No","T2 ","")&amp;IF(I18="No","F1 ","")&amp;IF(J18="No","F2 ","")&amp;IF(K18="No","F3 ","")&amp;IF(L18="No","E1 ",""))</f>
        <v/>
      </c>
      <c r="AF18" s="15" t="str">
        <f aca="false">IF(AD18="Elegible",SUM(M18,N18),"")</f>
        <v/>
      </c>
      <c r="AG18" s="15" t="str">
        <f aca="false">IF(AD18="Elegible",SUM(O18,P18),"")</f>
        <v/>
      </c>
      <c r="AH18" s="15" t="str">
        <f aca="false">IF(AD18="Elegible",SUM(Q18,R18,S18,T18,U18),"")</f>
        <v/>
      </c>
      <c r="AI18" s="15" t="str">
        <f aca="false">IF(AD18="Elegible",SUM(V18,W18,X18),"")</f>
        <v/>
      </c>
      <c r="AJ18" s="15" t="str">
        <f aca="false">IF(AD18="Elegible",SUM(Y18,Z18,AA18,AB18),"")</f>
        <v/>
      </c>
      <c r="AK18" s="15" t="str">
        <f aca="false">IF(AND(AD18="Elegible",COUNT(M18:AB18)=16),SUM(M18:AB18),"")</f>
        <v/>
      </c>
      <c r="AL18" s="32" t="str">
        <f aca="false">IF(AK18="","",ROUND(SUMPRODUCT($M$8:$AB$8,M18:AB18)/(3*SUM($M$8:$AB$8))*100,1))</f>
        <v/>
      </c>
      <c r="AM18" s="30" t="str">
        <f aca="false">IF(AL18="","",IF(AL18&gt;=Parámetros!$D$41,"Alta",IF(AL18&gt;=Parámetros!$D$42,"Media","Baja")))</f>
        <v/>
      </c>
      <c r="AN18" s="15" t="str">
        <f aca="false">IF(AL18="","",AR18)</f>
        <v/>
      </c>
      <c r="AO18" s="31" t="str">
        <f aca="false">IF(A18="","",TRIM(IF(AND(I18="Sí",1_Proyectos!L18&lt;&gt;"",OR(AND(Parámetros!$D$35&lt;&gt;"",1_Proyectos!L18&lt;Parámetros!$D$35),AND(Parámetros!$D$36&lt;&gt;"",1_Proyectos!L18&gt;Parámetros!$D$36))),"F1 en Sí con monto fuera de rango. ","")&amp;IF(AND(E18="Sí",1_Proyectos!F18=""),"O2 en Sí sin fracción principal. ","")&amp;IF(AND(AD18="Elegible",COUNT(M18:AB18)&lt;16),"Elegible con calificaciones incompletas. ","")&amp;IF(AND(1_Proyectos!F18&lt;&gt;"",COUNTA(1_Proyectos!F18:I18)&gt;N(1_Proyectos!K18)),"Fracción repetida en el registro. ","")&amp;IF(AND(AD18="Elegible",R18=""),"Falta monto o costo total para calcular F5. ","")&amp;IF(AND(A18&lt;&gt;"",1_Proyectos!D18=""),"Falta tipo de proponente. ","")))</f>
        <v/>
      </c>
      <c r="AP18" s="35"/>
      <c r="AQ18" s="15" t="str">
        <f aca="false">IF(A18="","",IF(AL18&lt;&gt;"",AL18*1000000+N18*10000+O18*100+AI18-ROW()/1000,-ROW()))</f>
        <v/>
      </c>
      <c r="AR18" s="15" t="str">
        <f aca="false">IF(AQ18="","",COUNTIF($AQ$9:$AQ$58,"&gt;"&amp;AQ18)+1)</f>
        <v/>
      </c>
    </row>
    <row r="19" customFormat="false" ht="15" hidden="false" customHeight="false" outlineLevel="0" collapsed="false">
      <c r="A19" s="27" t="str">
        <f aca="false">IF(1_Proyectos!A19="","",1_Proyectos!A19)</f>
        <v/>
      </c>
      <c r="B19" s="27" t="str">
        <f aca="false">IF(1_Proyectos!B19="","",1_Proyectos!B19)</f>
        <v/>
      </c>
      <c r="C19" s="27" t="str">
        <f aca="false">IF(1_Proyectos!F19="","",1_Proyectos!F19)</f>
        <v/>
      </c>
      <c r="D19" s="34"/>
      <c r="E19" s="34"/>
      <c r="F19" s="34"/>
      <c r="G19" s="34"/>
      <c r="H19" s="34"/>
      <c r="I19" s="34"/>
      <c r="J19" s="34"/>
      <c r="K19" s="34"/>
      <c r="L19" s="34"/>
      <c r="M19" s="29" t="str">
        <f aca="false">IF(1_Proyectos!K19="","",IF(1_Proyectos!K19&gt;=Parámetros!$D$37,3,IF(1_Proyectos!K19&gt;=Parámetros!$D$38,2,1)))</f>
        <v/>
      </c>
      <c r="N19" s="34"/>
      <c r="O19" s="34"/>
      <c r="P19" s="34"/>
      <c r="Q19" s="34"/>
      <c r="R19" s="29" t="str">
        <f aca="false">IF(1_Proyectos!N19="","",IF(1_Proyectos!N19&gt;=Parámetros!$D$39,3,IF(1_Proyectos!N19&gt;=Parámetros!$D$40,2,1)))</f>
        <v/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15" t="str">
        <f aca="false">IF(A19="","",COUNTIF(D19:L19,"Sí"))</f>
        <v/>
      </c>
      <c r="AD19" s="30" t="str">
        <f aca="false">IF(A19="","",IF(COUNTIF(D19:L19,"No")&gt;0,"No elegible",IF(COUNTIF(D19:L19,"Sí")=9,"Elegible","Pendiente")))</f>
        <v/>
      </c>
      <c r="AE19" s="31" t="str">
        <f aca="false">TRIM(IF(D19="No","O1 ","")&amp;IF(E19="No","O2 ","")&amp;IF(F19="No","O3 ","")&amp;IF(G19="No","T1 ","")&amp;IF(H19="No","T2 ","")&amp;IF(I19="No","F1 ","")&amp;IF(J19="No","F2 ","")&amp;IF(K19="No","F3 ","")&amp;IF(L19="No","E1 ",""))</f>
        <v/>
      </c>
      <c r="AF19" s="15" t="str">
        <f aca="false">IF(AD19="Elegible",SUM(M19,N19),"")</f>
        <v/>
      </c>
      <c r="AG19" s="15" t="str">
        <f aca="false">IF(AD19="Elegible",SUM(O19,P19),"")</f>
        <v/>
      </c>
      <c r="AH19" s="15" t="str">
        <f aca="false">IF(AD19="Elegible",SUM(Q19,R19,S19,T19,U19),"")</f>
        <v/>
      </c>
      <c r="AI19" s="15" t="str">
        <f aca="false">IF(AD19="Elegible",SUM(V19,W19,X19),"")</f>
        <v/>
      </c>
      <c r="AJ19" s="15" t="str">
        <f aca="false">IF(AD19="Elegible",SUM(Y19,Z19,AA19,AB19),"")</f>
        <v/>
      </c>
      <c r="AK19" s="15" t="str">
        <f aca="false">IF(AND(AD19="Elegible",COUNT(M19:AB19)=16),SUM(M19:AB19),"")</f>
        <v/>
      </c>
      <c r="AL19" s="32" t="str">
        <f aca="false">IF(AK19="","",ROUND(SUMPRODUCT($M$8:$AB$8,M19:AB19)/(3*SUM($M$8:$AB$8))*100,1))</f>
        <v/>
      </c>
      <c r="AM19" s="30" t="str">
        <f aca="false">IF(AL19="","",IF(AL19&gt;=Parámetros!$D$41,"Alta",IF(AL19&gt;=Parámetros!$D$42,"Media","Baja")))</f>
        <v/>
      </c>
      <c r="AN19" s="15" t="str">
        <f aca="false">IF(AL19="","",AR19)</f>
        <v/>
      </c>
      <c r="AO19" s="31" t="str">
        <f aca="false">IF(A19="","",TRIM(IF(AND(I19="Sí",1_Proyectos!L19&lt;&gt;"",OR(AND(Parámetros!$D$35&lt;&gt;"",1_Proyectos!L19&lt;Parámetros!$D$35),AND(Parámetros!$D$36&lt;&gt;"",1_Proyectos!L19&gt;Parámetros!$D$36))),"F1 en Sí con monto fuera de rango. ","")&amp;IF(AND(E19="Sí",1_Proyectos!F19=""),"O2 en Sí sin fracción principal. ","")&amp;IF(AND(AD19="Elegible",COUNT(M19:AB19)&lt;16),"Elegible con calificaciones incompletas. ","")&amp;IF(AND(1_Proyectos!F19&lt;&gt;"",COUNTA(1_Proyectos!F19:I19)&gt;N(1_Proyectos!K19)),"Fracción repetida en el registro. ","")&amp;IF(AND(AD19="Elegible",R19=""),"Falta monto o costo total para calcular F5. ","")&amp;IF(AND(A19&lt;&gt;"",1_Proyectos!D19=""),"Falta tipo de proponente. ","")))</f>
        <v/>
      </c>
      <c r="AP19" s="35"/>
      <c r="AQ19" s="15" t="str">
        <f aca="false">IF(A19="","",IF(AL19&lt;&gt;"",AL19*1000000+N19*10000+O19*100+AI19-ROW()/1000,-ROW()))</f>
        <v/>
      </c>
      <c r="AR19" s="15" t="str">
        <f aca="false">IF(AQ19="","",COUNTIF($AQ$9:$AQ$58,"&gt;"&amp;AQ19)+1)</f>
        <v/>
      </c>
    </row>
    <row r="20" customFormat="false" ht="15" hidden="false" customHeight="false" outlineLevel="0" collapsed="false">
      <c r="A20" s="27" t="str">
        <f aca="false">IF(1_Proyectos!A20="","",1_Proyectos!A20)</f>
        <v/>
      </c>
      <c r="B20" s="27" t="str">
        <f aca="false">IF(1_Proyectos!B20="","",1_Proyectos!B20)</f>
        <v/>
      </c>
      <c r="C20" s="27" t="str">
        <f aca="false">IF(1_Proyectos!F20="","",1_Proyectos!F20)</f>
        <v/>
      </c>
      <c r="D20" s="34"/>
      <c r="E20" s="34"/>
      <c r="F20" s="34"/>
      <c r="G20" s="34"/>
      <c r="H20" s="34"/>
      <c r="I20" s="34"/>
      <c r="J20" s="34"/>
      <c r="K20" s="34"/>
      <c r="L20" s="34"/>
      <c r="M20" s="29" t="str">
        <f aca="false">IF(1_Proyectos!K20="","",IF(1_Proyectos!K20&gt;=Parámetros!$D$37,3,IF(1_Proyectos!K20&gt;=Parámetros!$D$38,2,1)))</f>
        <v/>
      </c>
      <c r="N20" s="34"/>
      <c r="O20" s="34"/>
      <c r="P20" s="34"/>
      <c r="Q20" s="34"/>
      <c r="R20" s="29" t="str">
        <f aca="false">IF(1_Proyectos!N20="","",IF(1_Proyectos!N20&gt;=Parámetros!$D$39,3,IF(1_Proyectos!N20&gt;=Parámetros!$D$40,2,1)))</f>
        <v/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15" t="str">
        <f aca="false">IF(A20="","",COUNTIF(D20:L20,"Sí"))</f>
        <v/>
      </c>
      <c r="AD20" s="30" t="str">
        <f aca="false">IF(A20="","",IF(COUNTIF(D20:L20,"No")&gt;0,"No elegible",IF(COUNTIF(D20:L20,"Sí")=9,"Elegible","Pendiente")))</f>
        <v/>
      </c>
      <c r="AE20" s="31" t="str">
        <f aca="false">TRIM(IF(D20="No","O1 ","")&amp;IF(E20="No","O2 ","")&amp;IF(F20="No","O3 ","")&amp;IF(G20="No","T1 ","")&amp;IF(H20="No","T2 ","")&amp;IF(I20="No","F1 ","")&amp;IF(J20="No","F2 ","")&amp;IF(K20="No","F3 ","")&amp;IF(L20="No","E1 ",""))</f>
        <v/>
      </c>
      <c r="AF20" s="15" t="str">
        <f aca="false">IF(AD20="Elegible",SUM(M20,N20),"")</f>
        <v/>
      </c>
      <c r="AG20" s="15" t="str">
        <f aca="false">IF(AD20="Elegible",SUM(O20,P20),"")</f>
        <v/>
      </c>
      <c r="AH20" s="15" t="str">
        <f aca="false">IF(AD20="Elegible",SUM(Q20,R20,S20,T20,U20),"")</f>
        <v/>
      </c>
      <c r="AI20" s="15" t="str">
        <f aca="false">IF(AD20="Elegible",SUM(V20,W20,X20),"")</f>
        <v/>
      </c>
      <c r="AJ20" s="15" t="str">
        <f aca="false">IF(AD20="Elegible",SUM(Y20,Z20,AA20,AB20),"")</f>
        <v/>
      </c>
      <c r="AK20" s="15" t="str">
        <f aca="false">IF(AND(AD20="Elegible",COUNT(M20:AB20)=16),SUM(M20:AB20),"")</f>
        <v/>
      </c>
      <c r="AL20" s="32" t="str">
        <f aca="false">IF(AK20="","",ROUND(SUMPRODUCT($M$8:$AB$8,M20:AB20)/(3*SUM($M$8:$AB$8))*100,1))</f>
        <v/>
      </c>
      <c r="AM20" s="30" t="str">
        <f aca="false">IF(AL20="","",IF(AL20&gt;=Parámetros!$D$41,"Alta",IF(AL20&gt;=Parámetros!$D$42,"Media","Baja")))</f>
        <v/>
      </c>
      <c r="AN20" s="15" t="str">
        <f aca="false">IF(AL20="","",AR20)</f>
        <v/>
      </c>
      <c r="AO20" s="31" t="str">
        <f aca="false">IF(A20="","",TRIM(IF(AND(I20="Sí",1_Proyectos!L20&lt;&gt;"",OR(AND(Parámetros!$D$35&lt;&gt;"",1_Proyectos!L20&lt;Parámetros!$D$35),AND(Parámetros!$D$36&lt;&gt;"",1_Proyectos!L20&gt;Parámetros!$D$36))),"F1 en Sí con monto fuera de rango. ","")&amp;IF(AND(E20="Sí",1_Proyectos!F20=""),"O2 en Sí sin fracción principal. ","")&amp;IF(AND(AD20="Elegible",COUNT(M20:AB20)&lt;16),"Elegible con calificaciones incompletas. ","")&amp;IF(AND(1_Proyectos!F20&lt;&gt;"",COUNTA(1_Proyectos!F20:I20)&gt;N(1_Proyectos!K20)),"Fracción repetida en el registro. ","")&amp;IF(AND(AD20="Elegible",R20=""),"Falta monto o costo total para calcular F5. ","")&amp;IF(AND(A20&lt;&gt;"",1_Proyectos!D20=""),"Falta tipo de proponente. ","")))</f>
        <v/>
      </c>
      <c r="AP20" s="35"/>
      <c r="AQ20" s="15" t="str">
        <f aca="false">IF(A20="","",IF(AL20&lt;&gt;"",AL20*1000000+N20*10000+O20*100+AI20-ROW()/1000,-ROW()))</f>
        <v/>
      </c>
      <c r="AR20" s="15" t="str">
        <f aca="false">IF(AQ20="","",COUNTIF($AQ$9:$AQ$58,"&gt;"&amp;AQ20)+1)</f>
        <v/>
      </c>
    </row>
    <row r="21" customFormat="false" ht="15" hidden="false" customHeight="false" outlineLevel="0" collapsed="false">
      <c r="A21" s="27" t="str">
        <f aca="false">IF(1_Proyectos!A21="","",1_Proyectos!A21)</f>
        <v/>
      </c>
      <c r="B21" s="27" t="str">
        <f aca="false">IF(1_Proyectos!B21="","",1_Proyectos!B21)</f>
        <v/>
      </c>
      <c r="C21" s="27" t="str">
        <f aca="false">IF(1_Proyectos!F21="","",1_Proyectos!F21)</f>
        <v/>
      </c>
      <c r="D21" s="34"/>
      <c r="E21" s="34"/>
      <c r="F21" s="34"/>
      <c r="G21" s="34"/>
      <c r="H21" s="34"/>
      <c r="I21" s="34"/>
      <c r="J21" s="34"/>
      <c r="K21" s="34"/>
      <c r="L21" s="34"/>
      <c r="M21" s="29" t="str">
        <f aca="false">IF(1_Proyectos!K21="","",IF(1_Proyectos!K21&gt;=Parámetros!$D$37,3,IF(1_Proyectos!K21&gt;=Parámetros!$D$38,2,1)))</f>
        <v/>
      </c>
      <c r="N21" s="34"/>
      <c r="O21" s="34"/>
      <c r="P21" s="34"/>
      <c r="Q21" s="34"/>
      <c r="R21" s="29" t="str">
        <f aca="false">IF(1_Proyectos!N21="","",IF(1_Proyectos!N21&gt;=Parámetros!$D$39,3,IF(1_Proyectos!N21&gt;=Parámetros!$D$40,2,1)))</f>
        <v/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15" t="str">
        <f aca="false">IF(A21="","",COUNTIF(D21:L21,"Sí"))</f>
        <v/>
      </c>
      <c r="AD21" s="30" t="str">
        <f aca="false">IF(A21="","",IF(COUNTIF(D21:L21,"No")&gt;0,"No elegible",IF(COUNTIF(D21:L21,"Sí")=9,"Elegible","Pendiente")))</f>
        <v/>
      </c>
      <c r="AE21" s="31" t="str">
        <f aca="false">TRIM(IF(D21="No","O1 ","")&amp;IF(E21="No","O2 ","")&amp;IF(F21="No","O3 ","")&amp;IF(G21="No","T1 ","")&amp;IF(H21="No","T2 ","")&amp;IF(I21="No","F1 ","")&amp;IF(J21="No","F2 ","")&amp;IF(K21="No","F3 ","")&amp;IF(L21="No","E1 ",""))</f>
        <v/>
      </c>
      <c r="AF21" s="15" t="str">
        <f aca="false">IF(AD21="Elegible",SUM(M21,N21),"")</f>
        <v/>
      </c>
      <c r="AG21" s="15" t="str">
        <f aca="false">IF(AD21="Elegible",SUM(O21,P21),"")</f>
        <v/>
      </c>
      <c r="AH21" s="15" t="str">
        <f aca="false">IF(AD21="Elegible",SUM(Q21,R21,S21,T21,U21),"")</f>
        <v/>
      </c>
      <c r="AI21" s="15" t="str">
        <f aca="false">IF(AD21="Elegible",SUM(V21,W21,X21),"")</f>
        <v/>
      </c>
      <c r="AJ21" s="15" t="str">
        <f aca="false">IF(AD21="Elegible",SUM(Y21,Z21,AA21,AB21),"")</f>
        <v/>
      </c>
      <c r="AK21" s="15" t="str">
        <f aca="false">IF(AND(AD21="Elegible",COUNT(M21:AB21)=16),SUM(M21:AB21),"")</f>
        <v/>
      </c>
      <c r="AL21" s="32" t="str">
        <f aca="false">IF(AK21="","",ROUND(SUMPRODUCT($M$8:$AB$8,M21:AB21)/(3*SUM($M$8:$AB$8))*100,1))</f>
        <v/>
      </c>
      <c r="AM21" s="30" t="str">
        <f aca="false">IF(AL21="","",IF(AL21&gt;=Parámetros!$D$41,"Alta",IF(AL21&gt;=Parámetros!$D$42,"Media","Baja")))</f>
        <v/>
      </c>
      <c r="AN21" s="15" t="str">
        <f aca="false">IF(AL21="","",AR21)</f>
        <v/>
      </c>
      <c r="AO21" s="31" t="str">
        <f aca="false">IF(A21="","",TRIM(IF(AND(I21="Sí",1_Proyectos!L21&lt;&gt;"",OR(AND(Parámetros!$D$35&lt;&gt;"",1_Proyectos!L21&lt;Parámetros!$D$35),AND(Parámetros!$D$36&lt;&gt;"",1_Proyectos!L21&gt;Parámetros!$D$36))),"F1 en Sí con monto fuera de rango. ","")&amp;IF(AND(E21="Sí",1_Proyectos!F21=""),"O2 en Sí sin fracción principal. ","")&amp;IF(AND(AD21="Elegible",COUNT(M21:AB21)&lt;16),"Elegible con calificaciones incompletas. ","")&amp;IF(AND(1_Proyectos!F21&lt;&gt;"",COUNTA(1_Proyectos!F21:I21)&gt;N(1_Proyectos!K21)),"Fracción repetida en el registro. ","")&amp;IF(AND(AD21="Elegible",R21=""),"Falta monto o costo total para calcular F5. ","")&amp;IF(AND(A21&lt;&gt;"",1_Proyectos!D21=""),"Falta tipo de proponente. ","")))</f>
        <v/>
      </c>
      <c r="AP21" s="35"/>
      <c r="AQ21" s="15" t="str">
        <f aca="false">IF(A21="","",IF(AL21&lt;&gt;"",AL21*1000000+N21*10000+O21*100+AI21-ROW()/1000,-ROW()))</f>
        <v/>
      </c>
      <c r="AR21" s="15" t="str">
        <f aca="false">IF(AQ21="","",COUNTIF($AQ$9:$AQ$58,"&gt;"&amp;AQ21)+1)</f>
        <v/>
      </c>
    </row>
    <row r="22" customFormat="false" ht="15" hidden="false" customHeight="false" outlineLevel="0" collapsed="false">
      <c r="A22" s="27" t="str">
        <f aca="false">IF(1_Proyectos!A22="","",1_Proyectos!A22)</f>
        <v/>
      </c>
      <c r="B22" s="27" t="str">
        <f aca="false">IF(1_Proyectos!B22="","",1_Proyectos!B22)</f>
        <v/>
      </c>
      <c r="C22" s="27" t="str">
        <f aca="false">IF(1_Proyectos!F22="","",1_Proyectos!F22)</f>
        <v/>
      </c>
      <c r="D22" s="34"/>
      <c r="E22" s="34"/>
      <c r="F22" s="34"/>
      <c r="G22" s="34"/>
      <c r="H22" s="34"/>
      <c r="I22" s="34"/>
      <c r="J22" s="34"/>
      <c r="K22" s="34"/>
      <c r="L22" s="34"/>
      <c r="M22" s="29" t="str">
        <f aca="false">IF(1_Proyectos!K22="","",IF(1_Proyectos!K22&gt;=Parámetros!$D$37,3,IF(1_Proyectos!K22&gt;=Parámetros!$D$38,2,1)))</f>
        <v/>
      </c>
      <c r="N22" s="34"/>
      <c r="O22" s="34"/>
      <c r="P22" s="34"/>
      <c r="Q22" s="34"/>
      <c r="R22" s="29" t="str">
        <f aca="false">IF(1_Proyectos!N22="","",IF(1_Proyectos!N22&gt;=Parámetros!$D$39,3,IF(1_Proyectos!N22&gt;=Parámetros!$D$40,2,1)))</f>
        <v/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15" t="str">
        <f aca="false">IF(A22="","",COUNTIF(D22:L22,"Sí"))</f>
        <v/>
      </c>
      <c r="AD22" s="30" t="str">
        <f aca="false">IF(A22="","",IF(COUNTIF(D22:L22,"No")&gt;0,"No elegible",IF(COUNTIF(D22:L22,"Sí")=9,"Elegible","Pendiente")))</f>
        <v/>
      </c>
      <c r="AE22" s="31" t="str">
        <f aca="false">TRIM(IF(D22="No","O1 ","")&amp;IF(E22="No","O2 ","")&amp;IF(F22="No","O3 ","")&amp;IF(G22="No","T1 ","")&amp;IF(H22="No","T2 ","")&amp;IF(I22="No","F1 ","")&amp;IF(J22="No","F2 ","")&amp;IF(K22="No","F3 ","")&amp;IF(L22="No","E1 ",""))</f>
        <v/>
      </c>
      <c r="AF22" s="15" t="str">
        <f aca="false">IF(AD22="Elegible",SUM(M22,N22),"")</f>
        <v/>
      </c>
      <c r="AG22" s="15" t="str">
        <f aca="false">IF(AD22="Elegible",SUM(O22,P22),"")</f>
        <v/>
      </c>
      <c r="AH22" s="15" t="str">
        <f aca="false">IF(AD22="Elegible",SUM(Q22,R22,S22,T22,U22),"")</f>
        <v/>
      </c>
      <c r="AI22" s="15" t="str">
        <f aca="false">IF(AD22="Elegible",SUM(V22,W22,X22),"")</f>
        <v/>
      </c>
      <c r="AJ22" s="15" t="str">
        <f aca="false">IF(AD22="Elegible",SUM(Y22,Z22,AA22,AB22),"")</f>
        <v/>
      </c>
      <c r="AK22" s="15" t="str">
        <f aca="false">IF(AND(AD22="Elegible",COUNT(M22:AB22)=16),SUM(M22:AB22),"")</f>
        <v/>
      </c>
      <c r="AL22" s="32" t="str">
        <f aca="false">IF(AK22="","",ROUND(SUMPRODUCT($M$8:$AB$8,M22:AB22)/(3*SUM($M$8:$AB$8))*100,1))</f>
        <v/>
      </c>
      <c r="AM22" s="30" t="str">
        <f aca="false">IF(AL22="","",IF(AL22&gt;=Parámetros!$D$41,"Alta",IF(AL22&gt;=Parámetros!$D$42,"Media","Baja")))</f>
        <v/>
      </c>
      <c r="AN22" s="15" t="str">
        <f aca="false">IF(AL22="","",AR22)</f>
        <v/>
      </c>
      <c r="AO22" s="31" t="str">
        <f aca="false">IF(A22="","",TRIM(IF(AND(I22="Sí",1_Proyectos!L22&lt;&gt;"",OR(AND(Parámetros!$D$35&lt;&gt;"",1_Proyectos!L22&lt;Parámetros!$D$35),AND(Parámetros!$D$36&lt;&gt;"",1_Proyectos!L22&gt;Parámetros!$D$36))),"F1 en Sí con monto fuera de rango. ","")&amp;IF(AND(E22="Sí",1_Proyectos!F22=""),"O2 en Sí sin fracción principal. ","")&amp;IF(AND(AD22="Elegible",COUNT(M22:AB22)&lt;16),"Elegible con calificaciones incompletas. ","")&amp;IF(AND(1_Proyectos!F22&lt;&gt;"",COUNTA(1_Proyectos!F22:I22)&gt;N(1_Proyectos!K22)),"Fracción repetida en el registro. ","")&amp;IF(AND(AD22="Elegible",R22=""),"Falta monto o costo total para calcular F5. ","")&amp;IF(AND(A22&lt;&gt;"",1_Proyectos!D22=""),"Falta tipo de proponente. ","")))</f>
        <v/>
      </c>
      <c r="AP22" s="35"/>
      <c r="AQ22" s="15" t="str">
        <f aca="false">IF(A22="","",IF(AL22&lt;&gt;"",AL22*1000000+N22*10000+O22*100+AI22-ROW()/1000,-ROW()))</f>
        <v/>
      </c>
      <c r="AR22" s="15" t="str">
        <f aca="false">IF(AQ22="","",COUNTIF($AQ$9:$AQ$58,"&gt;"&amp;AQ22)+1)</f>
        <v/>
      </c>
    </row>
    <row r="23" customFormat="false" ht="15" hidden="false" customHeight="false" outlineLevel="0" collapsed="false">
      <c r="A23" s="27" t="str">
        <f aca="false">IF(1_Proyectos!A23="","",1_Proyectos!A23)</f>
        <v/>
      </c>
      <c r="B23" s="27" t="str">
        <f aca="false">IF(1_Proyectos!B23="","",1_Proyectos!B23)</f>
        <v/>
      </c>
      <c r="C23" s="27" t="str">
        <f aca="false">IF(1_Proyectos!F23="","",1_Proyectos!F23)</f>
        <v/>
      </c>
      <c r="D23" s="34"/>
      <c r="E23" s="34"/>
      <c r="F23" s="34"/>
      <c r="G23" s="34"/>
      <c r="H23" s="34"/>
      <c r="I23" s="34"/>
      <c r="J23" s="34"/>
      <c r="K23" s="34"/>
      <c r="L23" s="34"/>
      <c r="M23" s="29" t="str">
        <f aca="false">IF(1_Proyectos!K23="","",IF(1_Proyectos!K23&gt;=Parámetros!$D$37,3,IF(1_Proyectos!K23&gt;=Parámetros!$D$38,2,1)))</f>
        <v/>
      </c>
      <c r="N23" s="34"/>
      <c r="O23" s="34"/>
      <c r="P23" s="34"/>
      <c r="Q23" s="34"/>
      <c r="R23" s="29" t="str">
        <f aca="false">IF(1_Proyectos!N23="","",IF(1_Proyectos!N23&gt;=Parámetros!$D$39,3,IF(1_Proyectos!N23&gt;=Parámetros!$D$40,2,1)))</f>
        <v/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15" t="str">
        <f aca="false">IF(A23="","",COUNTIF(D23:L23,"Sí"))</f>
        <v/>
      </c>
      <c r="AD23" s="30" t="str">
        <f aca="false">IF(A23="","",IF(COUNTIF(D23:L23,"No")&gt;0,"No elegible",IF(COUNTIF(D23:L23,"Sí")=9,"Elegible","Pendiente")))</f>
        <v/>
      </c>
      <c r="AE23" s="31" t="str">
        <f aca="false">TRIM(IF(D23="No","O1 ","")&amp;IF(E23="No","O2 ","")&amp;IF(F23="No","O3 ","")&amp;IF(G23="No","T1 ","")&amp;IF(H23="No","T2 ","")&amp;IF(I23="No","F1 ","")&amp;IF(J23="No","F2 ","")&amp;IF(K23="No","F3 ","")&amp;IF(L23="No","E1 ",""))</f>
        <v/>
      </c>
      <c r="AF23" s="15" t="str">
        <f aca="false">IF(AD23="Elegible",SUM(M23,N23),"")</f>
        <v/>
      </c>
      <c r="AG23" s="15" t="str">
        <f aca="false">IF(AD23="Elegible",SUM(O23,P23),"")</f>
        <v/>
      </c>
      <c r="AH23" s="15" t="str">
        <f aca="false">IF(AD23="Elegible",SUM(Q23,R23,S23,T23,U23),"")</f>
        <v/>
      </c>
      <c r="AI23" s="15" t="str">
        <f aca="false">IF(AD23="Elegible",SUM(V23,W23,X23),"")</f>
        <v/>
      </c>
      <c r="AJ23" s="15" t="str">
        <f aca="false">IF(AD23="Elegible",SUM(Y23,Z23,AA23,AB23),"")</f>
        <v/>
      </c>
      <c r="AK23" s="15" t="str">
        <f aca="false">IF(AND(AD23="Elegible",COUNT(M23:AB23)=16),SUM(M23:AB23),"")</f>
        <v/>
      </c>
      <c r="AL23" s="32" t="str">
        <f aca="false">IF(AK23="","",ROUND(SUMPRODUCT($M$8:$AB$8,M23:AB23)/(3*SUM($M$8:$AB$8))*100,1))</f>
        <v/>
      </c>
      <c r="AM23" s="30" t="str">
        <f aca="false">IF(AL23="","",IF(AL23&gt;=Parámetros!$D$41,"Alta",IF(AL23&gt;=Parámetros!$D$42,"Media","Baja")))</f>
        <v/>
      </c>
      <c r="AN23" s="15" t="str">
        <f aca="false">IF(AL23="","",AR23)</f>
        <v/>
      </c>
      <c r="AO23" s="31" t="str">
        <f aca="false">IF(A23="","",TRIM(IF(AND(I23="Sí",1_Proyectos!L23&lt;&gt;"",OR(AND(Parámetros!$D$35&lt;&gt;"",1_Proyectos!L23&lt;Parámetros!$D$35),AND(Parámetros!$D$36&lt;&gt;"",1_Proyectos!L23&gt;Parámetros!$D$36))),"F1 en Sí con monto fuera de rango. ","")&amp;IF(AND(E23="Sí",1_Proyectos!F23=""),"O2 en Sí sin fracción principal. ","")&amp;IF(AND(AD23="Elegible",COUNT(M23:AB23)&lt;16),"Elegible con calificaciones incompletas. ","")&amp;IF(AND(1_Proyectos!F23&lt;&gt;"",COUNTA(1_Proyectos!F23:I23)&gt;N(1_Proyectos!K23)),"Fracción repetida en el registro. ","")&amp;IF(AND(AD23="Elegible",R23=""),"Falta monto o costo total para calcular F5. ","")&amp;IF(AND(A23&lt;&gt;"",1_Proyectos!D23=""),"Falta tipo de proponente. ","")))</f>
        <v/>
      </c>
      <c r="AP23" s="35"/>
      <c r="AQ23" s="15" t="str">
        <f aca="false">IF(A23="","",IF(AL23&lt;&gt;"",AL23*1000000+N23*10000+O23*100+AI23-ROW()/1000,-ROW()))</f>
        <v/>
      </c>
      <c r="AR23" s="15" t="str">
        <f aca="false">IF(AQ23="","",COUNTIF($AQ$9:$AQ$58,"&gt;"&amp;AQ23)+1)</f>
        <v/>
      </c>
    </row>
    <row r="24" customFormat="false" ht="15" hidden="false" customHeight="false" outlineLevel="0" collapsed="false">
      <c r="A24" s="27" t="str">
        <f aca="false">IF(1_Proyectos!A24="","",1_Proyectos!A24)</f>
        <v/>
      </c>
      <c r="B24" s="27" t="str">
        <f aca="false">IF(1_Proyectos!B24="","",1_Proyectos!B24)</f>
        <v/>
      </c>
      <c r="C24" s="27" t="str">
        <f aca="false">IF(1_Proyectos!F24="","",1_Proyectos!F24)</f>
        <v/>
      </c>
      <c r="D24" s="34"/>
      <c r="E24" s="34"/>
      <c r="F24" s="34"/>
      <c r="G24" s="34"/>
      <c r="H24" s="34"/>
      <c r="I24" s="34"/>
      <c r="J24" s="34"/>
      <c r="K24" s="34"/>
      <c r="L24" s="34"/>
      <c r="M24" s="29" t="str">
        <f aca="false">IF(1_Proyectos!K24="","",IF(1_Proyectos!K24&gt;=Parámetros!$D$37,3,IF(1_Proyectos!K24&gt;=Parámetros!$D$38,2,1)))</f>
        <v/>
      </c>
      <c r="N24" s="34"/>
      <c r="O24" s="34"/>
      <c r="P24" s="34"/>
      <c r="Q24" s="34"/>
      <c r="R24" s="29" t="str">
        <f aca="false">IF(1_Proyectos!N24="","",IF(1_Proyectos!N24&gt;=Parámetros!$D$39,3,IF(1_Proyectos!N24&gt;=Parámetros!$D$40,2,1)))</f>
        <v/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15" t="str">
        <f aca="false">IF(A24="","",COUNTIF(D24:L24,"Sí"))</f>
        <v/>
      </c>
      <c r="AD24" s="30" t="str">
        <f aca="false">IF(A24="","",IF(COUNTIF(D24:L24,"No")&gt;0,"No elegible",IF(COUNTIF(D24:L24,"Sí")=9,"Elegible","Pendiente")))</f>
        <v/>
      </c>
      <c r="AE24" s="31" t="str">
        <f aca="false">TRIM(IF(D24="No","O1 ","")&amp;IF(E24="No","O2 ","")&amp;IF(F24="No","O3 ","")&amp;IF(G24="No","T1 ","")&amp;IF(H24="No","T2 ","")&amp;IF(I24="No","F1 ","")&amp;IF(J24="No","F2 ","")&amp;IF(K24="No","F3 ","")&amp;IF(L24="No","E1 ",""))</f>
        <v/>
      </c>
      <c r="AF24" s="15" t="str">
        <f aca="false">IF(AD24="Elegible",SUM(M24,N24),"")</f>
        <v/>
      </c>
      <c r="AG24" s="15" t="str">
        <f aca="false">IF(AD24="Elegible",SUM(O24,P24),"")</f>
        <v/>
      </c>
      <c r="AH24" s="15" t="str">
        <f aca="false">IF(AD24="Elegible",SUM(Q24,R24,S24,T24,U24),"")</f>
        <v/>
      </c>
      <c r="AI24" s="15" t="str">
        <f aca="false">IF(AD24="Elegible",SUM(V24,W24,X24),"")</f>
        <v/>
      </c>
      <c r="AJ24" s="15" t="str">
        <f aca="false">IF(AD24="Elegible",SUM(Y24,Z24,AA24,AB24),"")</f>
        <v/>
      </c>
      <c r="AK24" s="15" t="str">
        <f aca="false">IF(AND(AD24="Elegible",COUNT(M24:AB24)=16),SUM(M24:AB24),"")</f>
        <v/>
      </c>
      <c r="AL24" s="32" t="str">
        <f aca="false">IF(AK24="","",ROUND(SUMPRODUCT($M$8:$AB$8,M24:AB24)/(3*SUM($M$8:$AB$8))*100,1))</f>
        <v/>
      </c>
      <c r="AM24" s="30" t="str">
        <f aca="false">IF(AL24="","",IF(AL24&gt;=Parámetros!$D$41,"Alta",IF(AL24&gt;=Parámetros!$D$42,"Media","Baja")))</f>
        <v/>
      </c>
      <c r="AN24" s="15" t="str">
        <f aca="false">IF(AL24="","",AR24)</f>
        <v/>
      </c>
      <c r="AO24" s="31" t="str">
        <f aca="false">IF(A24="","",TRIM(IF(AND(I24="Sí",1_Proyectos!L24&lt;&gt;"",OR(AND(Parámetros!$D$35&lt;&gt;"",1_Proyectos!L24&lt;Parámetros!$D$35),AND(Parámetros!$D$36&lt;&gt;"",1_Proyectos!L24&gt;Parámetros!$D$36))),"F1 en Sí con monto fuera de rango. ","")&amp;IF(AND(E24="Sí",1_Proyectos!F24=""),"O2 en Sí sin fracción principal. ","")&amp;IF(AND(AD24="Elegible",COUNT(M24:AB24)&lt;16),"Elegible con calificaciones incompletas. ","")&amp;IF(AND(1_Proyectos!F24&lt;&gt;"",COUNTA(1_Proyectos!F24:I24)&gt;N(1_Proyectos!K24)),"Fracción repetida en el registro. ","")&amp;IF(AND(AD24="Elegible",R24=""),"Falta monto o costo total para calcular F5. ","")&amp;IF(AND(A24&lt;&gt;"",1_Proyectos!D24=""),"Falta tipo de proponente. ","")))</f>
        <v/>
      </c>
      <c r="AP24" s="35"/>
      <c r="AQ24" s="15" t="str">
        <f aca="false">IF(A24="","",IF(AL24&lt;&gt;"",AL24*1000000+N24*10000+O24*100+AI24-ROW()/1000,-ROW()))</f>
        <v/>
      </c>
      <c r="AR24" s="15" t="str">
        <f aca="false">IF(AQ24="","",COUNTIF($AQ$9:$AQ$58,"&gt;"&amp;AQ24)+1)</f>
        <v/>
      </c>
    </row>
    <row r="25" customFormat="false" ht="15" hidden="false" customHeight="false" outlineLevel="0" collapsed="false">
      <c r="A25" s="27" t="str">
        <f aca="false">IF(1_Proyectos!A25="","",1_Proyectos!A25)</f>
        <v/>
      </c>
      <c r="B25" s="27" t="str">
        <f aca="false">IF(1_Proyectos!B25="","",1_Proyectos!B25)</f>
        <v/>
      </c>
      <c r="C25" s="27" t="str">
        <f aca="false">IF(1_Proyectos!F25="","",1_Proyectos!F25)</f>
        <v/>
      </c>
      <c r="D25" s="34"/>
      <c r="E25" s="34"/>
      <c r="F25" s="34"/>
      <c r="G25" s="34"/>
      <c r="H25" s="34"/>
      <c r="I25" s="34"/>
      <c r="J25" s="34"/>
      <c r="K25" s="34"/>
      <c r="L25" s="34"/>
      <c r="M25" s="29" t="str">
        <f aca="false">IF(1_Proyectos!K25="","",IF(1_Proyectos!K25&gt;=Parámetros!$D$37,3,IF(1_Proyectos!K25&gt;=Parámetros!$D$38,2,1)))</f>
        <v/>
      </c>
      <c r="N25" s="34"/>
      <c r="O25" s="34"/>
      <c r="P25" s="34"/>
      <c r="Q25" s="34"/>
      <c r="R25" s="29" t="str">
        <f aca="false">IF(1_Proyectos!N25="","",IF(1_Proyectos!N25&gt;=Parámetros!$D$39,3,IF(1_Proyectos!N25&gt;=Parámetros!$D$40,2,1)))</f>
        <v/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15" t="str">
        <f aca="false">IF(A25="","",COUNTIF(D25:L25,"Sí"))</f>
        <v/>
      </c>
      <c r="AD25" s="30" t="str">
        <f aca="false">IF(A25="","",IF(COUNTIF(D25:L25,"No")&gt;0,"No elegible",IF(COUNTIF(D25:L25,"Sí")=9,"Elegible","Pendiente")))</f>
        <v/>
      </c>
      <c r="AE25" s="31" t="str">
        <f aca="false">TRIM(IF(D25="No","O1 ","")&amp;IF(E25="No","O2 ","")&amp;IF(F25="No","O3 ","")&amp;IF(G25="No","T1 ","")&amp;IF(H25="No","T2 ","")&amp;IF(I25="No","F1 ","")&amp;IF(J25="No","F2 ","")&amp;IF(K25="No","F3 ","")&amp;IF(L25="No","E1 ",""))</f>
        <v/>
      </c>
      <c r="AF25" s="15" t="str">
        <f aca="false">IF(AD25="Elegible",SUM(M25,N25),"")</f>
        <v/>
      </c>
      <c r="AG25" s="15" t="str">
        <f aca="false">IF(AD25="Elegible",SUM(O25,P25),"")</f>
        <v/>
      </c>
      <c r="AH25" s="15" t="str">
        <f aca="false">IF(AD25="Elegible",SUM(Q25,R25,S25,T25,U25),"")</f>
        <v/>
      </c>
      <c r="AI25" s="15" t="str">
        <f aca="false">IF(AD25="Elegible",SUM(V25,W25,X25),"")</f>
        <v/>
      </c>
      <c r="AJ25" s="15" t="str">
        <f aca="false">IF(AD25="Elegible",SUM(Y25,Z25,AA25,AB25),"")</f>
        <v/>
      </c>
      <c r="AK25" s="15" t="str">
        <f aca="false">IF(AND(AD25="Elegible",COUNT(M25:AB25)=16),SUM(M25:AB25),"")</f>
        <v/>
      </c>
      <c r="AL25" s="32" t="str">
        <f aca="false">IF(AK25="","",ROUND(SUMPRODUCT($M$8:$AB$8,M25:AB25)/(3*SUM($M$8:$AB$8))*100,1))</f>
        <v/>
      </c>
      <c r="AM25" s="30" t="str">
        <f aca="false">IF(AL25="","",IF(AL25&gt;=Parámetros!$D$41,"Alta",IF(AL25&gt;=Parámetros!$D$42,"Media","Baja")))</f>
        <v/>
      </c>
      <c r="AN25" s="15" t="str">
        <f aca="false">IF(AL25="","",AR25)</f>
        <v/>
      </c>
      <c r="AO25" s="31" t="str">
        <f aca="false">IF(A25="","",TRIM(IF(AND(I25="Sí",1_Proyectos!L25&lt;&gt;"",OR(AND(Parámetros!$D$35&lt;&gt;"",1_Proyectos!L25&lt;Parámetros!$D$35),AND(Parámetros!$D$36&lt;&gt;"",1_Proyectos!L25&gt;Parámetros!$D$36))),"F1 en Sí con monto fuera de rango. ","")&amp;IF(AND(E25="Sí",1_Proyectos!F25=""),"O2 en Sí sin fracción principal. ","")&amp;IF(AND(AD25="Elegible",COUNT(M25:AB25)&lt;16),"Elegible con calificaciones incompletas. ","")&amp;IF(AND(1_Proyectos!F25&lt;&gt;"",COUNTA(1_Proyectos!F25:I25)&gt;N(1_Proyectos!K25)),"Fracción repetida en el registro. ","")&amp;IF(AND(AD25="Elegible",R25=""),"Falta monto o costo total para calcular F5. ","")&amp;IF(AND(A25&lt;&gt;"",1_Proyectos!D25=""),"Falta tipo de proponente. ","")))</f>
        <v/>
      </c>
      <c r="AP25" s="35"/>
      <c r="AQ25" s="15" t="str">
        <f aca="false">IF(A25="","",IF(AL25&lt;&gt;"",AL25*1000000+N25*10000+O25*100+AI25-ROW()/1000,-ROW()))</f>
        <v/>
      </c>
      <c r="AR25" s="15" t="str">
        <f aca="false">IF(AQ25="","",COUNTIF($AQ$9:$AQ$58,"&gt;"&amp;AQ25)+1)</f>
        <v/>
      </c>
    </row>
    <row r="26" customFormat="false" ht="15" hidden="false" customHeight="false" outlineLevel="0" collapsed="false">
      <c r="A26" s="27" t="str">
        <f aca="false">IF(1_Proyectos!A26="","",1_Proyectos!A26)</f>
        <v/>
      </c>
      <c r="B26" s="27" t="str">
        <f aca="false">IF(1_Proyectos!B26="","",1_Proyectos!B26)</f>
        <v/>
      </c>
      <c r="C26" s="27" t="str">
        <f aca="false">IF(1_Proyectos!F26="","",1_Proyectos!F26)</f>
        <v/>
      </c>
      <c r="D26" s="34"/>
      <c r="E26" s="34"/>
      <c r="F26" s="34"/>
      <c r="G26" s="34"/>
      <c r="H26" s="34"/>
      <c r="I26" s="34"/>
      <c r="J26" s="34"/>
      <c r="K26" s="34"/>
      <c r="L26" s="34"/>
      <c r="M26" s="29" t="str">
        <f aca="false">IF(1_Proyectos!K26="","",IF(1_Proyectos!K26&gt;=Parámetros!$D$37,3,IF(1_Proyectos!K26&gt;=Parámetros!$D$38,2,1)))</f>
        <v/>
      </c>
      <c r="N26" s="34"/>
      <c r="O26" s="34"/>
      <c r="P26" s="34"/>
      <c r="Q26" s="34"/>
      <c r="R26" s="29" t="str">
        <f aca="false">IF(1_Proyectos!N26="","",IF(1_Proyectos!N26&gt;=Parámetros!$D$39,3,IF(1_Proyectos!N26&gt;=Parámetros!$D$40,2,1)))</f>
        <v/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15" t="str">
        <f aca="false">IF(A26="","",COUNTIF(D26:L26,"Sí"))</f>
        <v/>
      </c>
      <c r="AD26" s="30" t="str">
        <f aca="false">IF(A26="","",IF(COUNTIF(D26:L26,"No")&gt;0,"No elegible",IF(COUNTIF(D26:L26,"Sí")=9,"Elegible","Pendiente")))</f>
        <v/>
      </c>
      <c r="AE26" s="31" t="str">
        <f aca="false">TRIM(IF(D26="No","O1 ","")&amp;IF(E26="No","O2 ","")&amp;IF(F26="No","O3 ","")&amp;IF(G26="No","T1 ","")&amp;IF(H26="No","T2 ","")&amp;IF(I26="No","F1 ","")&amp;IF(J26="No","F2 ","")&amp;IF(K26="No","F3 ","")&amp;IF(L26="No","E1 ",""))</f>
        <v/>
      </c>
      <c r="AF26" s="15" t="str">
        <f aca="false">IF(AD26="Elegible",SUM(M26,N26),"")</f>
        <v/>
      </c>
      <c r="AG26" s="15" t="str">
        <f aca="false">IF(AD26="Elegible",SUM(O26,P26),"")</f>
        <v/>
      </c>
      <c r="AH26" s="15" t="str">
        <f aca="false">IF(AD26="Elegible",SUM(Q26,R26,S26,T26,U26),"")</f>
        <v/>
      </c>
      <c r="AI26" s="15" t="str">
        <f aca="false">IF(AD26="Elegible",SUM(V26,W26,X26),"")</f>
        <v/>
      </c>
      <c r="AJ26" s="15" t="str">
        <f aca="false">IF(AD26="Elegible",SUM(Y26,Z26,AA26,AB26),"")</f>
        <v/>
      </c>
      <c r="AK26" s="15" t="str">
        <f aca="false">IF(AND(AD26="Elegible",COUNT(M26:AB26)=16),SUM(M26:AB26),"")</f>
        <v/>
      </c>
      <c r="AL26" s="32" t="str">
        <f aca="false">IF(AK26="","",ROUND(SUMPRODUCT($M$8:$AB$8,M26:AB26)/(3*SUM($M$8:$AB$8))*100,1))</f>
        <v/>
      </c>
      <c r="AM26" s="30" t="str">
        <f aca="false">IF(AL26="","",IF(AL26&gt;=Parámetros!$D$41,"Alta",IF(AL26&gt;=Parámetros!$D$42,"Media","Baja")))</f>
        <v/>
      </c>
      <c r="AN26" s="15" t="str">
        <f aca="false">IF(AL26="","",AR26)</f>
        <v/>
      </c>
      <c r="AO26" s="31" t="str">
        <f aca="false">IF(A26="","",TRIM(IF(AND(I26="Sí",1_Proyectos!L26&lt;&gt;"",OR(AND(Parámetros!$D$35&lt;&gt;"",1_Proyectos!L26&lt;Parámetros!$D$35),AND(Parámetros!$D$36&lt;&gt;"",1_Proyectos!L26&gt;Parámetros!$D$36))),"F1 en Sí con monto fuera de rango. ","")&amp;IF(AND(E26="Sí",1_Proyectos!F26=""),"O2 en Sí sin fracción principal. ","")&amp;IF(AND(AD26="Elegible",COUNT(M26:AB26)&lt;16),"Elegible con calificaciones incompletas. ","")&amp;IF(AND(1_Proyectos!F26&lt;&gt;"",COUNTA(1_Proyectos!F26:I26)&gt;N(1_Proyectos!K26)),"Fracción repetida en el registro. ","")&amp;IF(AND(AD26="Elegible",R26=""),"Falta monto o costo total para calcular F5. ","")&amp;IF(AND(A26&lt;&gt;"",1_Proyectos!D26=""),"Falta tipo de proponente. ","")))</f>
        <v/>
      </c>
      <c r="AP26" s="35"/>
      <c r="AQ26" s="15" t="str">
        <f aca="false">IF(A26="","",IF(AL26&lt;&gt;"",AL26*1000000+N26*10000+O26*100+AI26-ROW()/1000,-ROW()))</f>
        <v/>
      </c>
      <c r="AR26" s="15" t="str">
        <f aca="false">IF(AQ26="","",COUNTIF($AQ$9:$AQ$58,"&gt;"&amp;AQ26)+1)</f>
        <v/>
      </c>
    </row>
    <row r="27" customFormat="false" ht="15" hidden="false" customHeight="false" outlineLevel="0" collapsed="false">
      <c r="A27" s="27" t="str">
        <f aca="false">IF(1_Proyectos!A27="","",1_Proyectos!A27)</f>
        <v/>
      </c>
      <c r="B27" s="27" t="str">
        <f aca="false">IF(1_Proyectos!B27="","",1_Proyectos!B27)</f>
        <v/>
      </c>
      <c r="C27" s="27" t="str">
        <f aca="false">IF(1_Proyectos!F27="","",1_Proyectos!F27)</f>
        <v/>
      </c>
      <c r="D27" s="34"/>
      <c r="E27" s="34"/>
      <c r="F27" s="34"/>
      <c r="G27" s="34"/>
      <c r="H27" s="34"/>
      <c r="I27" s="34"/>
      <c r="J27" s="34"/>
      <c r="K27" s="34"/>
      <c r="L27" s="34"/>
      <c r="M27" s="29" t="str">
        <f aca="false">IF(1_Proyectos!K27="","",IF(1_Proyectos!K27&gt;=Parámetros!$D$37,3,IF(1_Proyectos!K27&gt;=Parámetros!$D$38,2,1)))</f>
        <v/>
      </c>
      <c r="N27" s="34"/>
      <c r="O27" s="34"/>
      <c r="P27" s="34"/>
      <c r="Q27" s="34"/>
      <c r="R27" s="29" t="str">
        <f aca="false">IF(1_Proyectos!N27="","",IF(1_Proyectos!N27&gt;=Parámetros!$D$39,3,IF(1_Proyectos!N27&gt;=Parámetros!$D$40,2,1)))</f>
        <v/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15" t="str">
        <f aca="false">IF(A27="","",COUNTIF(D27:L27,"Sí"))</f>
        <v/>
      </c>
      <c r="AD27" s="30" t="str">
        <f aca="false">IF(A27="","",IF(COUNTIF(D27:L27,"No")&gt;0,"No elegible",IF(COUNTIF(D27:L27,"Sí")=9,"Elegible","Pendiente")))</f>
        <v/>
      </c>
      <c r="AE27" s="31" t="str">
        <f aca="false">TRIM(IF(D27="No","O1 ","")&amp;IF(E27="No","O2 ","")&amp;IF(F27="No","O3 ","")&amp;IF(G27="No","T1 ","")&amp;IF(H27="No","T2 ","")&amp;IF(I27="No","F1 ","")&amp;IF(J27="No","F2 ","")&amp;IF(K27="No","F3 ","")&amp;IF(L27="No","E1 ",""))</f>
        <v/>
      </c>
      <c r="AF27" s="15" t="str">
        <f aca="false">IF(AD27="Elegible",SUM(M27,N27),"")</f>
        <v/>
      </c>
      <c r="AG27" s="15" t="str">
        <f aca="false">IF(AD27="Elegible",SUM(O27,P27),"")</f>
        <v/>
      </c>
      <c r="AH27" s="15" t="str">
        <f aca="false">IF(AD27="Elegible",SUM(Q27,R27,S27,T27,U27),"")</f>
        <v/>
      </c>
      <c r="AI27" s="15" t="str">
        <f aca="false">IF(AD27="Elegible",SUM(V27,W27,X27),"")</f>
        <v/>
      </c>
      <c r="AJ27" s="15" t="str">
        <f aca="false">IF(AD27="Elegible",SUM(Y27,Z27,AA27,AB27),"")</f>
        <v/>
      </c>
      <c r="AK27" s="15" t="str">
        <f aca="false">IF(AND(AD27="Elegible",COUNT(M27:AB27)=16),SUM(M27:AB27),"")</f>
        <v/>
      </c>
      <c r="AL27" s="32" t="str">
        <f aca="false">IF(AK27="","",ROUND(SUMPRODUCT($M$8:$AB$8,M27:AB27)/(3*SUM($M$8:$AB$8))*100,1))</f>
        <v/>
      </c>
      <c r="AM27" s="30" t="str">
        <f aca="false">IF(AL27="","",IF(AL27&gt;=Parámetros!$D$41,"Alta",IF(AL27&gt;=Parámetros!$D$42,"Media","Baja")))</f>
        <v/>
      </c>
      <c r="AN27" s="15" t="str">
        <f aca="false">IF(AL27="","",AR27)</f>
        <v/>
      </c>
      <c r="AO27" s="31" t="str">
        <f aca="false">IF(A27="","",TRIM(IF(AND(I27="Sí",1_Proyectos!L27&lt;&gt;"",OR(AND(Parámetros!$D$35&lt;&gt;"",1_Proyectos!L27&lt;Parámetros!$D$35),AND(Parámetros!$D$36&lt;&gt;"",1_Proyectos!L27&gt;Parámetros!$D$36))),"F1 en Sí con monto fuera de rango. ","")&amp;IF(AND(E27="Sí",1_Proyectos!F27=""),"O2 en Sí sin fracción principal. ","")&amp;IF(AND(AD27="Elegible",COUNT(M27:AB27)&lt;16),"Elegible con calificaciones incompletas. ","")&amp;IF(AND(1_Proyectos!F27&lt;&gt;"",COUNTA(1_Proyectos!F27:I27)&gt;N(1_Proyectos!K27)),"Fracción repetida en el registro. ","")&amp;IF(AND(AD27="Elegible",R27=""),"Falta monto o costo total para calcular F5. ","")&amp;IF(AND(A27&lt;&gt;"",1_Proyectos!D27=""),"Falta tipo de proponente. ","")))</f>
        <v/>
      </c>
      <c r="AP27" s="35"/>
      <c r="AQ27" s="15" t="str">
        <f aca="false">IF(A27="","",IF(AL27&lt;&gt;"",AL27*1000000+N27*10000+O27*100+AI27-ROW()/1000,-ROW()))</f>
        <v/>
      </c>
      <c r="AR27" s="15" t="str">
        <f aca="false">IF(AQ27="","",COUNTIF($AQ$9:$AQ$58,"&gt;"&amp;AQ27)+1)</f>
        <v/>
      </c>
    </row>
    <row r="28" customFormat="false" ht="15" hidden="false" customHeight="false" outlineLevel="0" collapsed="false">
      <c r="A28" s="27" t="str">
        <f aca="false">IF(1_Proyectos!A28="","",1_Proyectos!A28)</f>
        <v/>
      </c>
      <c r="B28" s="27" t="str">
        <f aca="false">IF(1_Proyectos!B28="","",1_Proyectos!B28)</f>
        <v/>
      </c>
      <c r="C28" s="27" t="str">
        <f aca="false">IF(1_Proyectos!F28="","",1_Proyectos!F28)</f>
        <v/>
      </c>
      <c r="D28" s="34"/>
      <c r="E28" s="34"/>
      <c r="F28" s="34"/>
      <c r="G28" s="34"/>
      <c r="H28" s="34"/>
      <c r="I28" s="34"/>
      <c r="J28" s="34"/>
      <c r="K28" s="34"/>
      <c r="L28" s="34"/>
      <c r="M28" s="29" t="str">
        <f aca="false">IF(1_Proyectos!K28="","",IF(1_Proyectos!K28&gt;=Parámetros!$D$37,3,IF(1_Proyectos!K28&gt;=Parámetros!$D$38,2,1)))</f>
        <v/>
      </c>
      <c r="N28" s="34"/>
      <c r="O28" s="34"/>
      <c r="P28" s="34"/>
      <c r="Q28" s="34"/>
      <c r="R28" s="29" t="str">
        <f aca="false">IF(1_Proyectos!N28="","",IF(1_Proyectos!N28&gt;=Parámetros!$D$39,3,IF(1_Proyectos!N28&gt;=Parámetros!$D$40,2,1)))</f>
        <v/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15" t="str">
        <f aca="false">IF(A28="","",COUNTIF(D28:L28,"Sí"))</f>
        <v/>
      </c>
      <c r="AD28" s="30" t="str">
        <f aca="false">IF(A28="","",IF(COUNTIF(D28:L28,"No")&gt;0,"No elegible",IF(COUNTIF(D28:L28,"Sí")=9,"Elegible","Pendiente")))</f>
        <v/>
      </c>
      <c r="AE28" s="31" t="str">
        <f aca="false">TRIM(IF(D28="No","O1 ","")&amp;IF(E28="No","O2 ","")&amp;IF(F28="No","O3 ","")&amp;IF(G28="No","T1 ","")&amp;IF(H28="No","T2 ","")&amp;IF(I28="No","F1 ","")&amp;IF(J28="No","F2 ","")&amp;IF(K28="No","F3 ","")&amp;IF(L28="No","E1 ",""))</f>
        <v/>
      </c>
      <c r="AF28" s="15" t="str">
        <f aca="false">IF(AD28="Elegible",SUM(M28,N28),"")</f>
        <v/>
      </c>
      <c r="AG28" s="15" t="str">
        <f aca="false">IF(AD28="Elegible",SUM(O28,P28),"")</f>
        <v/>
      </c>
      <c r="AH28" s="15" t="str">
        <f aca="false">IF(AD28="Elegible",SUM(Q28,R28,S28,T28,U28),"")</f>
        <v/>
      </c>
      <c r="AI28" s="15" t="str">
        <f aca="false">IF(AD28="Elegible",SUM(V28,W28,X28),"")</f>
        <v/>
      </c>
      <c r="AJ28" s="15" t="str">
        <f aca="false">IF(AD28="Elegible",SUM(Y28,Z28,AA28,AB28),"")</f>
        <v/>
      </c>
      <c r="AK28" s="15" t="str">
        <f aca="false">IF(AND(AD28="Elegible",COUNT(M28:AB28)=16),SUM(M28:AB28),"")</f>
        <v/>
      </c>
      <c r="AL28" s="32" t="str">
        <f aca="false">IF(AK28="","",ROUND(SUMPRODUCT($M$8:$AB$8,M28:AB28)/(3*SUM($M$8:$AB$8))*100,1))</f>
        <v/>
      </c>
      <c r="AM28" s="30" t="str">
        <f aca="false">IF(AL28="","",IF(AL28&gt;=Parámetros!$D$41,"Alta",IF(AL28&gt;=Parámetros!$D$42,"Media","Baja")))</f>
        <v/>
      </c>
      <c r="AN28" s="15" t="str">
        <f aca="false">IF(AL28="","",AR28)</f>
        <v/>
      </c>
      <c r="AO28" s="31" t="str">
        <f aca="false">IF(A28="","",TRIM(IF(AND(I28="Sí",1_Proyectos!L28&lt;&gt;"",OR(AND(Parámetros!$D$35&lt;&gt;"",1_Proyectos!L28&lt;Parámetros!$D$35),AND(Parámetros!$D$36&lt;&gt;"",1_Proyectos!L28&gt;Parámetros!$D$36))),"F1 en Sí con monto fuera de rango. ","")&amp;IF(AND(E28="Sí",1_Proyectos!F28=""),"O2 en Sí sin fracción principal. ","")&amp;IF(AND(AD28="Elegible",COUNT(M28:AB28)&lt;16),"Elegible con calificaciones incompletas. ","")&amp;IF(AND(1_Proyectos!F28&lt;&gt;"",COUNTA(1_Proyectos!F28:I28)&gt;N(1_Proyectos!K28)),"Fracción repetida en el registro. ","")&amp;IF(AND(AD28="Elegible",R28=""),"Falta monto o costo total para calcular F5. ","")&amp;IF(AND(A28&lt;&gt;"",1_Proyectos!D28=""),"Falta tipo de proponente. ","")))</f>
        <v/>
      </c>
      <c r="AP28" s="35"/>
      <c r="AQ28" s="15" t="str">
        <f aca="false">IF(A28="","",IF(AL28&lt;&gt;"",AL28*1000000+N28*10000+O28*100+AI28-ROW()/1000,-ROW()))</f>
        <v/>
      </c>
      <c r="AR28" s="15" t="str">
        <f aca="false">IF(AQ28="","",COUNTIF($AQ$9:$AQ$58,"&gt;"&amp;AQ28)+1)</f>
        <v/>
      </c>
    </row>
    <row r="29" customFormat="false" ht="15" hidden="false" customHeight="false" outlineLevel="0" collapsed="false">
      <c r="A29" s="27" t="str">
        <f aca="false">IF(1_Proyectos!A29="","",1_Proyectos!A29)</f>
        <v/>
      </c>
      <c r="B29" s="27" t="str">
        <f aca="false">IF(1_Proyectos!B29="","",1_Proyectos!B29)</f>
        <v/>
      </c>
      <c r="C29" s="27" t="str">
        <f aca="false">IF(1_Proyectos!F29="","",1_Proyectos!F29)</f>
        <v/>
      </c>
      <c r="D29" s="34"/>
      <c r="E29" s="34"/>
      <c r="F29" s="34"/>
      <c r="G29" s="34"/>
      <c r="H29" s="34"/>
      <c r="I29" s="34"/>
      <c r="J29" s="34"/>
      <c r="K29" s="34"/>
      <c r="L29" s="34"/>
      <c r="M29" s="29" t="str">
        <f aca="false">IF(1_Proyectos!K29="","",IF(1_Proyectos!K29&gt;=Parámetros!$D$37,3,IF(1_Proyectos!K29&gt;=Parámetros!$D$38,2,1)))</f>
        <v/>
      </c>
      <c r="N29" s="34"/>
      <c r="O29" s="34"/>
      <c r="P29" s="34"/>
      <c r="Q29" s="34"/>
      <c r="R29" s="29" t="str">
        <f aca="false">IF(1_Proyectos!N29="","",IF(1_Proyectos!N29&gt;=Parámetros!$D$39,3,IF(1_Proyectos!N29&gt;=Parámetros!$D$40,2,1)))</f>
        <v/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15" t="str">
        <f aca="false">IF(A29="","",COUNTIF(D29:L29,"Sí"))</f>
        <v/>
      </c>
      <c r="AD29" s="30" t="str">
        <f aca="false">IF(A29="","",IF(COUNTIF(D29:L29,"No")&gt;0,"No elegible",IF(COUNTIF(D29:L29,"Sí")=9,"Elegible","Pendiente")))</f>
        <v/>
      </c>
      <c r="AE29" s="31" t="str">
        <f aca="false">TRIM(IF(D29="No","O1 ","")&amp;IF(E29="No","O2 ","")&amp;IF(F29="No","O3 ","")&amp;IF(G29="No","T1 ","")&amp;IF(H29="No","T2 ","")&amp;IF(I29="No","F1 ","")&amp;IF(J29="No","F2 ","")&amp;IF(K29="No","F3 ","")&amp;IF(L29="No","E1 ",""))</f>
        <v/>
      </c>
      <c r="AF29" s="15" t="str">
        <f aca="false">IF(AD29="Elegible",SUM(M29,N29),"")</f>
        <v/>
      </c>
      <c r="AG29" s="15" t="str">
        <f aca="false">IF(AD29="Elegible",SUM(O29,P29),"")</f>
        <v/>
      </c>
      <c r="AH29" s="15" t="str">
        <f aca="false">IF(AD29="Elegible",SUM(Q29,R29,S29,T29,U29),"")</f>
        <v/>
      </c>
      <c r="AI29" s="15" t="str">
        <f aca="false">IF(AD29="Elegible",SUM(V29,W29,X29),"")</f>
        <v/>
      </c>
      <c r="AJ29" s="15" t="str">
        <f aca="false">IF(AD29="Elegible",SUM(Y29,Z29,AA29,AB29),"")</f>
        <v/>
      </c>
      <c r="AK29" s="15" t="str">
        <f aca="false">IF(AND(AD29="Elegible",COUNT(M29:AB29)=16),SUM(M29:AB29),"")</f>
        <v/>
      </c>
      <c r="AL29" s="32" t="str">
        <f aca="false">IF(AK29="","",ROUND(SUMPRODUCT($M$8:$AB$8,M29:AB29)/(3*SUM($M$8:$AB$8))*100,1))</f>
        <v/>
      </c>
      <c r="AM29" s="30" t="str">
        <f aca="false">IF(AL29="","",IF(AL29&gt;=Parámetros!$D$41,"Alta",IF(AL29&gt;=Parámetros!$D$42,"Media","Baja")))</f>
        <v/>
      </c>
      <c r="AN29" s="15" t="str">
        <f aca="false">IF(AL29="","",AR29)</f>
        <v/>
      </c>
      <c r="AO29" s="31" t="str">
        <f aca="false">IF(A29="","",TRIM(IF(AND(I29="Sí",1_Proyectos!L29&lt;&gt;"",OR(AND(Parámetros!$D$35&lt;&gt;"",1_Proyectos!L29&lt;Parámetros!$D$35),AND(Parámetros!$D$36&lt;&gt;"",1_Proyectos!L29&gt;Parámetros!$D$36))),"F1 en Sí con monto fuera de rango. ","")&amp;IF(AND(E29="Sí",1_Proyectos!F29=""),"O2 en Sí sin fracción principal. ","")&amp;IF(AND(AD29="Elegible",COUNT(M29:AB29)&lt;16),"Elegible con calificaciones incompletas. ","")&amp;IF(AND(1_Proyectos!F29&lt;&gt;"",COUNTA(1_Proyectos!F29:I29)&gt;N(1_Proyectos!K29)),"Fracción repetida en el registro. ","")&amp;IF(AND(AD29="Elegible",R29=""),"Falta monto o costo total para calcular F5. ","")&amp;IF(AND(A29&lt;&gt;"",1_Proyectos!D29=""),"Falta tipo de proponente. ","")))</f>
        <v/>
      </c>
      <c r="AP29" s="35"/>
      <c r="AQ29" s="15" t="str">
        <f aca="false">IF(A29="","",IF(AL29&lt;&gt;"",AL29*1000000+N29*10000+O29*100+AI29-ROW()/1000,-ROW()))</f>
        <v/>
      </c>
      <c r="AR29" s="15" t="str">
        <f aca="false">IF(AQ29="","",COUNTIF($AQ$9:$AQ$58,"&gt;"&amp;AQ29)+1)</f>
        <v/>
      </c>
    </row>
    <row r="30" customFormat="false" ht="15" hidden="false" customHeight="false" outlineLevel="0" collapsed="false">
      <c r="A30" s="27" t="str">
        <f aca="false">IF(1_Proyectos!A30="","",1_Proyectos!A30)</f>
        <v/>
      </c>
      <c r="B30" s="27" t="str">
        <f aca="false">IF(1_Proyectos!B30="","",1_Proyectos!B30)</f>
        <v/>
      </c>
      <c r="C30" s="27" t="str">
        <f aca="false">IF(1_Proyectos!F30="","",1_Proyectos!F30)</f>
        <v/>
      </c>
      <c r="D30" s="34"/>
      <c r="E30" s="34"/>
      <c r="F30" s="34"/>
      <c r="G30" s="34"/>
      <c r="H30" s="34"/>
      <c r="I30" s="34"/>
      <c r="J30" s="34"/>
      <c r="K30" s="34"/>
      <c r="L30" s="34"/>
      <c r="M30" s="29" t="str">
        <f aca="false">IF(1_Proyectos!K30="","",IF(1_Proyectos!K30&gt;=Parámetros!$D$37,3,IF(1_Proyectos!K30&gt;=Parámetros!$D$38,2,1)))</f>
        <v/>
      </c>
      <c r="N30" s="34"/>
      <c r="O30" s="34"/>
      <c r="P30" s="34"/>
      <c r="Q30" s="34"/>
      <c r="R30" s="29" t="str">
        <f aca="false">IF(1_Proyectos!N30="","",IF(1_Proyectos!N30&gt;=Parámetros!$D$39,3,IF(1_Proyectos!N30&gt;=Parámetros!$D$40,2,1)))</f>
        <v/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15" t="str">
        <f aca="false">IF(A30="","",COUNTIF(D30:L30,"Sí"))</f>
        <v/>
      </c>
      <c r="AD30" s="30" t="str">
        <f aca="false">IF(A30="","",IF(COUNTIF(D30:L30,"No")&gt;0,"No elegible",IF(COUNTIF(D30:L30,"Sí")=9,"Elegible","Pendiente")))</f>
        <v/>
      </c>
      <c r="AE30" s="31" t="str">
        <f aca="false">TRIM(IF(D30="No","O1 ","")&amp;IF(E30="No","O2 ","")&amp;IF(F30="No","O3 ","")&amp;IF(G30="No","T1 ","")&amp;IF(H30="No","T2 ","")&amp;IF(I30="No","F1 ","")&amp;IF(J30="No","F2 ","")&amp;IF(K30="No","F3 ","")&amp;IF(L30="No","E1 ",""))</f>
        <v/>
      </c>
      <c r="AF30" s="15" t="str">
        <f aca="false">IF(AD30="Elegible",SUM(M30,N30),"")</f>
        <v/>
      </c>
      <c r="AG30" s="15" t="str">
        <f aca="false">IF(AD30="Elegible",SUM(O30,P30),"")</f>
        <v/>
      </c>
      <c r="AH30" s="15" t="str">
        <f aca="false">IF(AD30="Elegible",SUM(Q30,R30,S30,T30,U30),"")</f>
        <v/>
      </c>
      <c r="AI30" s="15" t="str">
        <f aca="false">IF(AD30="Elegible",SUM(V30,W30,X30),"")</f>
        <v/>
      </c>
      <c r="AJ30" s="15" t="str">
        <f aca="false">IF(AD30="Elegible",SUM(Y30,Z30,AA30,AB30),"")</f>
        <v/>
      </c>
      <c r="AK30" s="15" t="str">
        <f aca="false">IF(AND(AD30="Elegible",COUNT(M30:AB30)=16),SUM(M30:AB30),"")</f>
        <v/>
      </c>
      <c r="AL30" s="32" t="str">
        <f aca="false">IF(AK30="","",ROUND(SUMPRODUCT($M$8:$AB$8,M30:AB30)/(3*SUM($M$8:$AB$8))*100,1))</f>
        <v/>
      </c>
      <c r="AM30" s="30" t="str">
        <f aca="false">IF(AL30="","",IF(AL30&gt;=Parámetros!$D$41,"Alta",IF(AL30&gt;=Parámetros!$D$42,"Media","Baja")))</f>
        <v/>
      </c>
      <c r="AN30" s="15" t="str">
        <f aca="false">IF(AL30="","",AR30)</f>
        <v/>
      </c>
      <c r="AO30" s="31" t="str">
        <f aca="false">IF(A30="","",TRIM(IF(AND(I30="Sí",1_Proyectos!L30&lt;&gt;"",OR(AND(Parámetros!$D$35&lt;&gt;"",1_Proyectos!L30&lt;Parámetros!$D$35),AND(Parámetros!$D$36&lt;&gt;"",1_Proyectos!L30&gt;Parámetros!$D$36))),"F1 en Sí con monto fuera de rango. ","")&amp;IF(AND(E30="Sí",1_Proyectos!F30=""),"O2 en Sí sin fracción principal. ","")&amp;IF(AND(AD30="Elegible",COUNT(M30:AB30)&lt;16),"Elegible con calificaciones incompletas. ","")&amp;IF(AND(1_Proyectos!F30&lt;&gt;"",COUNTA(1_Proyectos!F30:I30)&gt;N(1_Proyectos!K30)),"Fracción repetida en el registro. ","")&amp;IF(AND(AD30="Elegible",R30=""),"Falta monto o costo total para calcular F5. ","")&amp;IF(AND(A30&lt;&gt;"",1_Proyectos!D30=""),"Falta tipo de proponente. ","")))</f>
        <v/>
      </c>
      <c r="AP30" s="35"/>
      <c r="AQ30" s="15" t="str">
        <f aca="false">IF(A30="","",IF(AL30&lt;&gt;"",AL30*1000000+N30*10000+O30*100+AI30-ROW()/1000,-ROW()))</f>
        <v/>
      </c>
      <c r="AR30" s="15" t="str">
        <f aca="false">IF(AQ30="","",COUNTIF($AQ$9:$AQ$58,"&gt;"&amp;AQ30)+1)</f>
        <v/>
      </c>
    </row>
    <row r="31" customFormat="false" ht="15" hidden="false" customHeight="false" outlineLevel="0" collapsed="false">
      <c r="A31" s="27" t="str">
        <f aca="false">IF(1_Proyectos!A31="","",1_Proyectos!A31)</f>
        <v/>
      </c>
      <c r="B31" s="27" t="str">
        <f aca="false">IF(1_Proyectos!B31="","",1_Proyectos!B31)</f>
        <v/>
      </c>
      <c r="C31" s="27" t="str">
        <f aca="false">IF(1_Proyectos!F31="","",1_Proyectos!F31)</f>
        <v/>
      </c>
      <c r="D31" s="34"/>
      <c r="E31" s="34"/>
      <c r="F31" s="34"/>
      <c r="G31" s="34"/>
      <c r="H31" s="34"/>
      <c r="I31" s="34"/>
      <c r="J31" s="34"/>
      <c r="K31" s="34"/>
      <c r="L31" s="34"/>
      <c r="M31" s="29" t="str">
        <f aca="false">IF(1_Proyectos!K31="","",IF(1_Proyectos!K31&gt;=Parámetros!$D$37,3,IF(1_Proyectos!K31&gt;=Parámetros!$D$38,2,1)))</f>
        <v/>
      </c>
      <c r="N31" s="34"/>
      <c r="O31" s="34"/>
      <c r="P31" s="34"/>
      <c r="Q31" s="34"/>
      <c r="R31" s="29" t="str">
        <f aca="false">IF(1_Proyectos!N31="","",IF(1_Proyectos!N31&gt;=Parámetros!$D$39,3,IF(1_Proyectos!N31&gt;=Parámetros!$D$40,2,1)))</f>
        <v/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15" t="str">
        <f aca="false">IF(A31="","",COUNTIF(D31:L31,"Sí"))</f>
        <v/>
      </c>
      <c r="AD31" s="30" t="str">
        <f aca="false">IF(A31="","",IF(COUNTIF(D31:L31,"No")&gt;0,"No elegible",IF(COUNTIF(D31:L31,"Sí")=9,"Elegible","Pendiente")))</f>
        <v/>
      </c>
      <c r="AE31" s="31" t="str">
        <f aca="false">TRIM(IF(D31="No","O1 ","")&amp;IF(E31="No","O2 ","")&amp;IF(F31="No","O3 ","")&amp;IF(G31="No","T1 ","")&amp;IF(H31="No","T2 ","")&amp;IF(I31="No","F1 ","")&amp;IF(J31="No","F2 ","")&amp;IF(K31="No","F3 ","")&amp;IF(L31="No","E1 ",""))</f>
        <v/>
      </c>
      <c r="AF31" s="15" t="str">
        <f aca="false">IF(AD31="Elegible",SUM(M31,N31),"")</f>
        <v/>
      </c>
      <c r="AG31" s="15" t="str">
        <f aca="false">IF(AD31="Elegible",SUM(O31,P31),"")</f>
        <v/>
      </c>
      <c r="AH31" s="15" t="str">
        <f aca="false">IF(AD31="Elegible",SUM(Q31,R31,S31,T31,U31),"")</f>
        <v/>
      </c>
      <c r="AI31" s="15" t="str">
        <f aca="false">IF(AD31="Elegible",SUM(V31,W31,X31),"")</f>
        <v/>
      </c>
      <c r="AJ31" s="15" t="str">
        <f aca="false">IF(AD31="Elegible",SUM(Y31,Z31,AA31,AB31),"")</f>
        <v/>
      </c>
      <c r="AK31" s="15" t="str">
        <f aca="false">IF(AND(AD31="Elegible",COUNT(M31:AB31)=16),SUM(M31:AB31),"")</f>
        <v/>
      </c>
      <c r="AL31" s="32" t="str">
        <f aca="false">IF(AK31="","",ROUND(SUMPRODUCT($M$8:$AB$8,M31:AB31)/(3*SUM($M$8:$AB$8))*100,1))</f>
        <v/>
      </c>
      <c r="AM31" s="30" t="str">
        <f aca="false">IF(AL31="","",IF(AL31&gt;=Parámetros!$D$41,"Alta",IF(AL31&gt;=Parámetros!$D$42,"Media","Baja")))</f>
        <v/>
      </c>
      <c r="AN31" s="15" t="str">
        <f aca="false">IF(AL31="","",AR31)</f>
        <v/>
      </c>
      <c r="AO31" s="31" t="str">
        <f aca="false">IF(A31="","",TRIM(IF(AND(I31="Sí",1_Proyectos!L31&lt;&gt;"",OR(AND(Parámetros!$D$35&lt;&gt;"",1_Proyectos!L31&lt;Parámetros!$D$35),AND(Parámetros!$D$36&lt;&gt;"",1_Proyectos!L31&gt;Parámetros!$D$36))),"F1 en Sí con monto fuera de rango. ","")&amp;IF(AND(E31="Sí",1_Proyectos!F31=""),"O2 en Sí sin fracción principal. ","")&amp;IF(AND(AD31="Elegible",COUNT(M31:AB31)&lt;16),"Elegible con calificaciones incompletas. ","")&amp;IF(AND(1_Proyectos!F31&lt;&gt;"",COUNTA(1_Proyectos!F31:I31)&gt;N(1_Proyectos!K31)),"Fracción repetida en el registro. ","")&amp;IF(AND(AD31="Elegible",R31=""),"Falta monto o costo total para calcular F5. ","")&amp;IF(AND(A31&lt;&gt;"",1_Proyectos!D31=""),"Falta tipo de proponente. ","")))</f>
        <v/>
      </c>
      <c r="AP31" s="35"/>
      <c r="AQ31" s="15" t="str">
        <f aca="false">IF(A31="","",IF(AL31&lt;&gt;"",AL31*1000000+N31*10000+O31*100+AI31-ROW()/1000,-ROW()))</f>
        <v/>
      </c>
      <c r="AR31" s="15" t="str">
        <f aca="false">IF(AQ31="","",COUNTIF($AQ$9:$AQ$58,"&gt;"&amp;AQ31)+1)</f>
        <v/>
      </c>
    </row>
    <row r="32" customFormat="false" ht="15" hidden="false" customHeight="false" outlineLevel="0" collapsed="false">
      <c r="A32" s="27" t="str">
        <f aca="false">IF(1_Proyectos!A32="","",1_Proyectos!A32)</f>
        <v/>
      </c>
      <c r="B32" s="27" t="str">
        <f aca="false">IF(1_Proyectos!B32="","",1_Proyectos!B32)</f>
        <v/>
      </c>
      <c r="C32" s="27" t="str">
        <f aca="false">IF(1_Proyectos!F32="","",1_Proyectos!F32)</f>
        <v/>
      </c>
      <c r="D32" s="34"/>
      <c r="E32" s="34"/>
      <c r="F32" s="34"/>
      <c r="G32" s="34"/>
      <c r="H32" s="34"/>
      <c r="I32" s="34"/>
      <c r="J32" s="34"/>
      <c r="K32" s="34"/>
      <c r="L32" s="34"/>
      <c r="M32" s="29" t="str">
        <f aca="false">IF(1_Proyectos!K32="","",IF(1_Proyectos!K32&gt;=Parámetros!$D$37,3,IF(1_Proyectos!K32&gt;=Parámetros!$D$38,2,1)))</f>
        <v/>
      </c>
      <c r="N32" s="34"/>
      <c r="O32" s="34"/>
      <c r="P32" s="34"/>
      <c r="Q32" s="34"/>
      <c r="R32" s="29" t="str">
        <f aca="false">IF(1_Proyectos!N32="","",IF(1_Proyectos!N32&gt;=Parámetros!$D$39,3,IF(1_Proyectos!N32&gt;=Parámetros!$D$40,2,1)))</f>
        <v/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15" t="str">
        <f aca="false">IF(A32="","",COUNTIF(D32:L32,"Sí"))</f>
        <v/>
      </c>
      <c r="AD32" s="30" t="str">
        <f aca="false">IF(A32="","",IF(COUNTIF(D32:L32,"No")&gt;0,"No elegible",IF(COUNTIF(D32:L32,"Sí")=9,"Elegible","Pendiente")))</f>
        <v/>
      </c>
      <c r="AE32" s="31" t="str">
        <f aca="false">TRIM(IF(D32="No","O1 ","")&amp;IF(E32="No","O2 ","")&amp;IF(F32="No","O3 ","")&amp;IF(G32="No","T1 ","")&amp;IF(H32="No","T2 ","")&amp;IF(I32="No","F1 ","")&amp;IF(J32="No","F2 ","")&amp;IF(K32="No","F3 ","")&amp;IF(L32="No","E1 ",""))</f>
        <v/>
      </c>
      <c r="AF32" s="15" t="str">
        <f aca="false">IF(AD32="Elegible",SUM(M32,N32),"")</f>
        <v/>
      </c>
      <c r="AG32" s="15" t="str">
        <f aca="false">IF(AD32="Elegible",SUM(O32,P32),"")</f>
        <v/>
      </c>
      <c r="AH32" s="15" t="str">
        <f aca="false">IF(AD32="Elegible",SUM(Q32,R32,S32,T32,U32),"")</f>
        <v/>
      </c>
      <c r="AI32" s="15" t="str">
        <f aca="false">IF(AD32="Elegible",SUM(V32,W32,X32),"")</f>
        <v/>
      </c>
      <c r="AJ32" s="15" t="str">
        <f aca="false">IF(AD32="Elegible",SUM(Y32,Z32,AA32,AB32),"")</f>
        <v/>
      </c>
      <c r="AK32" s="15" t="str">
        <f aca="false">IF(AND(AD32="Elegible",COUNT(M32:AB32)=16),SUM(M32:AB32),"")</f>
        <v/>
      </c>
      <c r="AL32" s="32" t="str">
        <f aca="false">IF(AK32="","",ROUND(SUMPRODUCT($M$8:$AB$8,M32:AB32)/(3*SUM($M$8:$AB$8))*100,1))</f>
        <v/>
      </c>
      <c r="AM32" s="30" t="str">
        <f aca="false">IF(AL32="","",IF(AL32&gt;=Parámetros!$D$41,"Alta",IF(AL32&gt;=Parámetros!$D$42,"Media","Baja")))</f>
        <v/>
      </c>
      <c r="AN32" s="15" t="str">
        <f aca="false">IF(AL32="","",AR32)</f>
        <v/>
      </c>
      <c r="AO32" s="31" t="str">
        <f aca="false">IF(A32="","",TRIM(IF(AND(I32="Sí",1_Proyectos!L32&lt;&gt;"",OR(AND(Parámetros!$D$35&lt;&gt;"",1_Proyectos!L32&lt;Parámetros!$D$35),AND(Parámetros!$D$36&lt;&gt;"",1_Proyectos!L32&gt;Parámetros!$D$36))),"F1 en Sí con monto fuera de rango. ","")&amp;IF(AND(E32="Sí",1_Proyectos!F32=""),"O2 en Sí sin fracción principal. ","")&amp;IF(AND(AD32="Elegible",COUNT(M32:AB32)&lt;16),"Elegible con calificaciones incompletas. ","")&amp;IF(AND(1_Proyectos!F32&lt;&gt;"",COUNTA(1_Proyectos!F32:I32)&gt;N(1_Proyectos!K32)),"Fracción repetida en el registro. ","")&amp;IF(AND(AD32="Elegible",R32=""),"Falta monto o costo total para calcular F5. ","")&amp;IF(AND(A32&lt;&gt;"",1_Proyectos!D32=""),"Falta tipo de proponente. ","")))</f>
        <v/>
      </c>
      <c r="AP32" s="35"/>
      <c r="AQ32" s="15" t="str">
        <f aca="false">IF(A32="","",IF(AL32&lt;&gt;"",AL32*1000000+N32*10000+O32*100+AI32-ROW()/1000,-ROW()))</f>
        <v/>
      </c>
      <c r="AR32" s="15" t="str">
        <f aca="false">IF(AQ32="","",COUNTIF($AQ$9:$AQ$58,"&gt;"&amp;AQ32)+1)</f>
        <v/>
      </c>
    </row>
    <row r="33" customFormat="false" ht="15" hidden="false" customHeight="false" outlineLevel="0" collapsed="false">
      <c r="A33" s="27" t="str">
        <f aca="false">IF(1_Proyectos!A33="","",1_Proyectos!A33)</f>
        <v/>
      </c>
      <c r="B33" s="27" t="str">
        <f aca="false">IF(1_Proyectos!B33="","",1_Proyectos!B33)</f>
        <v/>
      </c>
      <c r="C33" s="27" t="str">
        <f aca="false">IF(1_Proyectos!F33="","",1_Proyectos!F33)</f>
        <v/>
      </c>
      <c r="D33" s="34"/>
      <c r="E33" s="34"/>
      <c r="F33" s="34"/>
      <c r="G33" s="34"/>
      <c r="H33" s="34"/>
      <c r="I33" s="34"/>
      <c r="J33" s="34"/>
      <c r="K33" s="34"/>
      <c r="L33" s="34"/>
      <c r="M33" s="29" t="str">
        <f aca="false">IF(1_Proyectos!K33="","",IF(1_Proyectos!K33&gt;=Parámetros!$D$37,3,IF(1_Proyectos!K33&gt;=Parámetros!$D$38,2,1)))</f>
        <v/>
      </c>
      <c r="N33" s="34"/>
      <c r="O33" s="34"/>
      <c r="P33" s="34"/>
      <c r="Q33" s="34"/>
      <c r="R33" s="29" t="str">
        <f aca="false">IF(1_Proyectos!N33="","",IF(1_Proyectos!N33&gt;=Parámetros!$D$39,3,IF(1_Proyectos!N33&gt;=Parámetros!$D$40,2,1)))</f>
        <v/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15" t="str">
        <f aca="false">IF(A33="","",COUNTIF(D33:L33,"Sí"))</f>
        <v/>
      </c>
      <c r="AD33" s="30" t="str">
        <f aca="false">IF(A33="","",IF(COUNTIF(D33:L33,"No")&gt;0,"No elegible",IF(COUNTIF(D33:L33,"Sí")=9,"Elegible","Pendiente")))</f>
        <v/>
      </c>
      <c r="AE33" s="31" t="str">
        <f aca="false">TRIM(IF(D33="No","O1 ","")&amp;IF(E33="No","O2 ","")&amp;IF(F33="No","O3 ","")&amp;IF(G33="No","T1 ","")&amp;IF(H33="No","T2 ","")&amp;IF(I33="No","F1 ","")&amp;IF(J33="No","F2 ","")&amp;IF(K33="No","F3 ","")&amp;IF(L33="No","E1 ",""))</f>
        <v/>
      </c>
      <c r="AF33" s="15" t="str">
        <f aca="false">IF(AD33="Elegible",SUM(M33,N33),"")</f>
        <v/>
      </c>
      <c r="AG33" s="15" t="str">
        <f aca="false">IF(AD33="Elegible",SUM(O33,P33),"")</f>
        <v/>
      </c>
      <c r="AH33" s="15" t="str">
        <f aca="false">IF(AD33="Elegible",SUM(Q33,R33,S33,T33,U33),"")</f>
        <v/>
      </c>
      <c r="AI33" s="15" t="str">
        <f aca="false">IF(AD33="Elegible",SUM(V33,W33,X33),"")</f>
        <v/>
      </c>
      <c r="AJ33" s="15" t="str">
        <f aca="false">IF(AD33="Elegible",SUM(Y33,Z33,AA33,AB33),"")</f>
        <v/>
      </c>
      <c r="AK33" s="15" t="str">
        <f aca="false">IF(AND(AD33="Elegible",COUNT(M33:AB33)=16),SUM(M33:AB33),"")</f>
        <v/>
      </c>
      <c r="AL33" s="32" t="str">
        <f aca="false">IF(AK33="","",ROUND(SUMPRODUCT($M$8:$AB$8,M33:AB33)/(3*SUM($M$8:$AB$8))*100,1))</f>
        <v/>
      </c>
      <c r="AM33" s="30" t="str">
        <f aca="false">IF(AL33="","",IF(AL33&gt;=Parámetros!$D$41,"Alta",IF(AL33&gt;=Parámetros!$D$42,"Media","Baja")))</f>
        <v/>
      </c>
      <c r="AN33" s="15" t="str">
        <f aca="false">IF(AL33="","",AR33)</f>
        <v/>
      </c>
      <c r="AO33" s="31" t="str">
        <f aca="false">IF(A33="","",TRIM(IF(AND(I33="Sí",1_Proyectos!L33&lt;&gt;"",OR(AND(Parámetros!$D$35&lt;&gt;"",1_Proyectos!L33&lt;Parámetros!$D$35),AND(Parámetros!$D$36&lt;&gt;"",1_Proyectos!L33&gt;Parámetros!$D$36))),"F1 en Sí con monto fuera de rango. ","")&amp;IF(AND(E33="Sí",1_Proyectos!F33=""),"O2 en Sí sin fracción principal. ","")&amp;IF(AND(AD33="Elegible",COUNT(M33:AB33)&lt;16),"Elegible con calificaciones incompletas. ","")&amp;IF(AND(1_Proyectos!F33&lt;&gt;"",COUNTA(1_Proyectos!F33:I33)&gt;N(1_Proyectos!K33)),"Fracción repetida en el registro. ","")&amp;IF(AND(AD33="Elegible",R33=""),"Falta monto o costo total para calcular F5. ","")&amp;IF(AND(A33&lt;&gt;"",1_Proyectos!D33=""),"Falta tipo de proponente. ","")))</f>
        <v/>
      </c>
      <c r="AP33" s="35"/>
      <c r="AQ33" s="15" t="str">
        <f aca="false">IF(A33="","",IF(AL33&lt;&gt;"",AL33*1000000+N33*10000+O33*100+AI33-ROW()/1000,-ROW()))</f>
        <v/>
      </c>
      <c r="AR33" s="15" t="str">
        <f aca="false">IF(AQ33="","",COUNTIF($AQ$9:$AQ$58,"&gt;"&amp;AQ33)+1)</f>
        <v/>
      </c>
    </row>
    <row r="34" customFormat="false" ht="15" hidden="false" customHeight="false" outlineLevel="0" collapsed="false">
      <c r="A34" s="27" t="str">
        <f aca="false">IF(1_Proyectos!A34="","",1_Proyectos!A34)</f>
        <v/>
      </c>
      <c r="B34" s="27" t="str">
        <f aca="false">IF(1_Proyectos!B34="","",1_Proyectos!B34)</f>
        <v/>
      </c>
      <c r="C34" s="27" t="str">
        <f aca="false">IF(1_Proyectos!F34="","",1_Proyectos!F34)</f>
        <v/>
      </c>
      <c r="D34" s="34"/>
      <c r="E34" s="34"/>
      <c r="F34" s="34"/>
      <c r="G34" s="34"/>
      <c r="H34" s="34"/>
      <c r="I34" s="34"/>
      <c r="J34" s="34"/>
      <c r="K34" s="34"/>
      <c r="L34" s="34"/>
      <c r="M34" s="29" t="str">
        <f aca="false">IF(1_Proyectos!K34="","",IF(1_Proyectos!K34&gt;=Parámetros!$D$37,3,IF(1_Proyectos!K34&gt;=Parámetros!$D$38,2,1)))</f>
        <v/>
      </c>
      <c r="N34" s="34"/>
      <c r="O34" s="34"/>
      <c r="P34" s="34"/>
      <c r="Q34" s="34"/>
      <c r="R34" s="29" t="str">
        <f aca="false">IF(1_Proyectos!N34="","",IF(1_Proyectos!N34&gt;=Parámetros!$D$39,3,IF(1_Proyectos!N34&gt;=Parámetros!$D$40,2,1)))</f>
        <v/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15" t="str">
        <f aca="false">IF(A34="","",COUNTIF(D34:L34,"Sí"))</f>
        <v/>
      </c>
      <c r="AD34" s="30" t="str">
        <f aca="false">IF(A34="","",IF(COUNTIF(D34:L34,"No")&gt;0,"No elegible",IF(COUNTIF(D34:L34,"Sí")=9,"Elegible","Pendiente")))</f>
        <v/>
      </c>
      <c r="AE34" s="31" t="str">
        <f aca="false">TRIM(IF(D34="No","O1 ","")&amp;IF(E34="No","O2 ","")&amp;IF(F34="No","O3 ","")&amp;IF(G34="No","T1 ","")&amp;IF(H34="No","T2 ","")&amp;IF(I34="No","F1 ","")&amp;IF(J34="No","F2 ","")&amp;IF(K34="No","F3 ","")&amp;IF(L34="No","E1 ",""))</f>
        <v/>
      </c>
      <c r="AF34" s="15" t="str">
        <f aca="false">IF(AD34="Elegible",SUM(M34,N34),"")</f>
        <v/>
      </c>
      <c r="AG34" s="15" t="str">
        <f aca="false">IF(AD34="Elegible",SUM(O34,P34),"")</f>
        <v/>
      </c>
      <c r="AH34" s="15" t="str">
        <f aca="false">IF(AD34="Elegible",SUM(Q34,R34,S34,T34,U34),"")</f>
        <v/>
      </c>
      <c r="AI34" s="15" t="str">
        <f aca="false">IF(AD34="Elegible",SUM(V34,W34,X34),"")</f>
        <v/>
      </c>
      <c r="AJ34" s="15" t="str">
        <f aca="false">IF(AD34="Elegible",SUM(Y34,Z34,AA34,AB34),"")</f>
        <v/>
      </c>
      <c r="AK34" s="15" t="str">
        <f aca="false">IF(AND(AD34="Elegible",COUNT(M34:AB34)=16),SUM(M34:AB34),"")</f>
        <v/>
      </c>
      <c r="AL34" s="32" t="str">
        <f aca="false">IF(AK34="","",ROUND(SUMPRODUCT($M$8:$AB$8,M34:AB34)/(3*SUM($M$8:$AB$8))*100,1))</f>
        <v/>
      </c>
      <c r="AM34" s="30" t="str">
        <f aca="false">IF(AL34="","",IF(AL34&gt;=Parámetros!$D$41,"Alta",IF(AL34&gt;=Parámetros!$D$42,"Media","Baja")))</f>
        <v/>
      </c>
      <c r="AN34" s="15" t="str">
        <f aca="false">IF(AL34="","",AR34)</f>
        <v/>
      </c>
      <c r="AO34" s="31" t="str">
        <f aca="false">IF(A34="","",TRIM(IF(AND(I34="Sí",1_Proyectos!L34&lt;&gt;"",OR(AND(Parámetros!$D$35&lt;&gt;"",1_Proyectos!L34&lt;Parámetros!$D$35),AND(Parámetros!$D$36&lt;&gt;"",1_Proyectos!L34&gt;Parámetros!$D$36))),"F1 en Sí con monto fuera de rango. ","")&amp;IF(AND(E34="Sí",1_Proyectos!F34=""),"O2 en Sí sin fracción principal. ","")&amp;IF(AND(AD34="Elegible",COUNT(M34:AB34)&lt;16),"Elegible con calificaciones incompletas. ","")&amp;IF(AND(1_Proyectos!F34&lt;&gt;"",COUNTA(1_Proyectos!F34:I34)&gt;N(1_Proyectos!K34)),"Fracción repetida en el registro. ","")&amp;IF(AND(AD34="Elegible",R34=""),"Falta monto o costo total para calcular F5. ","")&amp;IF(AND(A34&lt;&gt;"",1_Proyectos!D34=""),"Falta tipo de proponente. ","")))</f>
        <v/>
      </c>
      <c r="AP34" s="35"/>
      <c r="AQ34" s="15" t="str">
        <f aca="false">IF(A34="","",IF(AL34&lt;&gt;"",AL34*1000000+N34*10000+O34*100+AI34-ROW()/1000,-ROW()))</f>
        <v/>
      </c>
      <c r="AR34" s="15" t="str">
        <f aca="false">IF(AQ34="","",COUNTIF($AQ$9:$AQ$58,"&gt;"&amp;AQ34)+1)</f>
        <v/>
      </c>
    </row>
    <row r="35" customFormat="false" ht="15" hidden="false" customHeight="false" outlineLevel="0" collapsed="false">
      <c r="A35" s="27" t="str">
        <f aca="false">IF(1_Proyectos!A35="","",1_Proyectos!A35)</f>
        <v/>
      </c>
      <c r="B35" s="27" t="str">
        <f aca="false">IF(1_Proyectos!B35="","",1_Proyectos!B35)</f>
        <v/>
      </c>
      <c r="C35" s="27" t="str">
        <f aca="false">IF(1_Proyectos!F35="","",1_Proyectos!F35)</f>
        <v/>
      </c>
      <c r="D35" s="34"/>
      <c r="E35" s="34"/>
      <c r="F35" s="34"/>
      <c r="G35" s="34"/>
      <c r="H35" s="34"/>
      <c r="I35" s="34"/>
      <c r="J35" s="34"/>
      <c r="K35" s="34"/>
      <c r="L35" s="34"/>
      <c r="M35" s="29" t="str">
        <f aca="false">IF(1_Proyectos!K35="","",IF(1_Proyectos!K35&gt;=Parámetros!$D$37,3,IF(1_Proyectos!K35&gt;=Parámetros!$D$38,2,1)))</f>
        <v/>
      </c>
      <c r="N35" s="34"/>
      <c r="O35" s="34"/>
      <c r="P35" s="34"/>
      <c r="Q35" s="34"/>
      <c r="R35" s="29" t="str">
        <f aca="false">IF(1_Proyectos!N35="","",IF(1_Proyectos!N35&gt;=Parámetros!$D$39,3,IF(1_Proyectos!N35&gt;=Parámetros!$D$40,2,1)))</f>
        <v/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15" t="str">
        <f aca="false">IF(A35="","",COUNTIF(D35:L35,"Sí"))</f>
        <v/>
      </c>
      <c r="AD35" s="30" t="str">
        <f aca="false">IF(A35="","",IF(COUNTIF(D35:L35,"No")&gt;0,"No elegible",IF(COUNTIF(D35:L35,"Sí")=9,"Elegible","Pendiente")))</f>
        <v/>
      </c>
      <c r="AE35" s="31" t="str">
        <f aca="false">TRIM(IF(D35="No","O1 ","")&amp;IF(E35="No","O2 ","")&amp;IF(F35="No","O3 ","")&amp;IF(G35="No","T1 ","")&amp;IF(H35="No","T2 ","")&amp;IF(I35="No","F1 ","")&amp;IF(J35="No","F2 ","")&amp;IF(K35="No","F3 ","")&amp;IF(L35="No","E1 ",""))</f>
        <v/>
      </c>
      <c r="AF35" s="15" t="str">
        <f aca="false">IF(AD35="Elegible",SUM(M35,N35),"")</f>
        <v/>
      </c>
      <c r="AG35" s="15" t="str">
        <f aca="false">IF(AD35="Elegible",SUM(O35,P35),"")</f>
        <v/>
      </c>
      <c r="AH35" s="15" t="str">
        <f aca="false">IF(AD35="Elegible",SUM(Q35,R35,S35,T35,U35),"")</f>
        <v/>
      </c>
      <c r="AI35" s="15" t="str">
        <f aca="false">IF(AD35="Elegible",SUM(V35,W35,X35),"")</f>
        <v/>
      </c>
      <c r="AJ35" s="15" t="str">
        <f aca="false">IF(AD35="Elegible",SUM(Y35,Z35,AA35,AB35),"")</f>
        <v/>
      </c>
      <c r="AK35" s="15" t="str">
        <f aca="false">IF(AND(AD35="Elegible",COUNT(M35:AB35)=16),SUM(M35:AB35),"")</f>
        <v/>
      </c>
      <c r="AL35" s="32" t="str">
        <f aca="false">IF(AK35="","",ROUND(SUMPRODUCT($M$8:$AB$8,M35:AB35)/(3*SUM($M$8:$AB$8))*100,1))</f>
        <v/>
      </c>
      <c r="AM35" s="30" t="str">
        <f aca="false">IF(AL35="","",IF(AL35&gt;=Parámetros!$D$41,"Alta",IF(AL35&gt;=Parámetros!$D$42,"Media","Baja")))</f>
        <v/>
      </c>
      <c r="AN35" s="15" t="str">
        <f aca="false">IF(AL35="","",AR35)</f>
        <v/>
      </c>
      <c r="AO35" s="31" t="str">
        <f aca="false">IF(A35="","",TRIM(IF(AND(I35="Sí",1_Proyectos!L35&lt;&gt;"",OR(AND(Parámetros!$D$35&lt;&gt;"",1_Proyectos!L35&lt;Parámetros!$D$35),AND(Parámetros!$D$36&lt;&gt;"",1_Proyectos!L35&gt;Parámetros!$D$36))),"F1 en Sí con monto fuera de rango. ","")&amp;IF(AND(E35="Sí",1_Proyectos!F35=""),"O2 en Sí sin fracción principal. ","")&amp;IF(AND(AD35="Elegible",COUNT(M35:AB35)&lt;16),"Elegible con calificaciones incompletas. ","")&amp;IF(AND(1_Proyectos!F35&lt;&gt;"",COUNTA(1_Proyectos!F35:I35)&gt;N(1_Proyectos!K35)),"Fracción repetida en el registro. ","")&amp;IF(AND(AD35="Elegible",R35=""),"Falta monto o costo total para calcular F5. ","")&amp;IF(AND(A35&lt;&gt;"",1_Proyectos!D35=""),"Falta tipo de proponente. ","")))</f>
        <v/>
      </c>
      <c r="AP35" s="35"/>
      <c r="AQ35" s="15" t="str">
        <f aca="false">IF(A35="","",IF(AL35&lt;&gt;"",AL35*1000000+N35*10000+O35*100+AI35-ROW()/1000,-ROW()))</f>
        <v/>
      </c>
      <c r="AR35" s="15" t="str">
        <f aca="false">IF(AQ35="","",COUNTIF($AQ$9:$AQ$58,"&gt;"&amp;AQ35)+1)</f>
        <v/>
      </c>
    </row>
    <row r="36" customFormat="false" ht="15" hidden="false" customHeight="false" outlineLevel="0" collapsed="false">
      <c r="A36" s="27" t="str">
        <f aca="false">IF(1_Proyectos!A36="","",1_Proyectos!A36)</f>
        <v/>
      </c>
      <c r="B36" s="27" t="str">
        <f aca="false">IF(1_Proyectos!B36="","",1_Proyectos!B36)</f>
        <v/>
      </c>
      <c r="C36" s="27" t="str">
        <f aca="false">IF(1_Proyectos!F36="","",1_Proyectos!F36)</f>
        <v/>
      </c>
      <c r="D36" s="34"/>
      <c r="E36" s="34"/>
      <c r="F36" s="34"/>
      <c r="G36" s="34"/>
      <c r="H36" s="34"/>
      <c r="I36" s="34"/>
      <c r="J36" s="34"/>
      <c r="K36" s="34"/>
      <c r="L36" s="34"/>
      <c r="M36" s="29" t="str">
        <f aca="false">IF(1_Proyectos!K36="","",IF(1_Proyectos!K36&gt;=Parámetros!$D$37,3,IF(1_Proyectos!K36&gt;=Parámetros!$D$38,2,1)))</f>
        <v/>
      </c>
      <c r="N36" s="34"/>
      <c r="O36" s="34"/>
      <c r="P36" s="34"/>
      <c r="Q36" s="34"/>
      <c r="R36" s="29" t="str">
        <f aca="false">IF(1_Proyectos!N36="","",IF(1_Proyectos!N36&gt;=Parámetros!$D$39,3,IF(1_Proyectos!N36&gt;=Parámetros!$D$40,2,1)))</f>
        <v/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15" t="str">
        <f aca="false">IF(A36="","",COUNTIF(D36:L36,"Sí"))</f>
        <v/>
      </c>
      <c r="AD36" s="30" t="str">
        <f aca="false">IF(A36="","",IF(COUNTIF(D36:L36,"No")&gt;0,"No elegible",IF(COUNTIF(D36:L36,"Sí")=9,"Elegible","Pendiente")))</f>
        <v/>
      </c>
      <c r="AE36" s="31" t="str">
        <f aca="false">TRIM(IF(D36="No","O1 ","")&amp;IF(E36="No","O2 ","")&amp;IF(F36="No","O3 ","")&amp;IF(G36="No","T1 ","")&amp;IF(H36="No","T2 ","")&amp;IF(I36="No","F1 ","")&amp;IF(J36="No","F2 ","")&amp;IF(K36="No","F3 ","")&amp;IF(L36="No","E1 ",""))</f>
        <v/>
      </c>
      <c r="AF36" s="15" t="str">
        <f aca="false">IF(AD36="Elegible",SUM(M36,N36),"")</f>
        <v/>
      </c>
      <c r="AG36" s="15" t="str">
        <f aca="false">IF(AD36="Elegible",SUM(O36,P36),"")</f>
        <v/>
      </c>
      <c r="AH36" s="15" t="str">
        <f aca="false">IF(AD36="Elegible",SUM(Q36,R36,S36,T36,U36),"")</f>
        <v/>
      </c>
      <c r="AI36" s="15" t="str">
        <f aca="false">IF(AD36="Elegible",SUM(V36,W36,X36),"")</f>
        <v/>
      </c>
      <c r="AJ36" s="15" t="str">
        <f aca="false">IF(AD36="Elegible",SUM(Y36,Z36,AA36,AB36),"")</f>
        <v/>
      </c>
      <c r="AK36" s="15" t="str">
        <f aca="false">IF(AND(AD36="Elegible",COUNT(M36:AB36)=16),SUM(M36:AB36),"")</f>
        <v/>
      </c>
      <c r="AL36" s="32" t="str">
        <f aca="false">IF(AK36="","",ROUND(SUMPRODUCT($M$8:$AB$8,M36:AB36)/(3*SUM($M$8:$AB$8))*100,1))</f>
        <v/>
      </c>
      <c r="AM36" s="30" t="str">
        <f aca="false">IF(AL36="","",IF(AL36&gt;=Parámetros!$D$41,"Alta",IF(AL36&gt;=Parámetros!$D$42,"Media","Baja")))</f>
        <v/>
      </c>
      <c r="AN36" s="15" t="str">
        <f aca="false">IF(AL36="","",AR36)</f>
        <v/>
      </c>
      <c r="AO36" s="31" t="str">
        <f aca="false">IF(A36="","",TRIM(IF(AND(I36="Sí",1_Proyectos!L36&lt;&gt;"",OR(AND(Parámetros!$D$35&lt;&gt;"",1_Proyectos!L36&lt;Parámetros!$D$35),AND(Parámetros!$D$36&lt;&gt;"",1_Proyectos!L36&gt;Parámetros!$D$36))),"F1 en Sí con monto fuera de rango. ","")&amp;IF(AND(E36="Sí",1_Proyectos!F36=""),"O2 en Sí sin fracción principal. ","")&amp;IF(AND(AD36="Elegible",COUNT(M36:AB36)&lt;16),"Elegible con calificaciones incompletas. ","")&amp;IF(AND(1_Proyectos!F36&lt;&gt;"",COUNTA(1_Proyectos!F36:I36)&gt;N(1_Proyectos!K36)),"Fracción repetida en el registro. ","")&amp;IF(AND(AD36="Elegible",R36=""),"Falta monto o costo total para calcular F5. ","")&amp;IF(AND(A36&lt;&gt;"",1_Proyectos!D36=""),"Falta tipo de proponente. ","")))</f>
        <v/>
      </c>
      <c r="AP36" s="35"/>
      <c r="AQ36" s="15" t="str">
        <f aca="false">IF(A36="","",IF(AL36&lt;&gt;"",AL36*1000000+N36*10000+O36*100+AI36-ROW()/1000,-ROW()))</f>
        <v/>
      </c>
      <c r="AR36" s="15" t="str">
        <f aca="false">IF(AQ36="","",COUNTIF($AQ$9:$AQ$58,"&gt;"&amp;AQ36)+1)</f>
        <v/>
      </c>
    </row>
    <row r="37" customFormat="false" ht="15" hidden="false" customHeight="false" outlineLevel="0" collapsed="false">
      <c r="A37" s="27" t="str">
        <f aca="false">IF(1_Proyectos!A37="","",1_Proyectos!A37)</f>
        <v/>
      </c>
      <c r="B37" s="27" t="str">
        <f aca="false">IF(1_Proyectos!B37="","",1_Proyectos!B37)</f>
        <v/>
      </c>
      <c r="C37" s="27" t="str">
        <f aca="false">IF(1_Proyectos!F37="","",1_Proyectos!F37)</f>
        <v/>
      </c>
      <c r="D37" s="34"/>
      <c r="E37" s="34"/>
      <c r="F37" s="34"/>
      <c r="G37" s="34"/>
      <c r="H37" s="34"/>
      <c r="I37" s="34"/>
      <c r="J37" s="34"/>
      <c r="K37" s="34"/>
      <c r="L37" s="34"/>
      <c r="M37" s="29" t="str">
        <f aca="false">IF(1_Proyectos!K37="","",IF(1_Proyectos!K37&gt;=Parámetros!$D$37,3,IF(1_Proyectos!K37&gt;=Parámetros!$D$38,2,1)))</f>
        <v/>
      </c>
      <c r="N37" s="34"/>
      <c r="O37" s="34"/>
      <c r="P37" s="34"/>
      <c r="Q37" s="34"/>
      <c r="R37" s="29" t="str">
        <f aca="false">IF(1_Proyectos!N37="","",IF(1_Proyectos!N37&gt;=Parámetros!$D$39,3,IF(1_Proyectos!N37&gt;=Parámetros!$D$40,2,1)))</f>
        <v/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15" t="str">
        <f aca="false">IF(A37="","",COUNTIF(D37:L37,"Sí"))</f>
        <v/>
      </c>
      <c r="AD37" s="30" t="str">
        <f aca="false">IF(A37="","",IF(COUNTIF(D37:L37,"No")&gt;0,"No elegible",IF(COUNTIF(D37:L37,"Sí")=9,"Elegible","Pendiente")))</f>
        <v/>
      </c>
      <c r="AE37" s="31" t="str">
        <f aca="false">TRIM(IF(D37="No","O1 ","")&amp;IF(E37="No","O2 ","")&amp;IF(F37="No","O3 ","")&amp;IF(G37="No","T1 ","")&amp;IF(H37="No","T2 ","")&amp;IF(I37="No","F1 ","")&amp;IF(J37="No","F2 ","")&amp;IF(K37="No","F3 ","")&amp;IF(L37="No","E1 ",""))</f>
        <v/>
      </c>
      <c r="AF37" s="15" t="str">
        <f aca="false">IF(AD37="Elegible",SUM(M37,N37),"")</f>
        <v/>
      </c>
      <c r="AG37" s="15" t="str">
        <f aca="false">IF(AD37="Elegible",SUM(O37,P37),"")</f>
        <v/>
      </c>
      <c r="AH37" s="15" t="str">
        <f aca="false">IF(AD37="Elegible",SUM(Q37,R37,S37,T37,U37),"")</f>
        <v/>
      </c>
      <c r="AI37" s="15" t="str">
        <f aca="false">IF(AD37="Elegible",SUM(V37,W37,X37),"")</f>
        <v/>
      </c>
      <c r="AJ37" s="15" t="str">
        <f aca="false">IF(AD37="Elegible",SUM(Y37,Z37,AA37,AB37),"")</f>
        <v/>
      </c>
      <c r="AK37" s="15" t="str">
        <f aca="false">IF(AND(AD37="Elegible",COUNT(M37:AB37)=16),SUM(M37:AB37),"")</f>
        <v/>
      </c>
      <c r="AL37" s="32" t="str">
        <f aca="false">IF(AK37="","",ROUND(SUMPRODUCT($M$8:$AB$8,M37:AB37)/(3*SUM($M$8:$AB$8))*100,1))</f>
        <v/>
      </c>
      <c r="AM37" s="30" t="str">
        <f aca="false">IF(AL37="","",IF(AL37&gt;=Parámetros!$D$41,"Alta",IF(AL37&gt;=Parámetros!$D$42,"Media","Baja")))</f>
        <v/>
      </c>
      <c r="AN37" s="15" t="str">
        <f aca="false">IF(AL37="","",AR37)</f>
        <v/>
      </c>
      <c r="AO37" s="31" t="str">
        <f aca="false">IF(A37="","",TRIM(IF(AND(I37="Sí",1_Proyectos!L37&lt;&gt;"",OR(AND(Parámetros!$D$35&lt;&gt;"",1_Proyectos!L37&lt;Parámetros!$D$35),AND(Parámetros!$D$36&lt;&gt;"",1_Proyectos!L37&gt;Parámetros!$D$36))),"F1 en Sí con monto fuera de rango. ","")&amp;IF(AND(E37="Sí",1_Proyectos!F37=""),"O2 en Sí sin fracción principal. ","")&amp;IF(AND(AD37="Elegible",COUNT(M37:AB37)&lt;16),"Elegible con calificaciones incompletas. ","")&amp;IF(AND(1_Proyectos!F37&lt;&gt;"",COUNTA(1_Proyectos!F37:I37)&gt;N(1_Proyectos!K37)),"Fracción repetida en el registro. ","")&amp;IF(AND(AD37="Elegible",R37=""),"Falta monto o costo total para calcular F5. ","")&amp;IF(AND(A37&lt;&gt;"",1_Proyectos!D37=""),"Falta tipo de proponente. ","")))</f>
        <v/>
      </c>
      <c r="AP37" s="35"/>
      <c r="AQ37" s="15" t="str">
        <f aca="false">IF(A37="","",IF(AL37&lt;&gt;"",AL37*1000000+N37*10000+O37*100+AI37-ROW()/1000,-ROW()))</f>
        <v/>
      </c>
      <c r="AR37" s="15" t="str">
        <f aca="false">IF(AQ37="","",COUNTIF($AQ$9:$AQ$58,"&gt;"&amp;AQ37)+1)</f>
        <v/>
      </c>
    </row>
    <row r="38" customFormat="false" ht="15" hidden="false" customHeight="false" outlineLevel="0" collapsed="false">
      <c r="A38" s="27" t="str">
        <f aca="false">IF(1_Proyectos!A38="","",1_Proyectos!A38)</f>
        <v/>
      </c>
      <c r="B38" s="27" t="str">
        <f aca="false">IF(1_Proyectos!B38="","",1_Proyectos!B38)</f>
        <v/>
      </c>
      <c r="C38" s="27" t="str">
        <f aca="false">IF(1_Proyectos!F38="","",1_Proyectos!F38)</f>
        <v/>
      </c>
      <c r="D38" s="34"/>
      <c r="E38" s="34"/>
      <c r="F38" s="34"/>
      <c r="G38" s="34"/>
      <c r="H38" s="34"/>
      <c r="I38" s="34"/>
      <c r="J38" s="34"/>
      <c r="K38" s="34"/>
      <c r="L38" s="34"/>
      <c r="M38" s="29" t="str">
        <f aca="false">IF(1_Proyectos!K38="","",IF(1_Proyectos!K38&gt;=Parámetros!$D$37,3,IF(1_Proyectos!K38&gt;=Parámetros!$D$38,2,1)))</f>
        <v/>
      </c>
      <c r="N38" s="34"/>
      <c r="O38" s="34"/>
      <c r="P38" s="34"/>
      <c r="Q38" s="34"/>
      <c r="R38" s="29" t="str">
        <f aca="false">IF(1_Proyectos!N38="","",IF(1_Proyectos!N38&gt;=Parámetros!$D$39,3,IF(1_Proyectos!N38&gt;=Parámetros!$D$40,2,1)))</f>
        <v/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15" t="str">
        <f aca="false">IF(A38="","",COUNTIF(D38:L38,"Sí"))</f>
        <v/>
      </c>
      <c r="AD38" s="30" t="str">
        <f aca="false">IF(A38="","",IF(COUNTIF(D38:L38,"No")&gt;0,"No elegible",IF(COUNTIF(D38:L38,"Sí")=9,"Elegible","Pendiente")))</f>
        <v/>
      </c>
      <c r="AE38" s="31" t="str">
        <f aca="false">TRIM(IF(D38="No","O1 ","")&amp;IF(E38="No","O2 ","")&amp;IF(F38="No","O3 ","")&amp;IF(G38="No","T1 ","")&amp;IF(H38="No","T2 ","")&amp;IF(I38="No","F1 ","")&amp;IF(J38="No","F2 ","")&amp;IF(K38="No","F3 ","")&amp;IF(L38="No","E1 ",""))</f>
        <v/>
      </c>
      <c r="AF38" s="15" t="str">
        <f aca="false">IF(AD38="Elegible",SUM(M38,N38),"")</f>
        <v/>
      </c>
      <c r="AG38" s="15" t="str">
        <f aca="false">IF(AD38="Elegible",SUM(O38,P38),"")</f>
        <v/>
      </c>
      <c r="AH38" s="15" t="str">
        <f aca="false">IF(AD38="Elegible",SUM(Q38,R38,S38,T38,U38),"")</f>
        <v/>
      </c>
      <c r="AI38" s="15" t="str">
        <f aca="false">IF(AD38="Elegible",SUM(V38,W38,X38),"")</f>
        <v/>
      </c>
      <c r="AJ38" s="15" t="str">
        <f aca="false">IF(AD38="Elegible",SUM(Y38,Z38,AA38,AB38),"")</f>
        <v/>
      </c>
      <c r="AK38" s="15" t="str">
        <f aca="false">IF(AND(AD38="Elegible",COUNT(M38:AB38)=16),SUM(M38:AB38),"")</f>
        <v/>
      </c>
      <c r="AL38" s="32" t="str">
        <f aca="false">IF(AK38="","",ROUND(SUMPRODUCT($M$8:$AB$8,M38:AB38)/(3*SUM($M$8:$AB$8))*100,1))</f>
        <v/>
      </c>
      <c r="AM38" s="30" t="str">
        <f aca="false">IF(AL38="","",IF(AL38&gt;=Parámetros!$D$41,"Alta",IF(AL38&gt;=Parámetros!$D$42,"Media","Baja")))</f>
        <v/>
      </c>
      <c r="AN38" s="15" t="str">
        <f aca="false">IF(AL38="","",AR38)</f>
        <v/>
      </c>
      <c r="AO38" s="31" t="str">
        <f aca="false">IF(A38="","",TRIM(IF(AND(I38="Sí",1_Proyectos!L38&lt;&gt;"",OR(AND(Parámetros!$D$35&lt;&gt;"",1_Proyectos!L38&lt;Parámetros!$D$35),AND(Parámetros!$D$36&lt;&gt;"",1_Proyectos!L38&gt;Parámetros!$D$36))),"F1 en Sí con monto fuera de rango. ","")&amp;IF(AND(E38="Sí",1_Proyectos!F38=""),"O2 en Sí sin fracción principal. ","")&amp;IF(AND(AD38="Elegible",COUNT(M38:AB38)&lt;16),"Elegible con calificaciones incompletas. ","")&amp;IF(AND(1_Proyectos!F38&lt;&gt;"",COUNTA(1_Proyectos!F38:I38)&gt;N(1_Proyectos!K38)),"Fracción repetida en el registro. ","")&amp;IF(AND(AD38="Elegible",R38=""),"Falta monto o costo total para calcular F5. ","")&amp;IF(AND(A38&lt;&gt;"",1_Proyectos!D38=""),"Falta tipo de proponente. ","")))</f>
        <v/>
      </c>
      <c r="AP38" s="35"/>
      <c r="AQ38" s="15" t="str">
        <f aca="false">IF(A38="","",IF(AL38&lt;&gt;"",AL38*1000000+N38*10000+O38*100+AI38-ROW()/1000,-ROW()))</f>
        <v/>
      </c>
      <c r="AR38" s="15" t="str">
        <f aca="false">IF(AQ38="","",COUNTIF($AQ$9:$AQ$58,"&gt;"&amp;AQ38)+1)</f>
        <v/>
      </c>
    </row>
    <row r="39" customFormat="false" ht="15" hidden="false" customHeight="false" outlineLevel="0" collapsed="false">
      <c r="A39" s="27" t="str">
        <f aca="false">IF(1_Proyectos!A39="","",1_Proyectos!A39)</f>
        <v/>
      </c>
      <c r="B39" s="27" t="str">
        <f aca="false">IF(1_Proyectos!B39="","",1_Proyectos!B39)</f>
        <v/>
      </c>
      <c r="C39" s="27" t="str">
        <f aca="false">IF(1_Proyectos!F39="","",1_Proyectos!F39)</f>
        <v/>
      </c>
      <c r="D39" s="34"/>
      <c r="E39" s="34"/>
      <c r="F39" s="34"/>
      <c r="G39" s="34"/>
      <c r="H39" s="34"/>
      <c r="I39" s="34"/>
      <c r="J39" s="34"/>
      <c r="K39" s="34"/>
      <c r="L39" s="34"/>
      <c r="M39" s="29" t="str">
        <f aca="false">IF(1_Proyectos!K39="","",IF(1_Proyectos!K39&gt;=Parámetros!$D$37,3,IF(1_Proyectos!K39&gt;=Parámetros!$D$38,2,1)))</f>
        <v/>
      </c>
      <c r="N39" s="34"/>
      <c r="O39" s="34"/>
      <c r="P39" s="34"/>
      <c r="Q39" s="34"/>
      <c r="R39" s="29" t="str">
        <f aca="false">IF(1_Proyectos!N39="","",IF(1_Proyectos!N39&gt;=Parámetros!$D$39,3,IF(1_Proyectos!N39&gt;=Parámetros!$D$40,2,1)))</f>
        <v/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15" t="str">
        <f aca="false">IF(A39="","",COUNTIF(D39:L39,"Sí"))</f>
        <v/>
      </c>
      <c r="AD39" s="30" t="str">
        <f aca="false">IF(A39="","",IF(COUNTIF(D39:L39,"No")&gt;0,"No elegible",IF(COUNTIF(D39:L39,"Sí")=9,"Elegible","Pendiente")))</f>
        <v/>
      </c>
      <c r="AE39" s="31" t="str">
        <f aca="false">TRIM(IF(D39="No","O1 ","")&amp;IF(E39="No","O2 ","")&amp;IF(F39="No","O3 ","")&amp;IF(G39="No","T1 ","")&amp;IF(H39="No","T2 ","")&amp;IF(I39="No","F1 ","")&amp;IF(J39="No","F2 ","")&amp;IF(K39="No","F3 ","")&amp;IF(L39="No","E1 ",""))</f>
        <v/>
      </c>
      <c r="AF39" s="15" t="str">
        <f aca="false">IF(AD39="Elegible",SUM(M39,N39),"")</f>
        <v/>
      </c>
      <c r="AG39" s="15" t="str">
        <f aca="false">IF(AD39="Elegible",SUM(O39,P39),"")</f>
        <v/>
      </c>
      <c r="AH39" s="15" t="str">
        <f aca="false">IF(AD39="Elegible",SUM(Q39,R39,S39,T39,U39),"")</f>
        <v/>
      </c>
      <c r="AI39" s="15" t="str">
        <f aca="false">IF(AD39="Elegible",SUM(V39,W39,X39),"")</f>
        <v/>
      </c>
      <c r="AJ39" s="15" t="str">
        <f aca="false">IF(AD39="Elegible",SUM(Y39,Z39,AA39,AB39),"")</f>
        <v/>
      </c>
      <c r="AK39" s="15" t="str">
        <f aca="false">IF(AND(AD39="Elegible",COUNT(M39:AB39)=16),SUM(M39:AB39),"")</f>
        <v/>
      </c>
      <c r="AL39" s="32" t="str">
        <f aca="false">IF(AK39="","",ROUND(SUMPRODUCT($M$8:$AB$8,M39:AB39)/(3*SUM($M$8:$AB$8))*100,1))</f>
        <v/>
      </c>
      <c r="AM39" s="30" t="str">
        <f aca="false">IF(AL39="","",IF(AL39&gt;=Parámetros!$D$41,"Alta",IF(AL39&gt;=Parámetros!$D$42,"Media","Baja")))</f>
        <v/>
      </c>
      <c r="AN39" s="15" t="str">
        <f aca="false">IF(AL39="","",AR39)</f>
        <v/>
      </c>
      <c r="AO39" s="31" t="str">
        <f aca="false">IF(A39="","",TRIM(IF(AND(I39="Sí",1_Proyectos!L39&lt;&gt;"",OR(AND(Parámetros!$D$35&lt;&gt;"",1_Proyectos!L39&lt;Parámetros!$D$35),AND(Parámetros!$D$36&lt;&gt;"",1_Proyectos!L39&gt;Parámetros!$D$36))),"F1 en Sí con monto fuera de rango. ","")&amp;IF(AND(E39="Sí",1_Proyectos!F39=""),"O2 en Sí sin fracción principal. ","")&amp;IF(AND(AD39="Elegible",COUNT(M39:AB39)&lt;16),"Elegible con calificaciones incompletas. ","")&amp;IF(AND(1_Proyectos!F39&lt;&gt;"",COUNTA(1_Proyectos!F39:I39)&gt;N(1_Proyectos!K39)),"Fracción repetida en el registro. ","")&amp;IF(AND(AD39="Elegible",R39=""),"Falta monto o costo total para calcular F5. ","")&amp;IF(AND(A39&lt;&gt;"",1_Proyectos!D39=""),"Falta tipo de proponente. ","")))</f>
        <v/>
      </c>
      <c r="AP39" s="35"/>
      <c r="AQ39" s="15" t="str">
        <f aca="false">IF(A39="","",IF(AL39&lt;&gt;"",AL39*1000000+N39*10000+O39*100+AI39-ROW()/1000,-ROW()))</f>
        <v/>
      </c>
      <c r="AR39" s="15" t="str">
        <f aca="false">IF(AQ39="","",COUNTIF($AQ$9:$AQ$58,"&gt;"&amp;AQ39)+1)</f>
        <v/>
      </c>
    </row>
    <row r="40" customFormat="false" ht="15" hidden="false" customHeight="false" outlineLevel="0" collapsed="false">
      <c r="A40" s="27" t="str">
        <f aca="false">IF(1_Proyectos!A40="","",1_Proyectos!A40)</f>
        <v/>
      </c>
      <c r="B40" s="27" t="str">
        <f aca="false">IF(1_Proyectos!B40="","",1_Proyectos!B40)</f>
        <v/>
      </c>
      <c r="C40" s="27" t="str">
        <f aca="false">IF(1_Proyectos!F40="","",1_Proyectos!F40)</f>
        <v/>
      </c>
      <c r="D40" s="34"/>
      <c r="E40" s="34"/>
      <c r="F40" s="34"/>
      <c r="G40" s="34"/>
      <c r="H40" s="34"/>
      <c r="I40" s="34"/>
      <c r="J40" s="34"/>
      <c r="K40" s="34"/>
      <c r="L40" s="34"/>
      <c r="M40" s="29" t="str">
        <f aca="false">IF(1_Proyectos!K40="","",IF(1_Proyectos!K40&gt;=Parámetros!$D$37,3,IF(1_Proyectos!K40&gt;=Parámetros!$D$38,2,1)))</f>
        <v/>
      </c>
      <c r="N40" s="34"/>
      <c r="O40" s="34"/>
      <c r="P40" s="34"/>
      <c r="Q40" s="34"/>
      <c r="R40" s="29" t="str">
        <f aca="false">IF(1_Proyectos!N40="","",IF(1_Proyectos!N40&gt;=Parámetros!$D$39,3,IF(1_Proyectos!N40&gt;=Parámetros!$D$40,2,1)))</f>
        <v/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15" t="str">
        <f aca="false">IF(A40="","",COUNTIF(D40:L40,"Sí"))</f>
        <v/>
      </c>
      <c r="AD40" s="30" t="str">
        <f aca="false">IF(A40="","",IF(COUNTIF(D40:L40,"No")&gt;0,"No elegible",IF(COUNTIF(D40:L40,"Sí")=9,"Elegible","Pendiente")))</f>
        <v/>
      </c>
      <c r="AE40" s="31" t="str">
        <f aca="false">TRIM(IF(D40="No","O1 ","")&amp;IF(E40="No","O2 ","")&amp;IF(F40="No","O3 ","")&amp;IF(G40="No","T1 ","")&amp;IF(H40="No","T2 ","")&amp;IF(I40="No","F1 ","")&amp;IF(J40="No","F2 ","")&amp;IF(K40="No","F3 ","")&amp;IF(L40="No","E1 ",""))</f>
        <v/>
      </c>
      <c r="AF40" s="15" t="str">
        <f aca="false">IF(AD40="Elegible",SUM(M40,N40),"")</f>
        <v/>
      </c>
      <c r="AG40" s="15" t="str">
        <f aca="false">IF(AD40="Elegible",SUM(O40,P40),"")</f>
        <v/>
      </c>
      <c r="AH40" s="15" t="str">
        <f aca="false">IF(AD40="Elegible",SUM(Q40,R40,S40,T40,U40),"")</f>
        <v/>
      </c>
      <c r="AI40" s="15" t="str">
        <f aca="false">IF(AD40="Elegible",SUM(V40,W40,X40),"")</f>
        <v/>
      </c>
      <c r="AJ40" s="15" t="str">
        <f aca="false">IF(AD40="Elegible",SUM(Y40,Z40,AA40,AB40),"")</f>
        <v/>
      </c>
      <c r="AK40" s="15" t="str">
        <f aca="false">IF(AND(AD40="Elegible",COUNT(M40:AB40)=16),SUM(M40:AB40),"")</f>
        <v/>
      </c>
      <c r="AL40" s="32" t="str">
        <f aca="false">IF(AK40="","",ROUND(SUMPRODUCT($M$8:$AB$8,M40:AB40)/(3*SUM($M$8:$AB$8))*100,1))</f>
        <v/>
      </c>
      <c r="AM40" s="30" t="str">
        <f aca="false">IF(AL40="","",IF(AL40&gt;=Parámetros!$D$41,"Alta",IF(AL40&gt;=Parámetros!$D$42,"Media","Baja")))</f>
        <v/>
      </c>
      <c r="AN40" s="15" t="str">
        <f aca="false">IF(AL40="","",AR40)</f>
        <v/>
      </c>
      <c r="AO40" s="31" t="str">
        <f aca="false">IF(A40="","",TRIM(IF(AND(I40="Sí",1_Proyectos!L40&lt;&gt;"",OR(AND(Parámetros!$D$35&lt;&gt;"",1_Proyectos!L40&lt;Parámetros!$D$35),AND(Parámetros!$D$36&lt;&gt;"",1_Proyectos!L40&gt;Parámetros!$D$36))),"F1 en Sí con monto fuera de rango. ","")&amp;IF(AND(E40="Sí",1_Proyectos!F40=""),"O2 en Sí sin fracción principal. ","")&amp;IF(AND(AD40="Elegible",COUNT(M40:AB40)&lt;16),"Elegible con calificaciones incompletas. ","")&amp;IF(AND(1_Proyectos!F40&lt;&gt;"",COUNTA(1_Proyectos!F40:I40)&gt;N(1_Proyectos!K40)),"Fracción repetida en el registro. ","")&amp;IF(AND(AD40="Elegible",R40=""),"Falta monto o costo total para calcular F5. ","")&amp;IF(AND(A40&lt;&gt;"",1_Proyectos!D40=""),"Falta tipo de proponente. ","")))</f>
        <v/>
      </c>
      <c r="AP40" s="35"/>
      <c r="AQ40" s="15" t="str">
        <f aca="false">IF(A40="","",IF(AL40&lt;&gt;"",AL40*1000000+N40*10000+O40*100+AI40-ROW()/1000,-ROW()))</f>
        <v/>
      </c>
      <c r="AR40" s="15" t="str">
        <f aca="false">IF(AQ40="","",COUNTIF($AQ$9:$AQ$58,"&gt;"&amp;AQ40)+1)</f>
        <v/>
      </c>
    </row>
    <row r="41" customFormat="false" ht="15" hidden="false" customHeight="false" outlineLevel="0" collapsed="false">
      <c r="A41" s="27" t="str">
        <f aca="false">IF(1_Proyectos!A41="","",1_Proyectos!A41)</f>
        <v/>
      </c>
      <c r="B41" s="27" t="str">
        <f aca="false">IF(1_Proyectos!B41="","",1_Proyectos!B41)</f>
        <v/>
      </c>
      <c r="C41" s="27" t="str">
        <f aca="false">IF(1_Proyectos!F41="","",1_Proyectos!F41)</f>
        <v/>
      </c>
      <c r="D41" s="34"/>
      <c r="E41" s="34"/>
      <c r="F41" s="34"/>
      <c r="G41" s="34"/>
      <c r="H41" s="34"/>
      <c r="I41" s="34"/>
      <c r="J41" s="34"/>
      <c r="K41" s="34"/>
      <c r="L41" s="34"/>
      <c r="M41" s="29" t="str">
        <f aca="false">IF(1_Proyectos!K41="","",IF(1_Proyectos!K41&gt;=Parámetros!$D$37,3,IF(1_Proyectos!K41&gt;=Parámetros!$D$38,2,1)))</f>
        <v/>
      </c>
      <c r="N41" s="34"/>
      <c r="O41" s="34"/>
      <c r="P41" s="34"/>
      <c r="Q41" s="34"/>
      <c r="R41" s="29" t="str">
        <f aca="false">IF(1_Proyectos!N41="","",IF(1_Proyectos!N41&gt;=Parámetros!$D$39,3,IF(1_Proyectos!N41&gt;=Parámetros!$D$40,2,1)))</f>
        <v/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15" t="str">
        <f aca="false">IF(A41="","",COUNTIF(D41:L41,"Sí"))</f>
        <v/>
      </c>
      <c r="AD41" s="30" t="str">
        <f aca="false">IF(A41="","",IF(COUNTIF(D41:L41,"No")&gt;0,"No elegible",IF(COUNTIF(D41:L41,"Sí")=9,"Elegible","Pendiente")))</f>
        <v/>
      </c>
      <c r="AE41" s="31" t="str">
        <f aca="false">TRIM(IF(D41="No","O1 ","")&amp;IF(E41="No","O2 ","")&amp;IF(F41="No","O3 ","")&amp;IF(G41="No","T1 ","")&amp;IF(H41="No","T2 ","")&amp;IF(I41="No","F1 ","")&amp;IF(J41="No","F2 ","")&amp;IF(K41="No","F3 ","")&amp;IF(L41="No","E1 ",""))</f>
        <v/>
      </c>
      <c r="AF41" s="15" t="str">
        <f aca="false">IF(AD41="Elegible",SUM(M41,N41),"")</f>
        <v/>
      </c>
      <c r="AG41" s="15" t="str">
        <f aca="false">IF(AD41="Elegible",SUM(O41,P41),"")</f>
        <v/>
      </c>
      <c r="AH41" s="15" t="str">
        <f aca="false">IF(AD41="Elegible",SUM(Q41,R41,S41,T41,U41),"")</f>
        <v/>
      </c>
      <c r="AI41" s="15" t="str">
        <f aca="false">IF(AD41="Elegible",SUM(V41,W41,X41),"")</f>
        <v/>
      </c>
      <c r="AJ41" s="15" t="str">
        <f aca="false">IF(AD41="Elegible",SUM(Y41,Z41,AA41,AB41),"")</f>
        <v/>
      </c>
      <c r="AK41" s="15" t="str">
        <f aca="false">IF(AND(AD41="Elegible",COUNT(M41:AB41)=16),SUM(M41:AB41),"")</f>
        <v/>
      </c>
      <c r="AL41" s="32" t="str">
        <f aca="false">IF(AK41="","",ROUND(SUMPRODUCT($M$8:$AB$8,M41:AB41)/(3*SUM($M$8:$AB$8))*100,1))</f>
        <v/>
      </c>
      <c r="AM41" s="30" t="str">
        <f aca="false">IF(AL41="","",IF(AL41&gt;=Parámetros!$D$41,"Alta",IF(AL41&gt;=Parámetros!$D$42,"Media","Baja")))</f>
        <v/>
      </c>
      <c r="AN41" s="15" t="str">
        <f aca="false">IF(AL41="","",AR41)</f>
        <v/>
      </c>
      <c r="AO41" s="31" t="str">
        <f aca="false">IF(A41="","",TRIM(IF(AND(I41="Sí",1_Proyectos!L41&lt;&gt;"",OR(AND(Parámetros!$D$35&lt;&gt;"",1_Proyectos!L41&lt;Parámetros!$D$35),AND(Parámetros!$D$36&lt;&gt;"",1_Proyectos!L41&gt;Parámetros!$D$36))),"F1 en Sí con monto fuera de rango. ","")&amp;IF(AND(E41="Sí",1_Proyectos!F41=""),"O2 en Sí sin fracción principal. ","")&amp;IF(AND(AD41="Elegible",COUNT(M41:AB41)&lt;16),"Elegible con calificaciones incompletas. ","")&amp;IF(AND(1_Proyectos!F41&lt;&gt;"",COUNTA(1_Proyectos!F41:I41)&gt;N(1_Proyectos!K41)),"Fracción repetida en el registro. ","")&amp;IF(AND(AD41="Elegible",R41=""),"Falta monto o costo total para calcular F5. ","")&amp;IF(AND(A41&lt;&gt;"",1_Proyectos!D41=""),"Falta tipo de proponente. ","")))</f>
        <v/>
      </c>
      <c r="AP41" s="35"/>
      <c r="AQ41" s="15" t="str">
        <f aca="false">IF(A41="","",IF(AL41&lt;&gt;"",AL41*1000000+N41*10000+O41*100+AI41-ROW()/1000,-ROW()))</f>
        <v/>
      </c>
      <c r="AR41" s="15" t="str">
        <f aca="false">IF(AQ41="","",COUNTIF($AQ$9:$AQ$58,"&gt;"&amp;AQ41)+1)</f>
        <v/>
      </c>
    </row>
    <row r="42" customFormat="false" ht="15" hidden="false" customHeight="false" outlineLevel="0" collapsed="false">
      <c r="A42" s="27" t="str">
        <f aca="false">IF(1_Proyectos!A42="","",1_Proyectos!A42)</f>
        <v/>
      </c>
      <c r="B42" s="27" t="str">
        <f aca="false">IF(1_Proyectos!B42="","",1_Proyectos!B42)</f>
        <v/>
      </c>
      <c r="C42" s="27" t="str">
        <f aca="false">IF(1_Proyectos!F42="","",1_Proyectos!F42)</f>
        <v/>
      </c>
      <c r="D42" s="34"/>
      <c r="E42" s="34"/>
      <c r="F42" s="34"/>
      <c r="G42" s="34"/>
      <c r="H42" s="34"/>
      <c r="I42" s="34"/>
      <c r="J42" s="34"/>
      <c r="K42" s="34"/>
      <c r="L42" s="34"/>
      <c r="M42" s="29" t="str">
        <f aca="false">IF(1_Proyectos!K42="","",IF(1_Proyectos!K42&gt;=Parámetros!$D$37,3,IF(1_Proyectos!K42&gt;=Parámetros!$D$38,2,1)))</f>
        <v/>
      </c>
      <c r="N42" s="34"/>
      <c r="O42" s="34"/>
      <c r="P42" s="34"/>
      <c r="Q42" s="34"/>
      <c r="R42" s="29" t="str">
        <f aca="false">IF(1_Proyectos!N42="","",IF(1_Proyectos!N42&gt;=Parámetros!$D$39,3,IF(1_Proyectos!N42&gt;=Parámetros!$D$40,2,1)))</f>
        <v/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15" t="str">
        <f aca="false">IF(A42="","",COUNTIF(D42:L42,"Sí"))</f>
        <v/>
      </c>
      <c r="AD42" s="30" t="str">
        <f aca="false">IF(A42="","",IF(COUNTIF(D42:L42,"No")&gt;0,"No elegible",IF(COUNTIF(D42:L42,"Sí")=9,"Elegible","Pendiente")))</f>
        <v/>
      </c>
      <c r="AE42" s="31" t="str">
        <f aca="false">TRIM(IF(D42="No","O1 ","")&amp;IF(E42="No","O2 ","")&amp;IF(F42="No","O3 ","")&amp;IF(G42="No","T1 ","")&amp;IF(H42="No","T2 ","")&amp;IF(I42="No","F1 ","")&amp;IF(J42="No","F2 ","")&amp;IF(K42="No","F3 ","")&amp;IF(L42="No","E1 ",""))</f>
        <v/>
      </c>
      <c r="AF42" s="15" t="str">
        <f aca="false">IF(AD42="Elegible",SUM(M42,N42),"")</f>
        <v/>
      </c>
      <c r="AG42" s="15" t="str">
        <f aca="false">IF(AD42="Elegible",SUM(O42,P42),"")</f>
        <v/>
      </c>
      <c r="AH42" s="15" t="str">
        <f aca="false">IF(AD42="Elegible",SUM(Q42,R42,S42,T42,U42),"")</f>
        <v/>
      </c>
      <c r="AI42" s="15" t="str">
        <f aca="false">IF(AD42="Elegible",SUM(V42,W42,X42),"")</f>
        <v/>
      </c>
      <c r="AJ42" s="15" t="str">
        <f aca="false">IF(AD42="Elegible",SUM(Y42,Z42,AA42,AB42),"")</f>
        <v/>
      </c>
      <c r="AK42" s="15" t="str">
        <f aca="false">IF(AND(AD42="Elegible",COUNT(M42:AB42)=16),SUM(M42:AB42),"")</f>
        <v/>
      </c>
      <c r="AL42" s="32" t="str">
        <f aca="false">IF(AK42="","",ROUND(SUMPRODUCT($M$8:$AB$8,M42:AB42)/(3*SUM($M$8:$AB$8))*100,1))</f>
        <v/>
      </c>
      <c r="AM42" s="30" t="str">
        <f aca="false">IF(AL42="","",IF(AL42&gt;=Parámetros!$D$41,"Alta",IF(AL42&gt;=Parámetros!$D$42,"Media","Baja")))</f>
        <v/>
      </c>
      <c r="AN42" s="15" t="str">
        <f aca="false">IF(AL42="","",AR42)</f>
        <v/>
      </c>
      <c r="AO42" s="31" t="str">
        <f aca="false">IF(A42="","",TRIM(IF(AND(I42="Sí",1_Proyectos!L42&lt;&gt;"",OR(AND(Parámetros!$D$35&lt;&gt;"",1_Proyectos!L42&lt;Parámetros!$D$35),AND(Parámetros!$D$36&lt;&gt;"",1_Proyectos!L42&gt;Parámetros!$D$36))),"F1 en Sí con monto fuera de rango. ","")&amp;IF(AND(E42="Sí",1_Proyectos!F42=""),"O2 en Sí sin fracción principal. ","")&amp;IF(AND(AD42="Elegible",COUNT(M42:AB42)&lt;16),"Elegible con calificaciones incompletas. ","")&amp;IF(AND(1_Proyectos!F42&lt;&gt;"",COUNTA(1_Proyectos!F42:I42)&gt;N(1_Proyectos!K42)),"Fracción repetida en el registro. ","")&amp;IF(AND(AD42="Elegible",R42=""),"Falta monto o costo total para calcular F5. ","")&amp;IF(AND(A42&lt;&gt;"",1_Proyectos!D42=""),"Falta tipo de proponente. ","")))</f>
        <v/>
      </c>
      <c r="AP42" s="35"/>
      <c r="AQ42" s="15" t="str">
        <f aca="false">IF(A42="","",IF(AL42&lt;&gt;"",AL42*1000000+N42*10000+O42*100+AI42-ROW()/1000,-ROW()))</f>
        <v/>
      </c>
      <c r="AR42" s="15" t="str">
        <f aca="false">IF(AQ42="","",COUNTIF($AQ$9:$AQ$58,"&gt;"&amp;AQ42)+1)</f>
        <v/>
      </c>
    </row>
    <row r="43" customFormat="false" ht="15" hidden="false" customHeight="false" outlineLevel="0" collapsed="false">
      <c r="A43" s="27" t="str">
        <f aca="false">IF(1_Proyectos!A43="","",1_Proyectos!A43)</f>
        <v/>
      </c>
      <c r="B43" s="27" t="str">
        <f aca="false">IF(1_Proyectos!B43="","",1_Proyectos!B43)</f>
        <v/>
      </c>
      <c r="C43" s="27" t="str">
        <f aca="false">IF(1_Proyectos!F43="","",1_Proyectos!F43)</f>
        <v/>
      </c>
      <c r="D43" s="34"/>
      <c r="E43" s="34"/>
      <c r="F43" s="34"/>
      <c r="G43" s="34"/>
      <c r="H43" s="34"/>
      <c r="I43" s="34"/>
      <c r="J43" s="34"/>
      <c r="K43" s="34"/>
      <c r="L43" s="34"/>
      <c r="M43" s="29" t="str">
        <f aca="false">IF(1_Proyectos!K43="","",IF(1_Proyectos!K43&gt;=Parámetros!$D$37,3,IF(1_Proyectos!K43&gt;=Parámetros!$D$38,2,1)))</f>
        <v/>
      </c>
      <c r="N43" s="34"/>
      <c r="O43" s="34"/>
      <c r="P43" s="34"/>
      <c r="Q43" s="34"/>
      <c r="R43" s="29" t="str">
        <f aca="false">IF(1_Proyectos!N43="","",IF(1_Proyectos!N43&gt;=Parámetros!$D$39,3,IF(1_Proyectos!N43&gt;=Parámetros!$D$40,2,1)))</f>
        <v/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15" t="str">
        <f aca="false">IF(A43="","",COUNTIF(D43:L43,"Sí"))</f>
        <v/>
      </c>
      <c r="AD43" s="30" t="str">
        <f aca="false">IF(A43="","",IF(COUNTIF(D43:L43,"No")&gt;0,"No elegible",IF(COUNTIF(D43:L43,"Sí")=9,"Elegible","Pendiente")))</f>
        <v/>
      </c>
      <c r="AE43" s="31" t="str">
        <f aca="false">TRIM(IF(D43="No","O1 ","")&amp;IF(E43="No","O2 ","")&amp;IF(F43="No","O3 ","")&amp;IF(G43="No","T1 ","")&amp;IF(H43="No","T2 ","")&amp;IF(I43="No","F1 ","")&amp;IF(J43="No","F2 ","")&amp;IF(K43="No","F3 ","")&amp;IF(L43="No","E1 ",""))</f>
        <v/>
      </c>
      <c r="AF43" s="15" t="str">
        <f aca="false">IF(AD43="Elegible",SUM(M43,N43),"")</f>
        <v/>
      </c>
      <c r="AG43" s="15" t="str">
        <f aca="false">IF(AD43="Elegible",SUM(O43,P43),"")</f>
        <v/>
      </c>
      <c r="AH43" s="15" t="str">
        <f aca="false">IF(AD43="Elegible",SUM(Q43,R43,S43,T43,U43),"")</f>
        <v/>
      </c>
      <c r="AI43" s="15" t="str">
        <f aca="false">IF(AD43="Elegible",SUM(V43,W43,X43),"")</f>
        <v/>
      </c>
      <c r="AJ43" s="15" t="str">
        <f aca="false">IF(AD43="Elegible",SUM(Y43,Z43,AA43,AB43),"")</f>
        <v/>
      </c>
      <c r="AK43" s="15" t="str">
        <f aca="false">IF(AND(AD43="Elegible",COUNT(M43:AB43)=16),SUM(M43:AB43),"")</f>
        <v/>
      </c>
      <c r="AL43" s="32" t="str">
        <f aca="false">IF(AK43="","",ROUND(SUMPRODUCT($M$8:$AB$8,M43:AB43)/(3*SUM($M$8:$AB$8))*100,1))</f>
        <v/>
      </c>
      <c r="AM43" s="30" t="str">
        <f aca="false">IF(AL43="","",IF(AL43&gt;=Parámetros!$D$41,"Alta",IF(AL43&gt;=Parámetros!$D$42,"Media","Baja")))</f>
        <v/>
      </c>
      <c r="AN43" s="15" t="str">
        <f aca="false">IF(AL43="","",AR43)</f>
        <v/>
      </c>
      <c r="AO43" s="31" t="str">
        <f aca="false">IF(A43="","",TRIM(IF(AND(I43="Sí",1_Proyectos!L43&lt;&gt;"",OR(AND(Parámetros!$D$35&lt;&gt;"",1_Proyectos!L43&lt;Parámetros!$D$35),AND(Parámetros!$D$36&lt;&gt;"",1_Proyectos!L43&gt;Parámetros!$D$36))),"F1 en Sí con monto fuera de rango. ","")&amp;IF(AND(E43="Sí",1_Proyectos!F43=""),"O2 en Sí sin fracción principal. ","")&amp;IF(AND(AD43="Elegible",COUNT(M43:AB43)&lt;16),"Elegible con calificaciones incompletas. ","")&amp;IF(AND(1_Proyectos!F43&lt;&gt;"",COUNTA(1_Proyectos!F43:I43)&gt;N(1_Proyectos!K43)),"Fracción repetida en el registro. ","")&amp;IF(AND(AD43="Elegible",R43=""),"Falta monto o costo total para calcular F5. ","")&amp;IF(AND(A43&lt;&gt;"",1_Proyectos!D43=""),"Falta tipo de proponente. ","")))</f>
        <v/>
      </c>
      <c r="AP43" s="35"/>
      <c r="AQ43" s="15" t="str">
        <f aca="false">IF(A43="","",IF(AL43&lt;&gt;"",AL43*1000000+N43*10000+O43*100+AI43-ROW()/1000,-ROW()))</f>
        <v/>
      </c>
      <c r="AR43" s="15" t="str">
        <f aca="false">IF(AQ43="","",COUNTIF($AQ$9:$AQ$58,"&gt;"&amp;AQ43)+1)</f>
        <v/>
      </c>
    </row>
    <row r="44" customFormat="false" ht="15" hidden="false" customHeight="false" outlineLevel="0" collapsed="false">
      <c r="A44" s="27" t="str">
        <f aca="false">IF(1_Proyectos!A44="","",1_Proyectos!A44)</f>
        <v/>
      </c>
      <c r="B44" s="27" t="str">
        <f aca="false">IF(1_Proyectos!B44="","",1_Proyectos!B44)</f>
        <v/>
      </c>
      <c r="C44" s="27" t="str">
        <f aca="false">IF(1_Proyectos!F44="","",1_Proyectos!F44)</f>
        <v/>
      </c>
      <c r="D44" s="34"/>
      <c r="E44" s="34"/>
      <c r="F44" s="34"/>
      <c r="G44" s="34"/>
      <c r="H44" s="34"/>
      <c r="I44" s="34"/>
      <c r="J44" s="34"/>
      <c r="K44" s="34"/>
      <c r="L44" s="34"/>
      <c r="M44" s="29" t="str">
        <f aca="false">IF(1_Proyectos!K44="","",IF(1_Proyectos!K44&gt;=Parámetros!$D$37,3,IF(1_Proyectos!K44&gt;=Parámetros!$D$38,2,1)))</f>
        <v/>
      </c>
      <c r="N44" s="34"/>
      <c r="O44" s="34"/>
      <c r="P44" s="34"/>
      <c r="Q44" s="34"/>
      <c r="R44" s="29" t="str">
        <f aca="false">IF(1_Proyectos!N44="","",IF(1_Proyectos!N44&gt;=Parámetros!$D$39,3,IF(1_Proyectos!N44&gt;=Parámetros!$D$40,2,1)))</f>
        <v/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15" t="str">
        <f aca="false">IF(A44="","",COUNTIF(D44:L44,"Sí"))</f>
        <v/>
      </c>
      <c r="AD44" s="30" t="str">
        <f aca="false">IF(A44="","",IF(COUNTIF(D44:L44,"No")&gt;0,"No elegible",IF(COUNTIF(D44:L44,"Sí")=9,"Elegible","Pendiente")))</f>
        <v/>
      </c>
      <c r="AE44" s="31" t="str">
        <f aca="false">TRIM(IF(D44="No","O1 ","")&amp;IF(E44="No","O2 ","")&amp;IF(F44="No","O3 ","")&amp;IF(G44="No","T1 ","")&amp;IF(H44="No","T2 ","")&amp;IF(I44="No","F1 ","")&amp;IF(J44="No","F2 ","")&amp;IF(K44="No","F3 ","")&amp;IF(L44="No","E1 ",""))</f>
        <v/>
      </c>
      <c r="AF44" s="15" t="str">
        <f aca="false">IF(AD44="Elegible",SUM(M44,N44),"")</f>
        <v/>
      </c>
      <c r="AG44" s="15" t="str">
        <f aca="false">IF(AD44="Elegible",SUM(O44,P44),"")</f>
        <v/>
      </c>
      <c r="AH44" s="15" t="str">
        <f aca="false">IF(AD44="Elegible",SUM(Q44,R44,S44,T44,U44),"")</f>
        <v/>
      </c>
      <c r="AI44" s="15" t="str">
        <f aca="false">IF(AD44="Elegible",SUM(V44,W44,X44),"")</f>
        <v/>
      </c>
      <c r="AJ44" s="15" t="str">
        <f aca="false">IF(AD44="Elegible",SUM(Y44,Z44,AA44,AB44),"")</f>
        <v/>
      </c>
      <c r="AK44" s="15" t="str">
        <f aca="false">IF(AND(AD44="Elegible",COUNT(M44:AB44)=16),SUM(M44:AB44),"")</f>
        <v/>
      </c>
      <c r="AL44" s="32" t="str">
        <f aca="false">IF(AK44="","",ROUND(SUMPRODUCT($M$8:$AB$8,M44:AB44)/(3*SUM($M$8:$AB$8))*100,1))</f>
        <v/>
      </c>
      <c r="AM44" s="30" t="str">
        <f aca="false">IF(AL44="","",IF(AL44&gt;=Parámetros!$D$41,"Alta",IF(AL44&gt;=Parámetros!$D$42,"Media","Baja")))</f>
        <v/>
      </c>
      <c r="AN44" s="15" t="str">
        <f aca="false">IF(AL44="","",AR44)</f>
        <v/>
      </c>
      <c r="AO44" s="31" t="str">
        <f aca="false">IF(A44="","",TRIM(IF(AND(I44="Sí",1_Proyectos!L44&lt;&gt;"",OR(AND(Parámetros!$D$35&lt;&gt;"",1_Proyectos!L44&lt;Parámetros!$D$35),AND(Parámetros!$D$36&lt;&gt;"",1_Proyectos!L44&gt;Parámetros!$D$36))),"F1 en Sí con monto fuera de rango. ","")&amp;IF(AND(E44="Sí",1_Proyectos!F44=""),"O2 en Sí sin fracción principal. ","")&amp;IF(AND(AD44="Elegible",COUNT(M44:AB44)&lt;16),"Elegible con calificaciones incompletas. ","")&amp;IF(AND(1_Proyectos!F44&lt;&gt;"",COUNTA(1_Proyectos!F44:I44)&gt;N(1_Proyectos!K44)),"Fracción repetida en el registro. ","")&amp;IF(AND(AD44="Elegible",R44=""),"Falta monto o costo total para calcular F5. ","")&amp;IF(AND(A44&lt;&gt;"",1_Proyectos!D44=""),"Falta tipo de proponente. ","")))</f>
        <v/>
      </c>
      <c r="AP44" s="35"/>
      <c r="AQ44" s="15" t="str">
        <f aca="false">IF(A44="","",IF(AL44&lt;&gt;"",AL44*1000000+N44*10000+O44*100+AI44-ROW()/1000,-ROW()))</f>
        <v/>
      </c>
      <c r="AR44" s="15" t="str">
        <f aca="false">IF(AQ44="","",COUNTIF($AQ$9:$AQ$58,"&gt;"&amp;AQ44)+1)</f>
        <v/>
      </c>
    </row>
    <row r="45" customFormat="false" ht="15" hidden="false" customHeight="false" outlineLevel="0" collapsed="false">
      <c r="A45" s="27" t="str">
        <f aca="false">IF(1_Proyectos!A45="","",1_Proyectos!A45)</f>
        <v/>
      </c>
      <c r="B45" s="27" t="str">
        <f aca="false">IF(1_Proyectos!B45="","",1_Proyectos!B45)</f>
        <v/>
      </c>
      <c r="C45" s="27" t="str">
        <f aca="false">IF(1_Proyectos!F45="","",1_Proyectos!F45)</f>
        <v/>
      </c>
      <c r="D45" s="34"/>
      <c r="E45" s="34"/>
      <c r="F45" s="34"/>
      <c r="G45" s="34"/>
      <c r="H45" s="34"/>
      <c r="I45" s="34"/>
      <c r="J45" s="34"/>
      <c r="K45" s="34"/>
      <c r="L45" s="34"/>
      <c r="M45" s="29" t="str">
        <f aca="false">IF(1_Proyectos!K45="","",IF(1_Proyectos!K45&gt;=Parámetros!$D$37,3,IF(1_Proyectos!K45&gt;=Parámetros!$D$38,2,1)))</f>
        <v/>
      </c>
      <c r="N45" s="34"/>
      <c r="O45" s="34"/>
      <c r="P45" s="34"/>
      <c r="Q45" s="34"/>
      <c r="R45" s="29" t="str">
        <f aca="false">IF(1_Proyectos!N45="","",IF(1_Proyectos!N45&gt;=Parámetros!$D$39,3,IF(1_Proyectos!N45&gt;=Parámetros!$D$40,2,1)))</f>
        <v/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15" t="str">
        <f aca="false">IF(A45="","",COUNTIF(D45:L45,"Sí"))</f>
        <v/>
      </c>
      <c r="AD45" s="30" t="str">
        <f aca="false">IF(A45="","",IF(COUNTIF(D45:L45,"No")&gt;0,"No elegible",IF(COUNTIF(D45:L45,"Sí")=9,"Elegible","Pendiente")))</f>
        <v/>
      </c>
      <c r="AE45" s="31" t="str">
        <f aca="false">TRIM(IF(D45="No","O1 ","")&amp;IF(E45="No","O2 ","")&amp;IF(F45="No","O3 ","")&amp;IF(G45="No","T1 ","")&amp;IF(H45="No","T2 ","")&amp;IF(I45="No","F1 ","")&amp;IF(J45="No","F2 ","")&amp;IF(K45="No","F3 ","")&amp;IF(L45="No","E1 ",""))</f>
        <v/>
      </c>
      <c r="AF45" s="15" t="str">
        <f aca="false">IF(AD45="Elegible",SUM(M45,N45),"")</f>
        <v/>
      </c>
      <c r="AG45" s="15" t="str">
        <f aca="false">IF(AD45="Elegible",SUM(O45,P45),"")</f>
        <v/>
      </c>
      <c r="AH45" s="15" t="str">
        <f aca="false">IF(AD45="Elegible",SUM(Q45,R45,S45,T45,U45),"")</f>
        <v/>
      </c>
      <c r="AI45" s="15" t="str">
        <f aca="false">IF(AD45="Elegible",SUM(V45,W45,X45),"")</f>
        <v/>
      </c>
      <c r="AJ45" s="15" t="str">
        <f aca="false">IF(AD45="Elegible",SUM(Y45,Z45,AA45,AB45),"")</f>
        <v/>
      </c>
      <c r="AK45" s="15" t="str">
        <f aca="false">IF(AND(AD45="Elegible",COUNT(M45:AB45)=16),SUM(M45:AB45),"")</f>
        <v/>
      </c>
      <c r="AL45" s="32" t="str">
        <f aca="false">IF(AK45="","",ROUND(SUMPRODUCT($M$8:$AB$8,M45:AB45)/(3*SUM($M$8:$AB$8))*100,1))</f>
        <v/>
      </c>
      <c r="AM45" s="30" t="str">
        <f aca="false">IF(AL45="","",IF(AL45&gt;=Parámetros!$D$41,"Alta",IF(AL45&gt;=Parámetros!$D$42,"Media","Baja")))</f>
        <v/>
      </c>
      <c r="AN45" s="15" t="str">
        <f aca="false">IF(AL45="","",AR45)</f>
        <v/>
      </c>
      <c r="AO45" s="31" t="str">
        <f aca="false">IF(A45="","",TRIM(IF(AND(I45="Sí",1_Proyectos!L45&lt;&gt;"",OR(AND(Parámetros!$D$35&lt;&gt;"",1_Proyectos!L45&lt;Parámetros!$D$35),AND(Parámetros!$D$36&lt;&gt;"",1_Proyectos!L45&gt;Parámetros!$D$36))),"F1 en Sí con monto fuera de rango. ","")&amp;IF(AND(E45="Sí",1_Proyectos!F45=""),"O2 en Sí sin fracción principal. ","")&amp;IF(AND(AD45="Elegible",COUNT(M45:AB45)&lt;16),"Elegible con calificaciones incompletas. ","")&amp;IF(AND(1_Proyectos!F45&lt;&gt;"",COUNTA(1_Proyectos!F45:I45)&gt;N(1_Proyectos!K45)),"Fracción repetida en el registro. ","")&amp;IF(AND(AD45="Elegible",R45=""),"Falta monto o costo total para calcular F5. ","")&amp;IF(AND(A45&lt;&gt;"",1_Proyectos!D45=""),"Falta tipo de proponente. ","")))</f>
        <v/>
      </c>
      <c r="AP45" s="35"/>
      <c r="AQ45" s="15" t="str">
        <f aca="false">IF(A45="","",IF(AL45&lt;&gt;"",AL45*1000000+N45*10000+O45*100+AI45-ROW()/1000,-ROW()))</f>
        <v/>
      </c>
      <c r="AR45" s="15" t="str">
        <f aca="false">IF(AQ45="","",COUNTIF($AQ$9:$AQ$58,"&gt;"&amp;AQ45)+1)</f>
        <v/>
      </c>
    </row>
    <row r="46" customFormat="false" ht="15" hidden="false" customHeight="false" outlineLevel="0" collapsed="false">
      <c r="A46" s="27" t="str">
        <f aca="false">IF(1_Proyectos!A46="","",1_Proyectos!A46)</f>
        <v/>
      </c>
      <c r="B46" s="27" t="str">
        <f aca="false">IF(1_Proyectos!B46="","",1_Proyectos!B46)</f>
        <v/>
      </c>
      <c r="C46" s="27" t="str">
        <f aca="false">IF(1_Proyectos!F46="","",1_Proyectos!F46)</f>
        <v/>
      </c>
      <c r="D46" s="34"/>
      <c r="E46" s="34"/>
      <c r="F46" s="34"/>
      <c r="G46" s="34"/>
      <c r="H46" s="34"/>
      <c r="I46" s="34"/>
      <c r="J46" s="34"/>
      <c r="K46" s="34"/>
      <c r="L46" s="34"/>
      <c r="M46" s="29" t="str">
        <f aca="false">IF(1_Proyectos!K46="","",IF(1_Proyectos!K46&gt;=Parámetros!$D$37,3,IF(1_Proyectos!K46&gt;=Parámetros!$D$38,2,1)))</f>
        <v/>
      </c>
      <c r="N46" s="34"/>
      <c r="O46" s="34"/>
      <c r="P46" s="34"/>
      <c r="Q46" s="34"/>
      <c r="R46" s="29" t="str">
        <f aca="false">IF(1_Proyectos!N46="","",IF(1_Proyectos!N46&gt;=Parámetros!$D$39,3,IF(1_Proyectos!N46&gt;=Parámetros!$D$40,2,1)))</f>
        <v/>
      </c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15" t="str">
        <f aca="false">IF(A46="","",COUNTIF(D46:L46,"Sí"))</f>
        <v/>
      </c>
      <c r="AD46" s="30" t="str">
        <f aca="false">IF(A46="","",IF(COUNTIF(D46:L46,"No")&gt;0,"No elegible",IF(COUNTIF(D46:L46,"Sí")=9,"Elegible","Pendiente")))</f>
        <v/>
      </c>
      <c r="AE46" s="31" t="str">
        <f aca="false">TRIM(IF(D46="No","O1 ","")&amp;IF(E46="No","O2 ","")&amp;IF(F46="No","O3 ","")&amp;IF(G46="No","T1 ","")&amp;IF(H46="No","T2 ","")&amp;IF(I46="No","F1 ","")&amp;IF(J46="No","F2 ","")&amp;IF(K46="No","F3 ","")&amp;IF(L46="No","E1 ",""))</f>
        <v/>
      </c>
      <c r="AF46" s="15" t="str">
        <f aca="false">IF(AD46="Elegible",SUM(M46,N46),"")</f>
        <v/>
      </c>
      <c r="AG46" s="15" t="str">
        <f aca="false">IF(AD46="Elegible",SUM(O46,P46),"")</f>
        <v/>
      </c>
      <c r="AH46" s="15" t="str">
        <f aca="false">IF(AD46="Elegible",SUM(Q46,R46,S46,T46,U46),"")</f>
        <v/>
      </c>
      <c r="AI46" s="15" t="str">
        <f aca="false">IF(AD46="Elegible",SUM(V46,W46,X46),"")</f>
        <v/>
      </c>
      <c r="AJ46" s="15" t="str">
        <f aca="false">IF(AD46="Elegible",SUM(Y46,Z46,AA46,AB46),"")</f>
        <v/>
      </c>
      <c r="AK46" s="15" t="str">
        <f aca="false">IF(AND(AD46="Elegible",COUNT(M46:AB46)=16),SUM(M46:AB46),"")</f>
        <v/>
      </c>
      <c r="AL46" s="32" t="str">
        <f aca="false">IF(AK46="","",ROUND(SUMPRODUCT($M$8:$AB$8,M46:AB46)/(3*SUM($M$8:$AB$8))*100,1))</f>
        <v/>
      </c>
      <c r="AM46" s="30" t="str">
        <f aca="false">IF(AL46="","",IF(AL46&gt;=Parámetros!$D$41,"Alta",IF(AL46&gt;=Parámetros!$D$42,"Media","Baja")))</f>
        <v/>
      </c>
      <c r="AN46" s="15" t="str">
        <f aca="false">IF(AL46="","",AR46)</f>
        <v/>
      </c>
      <c r="AO46" s="31" t="str">
        <f aca="false">IF(A46="","",TRIM(IF(AND(I46="Sí",1_Proyectos!L46&lt;&gt;"",OR(AND(Parámetros!$D$35&lt;&gt;"",1_Proyectos!L46&lt;Parámetros!$D$35),AND(Parámetros!$D$36&lt;&gt;"",1_Proyectos!L46&gt;Parámetros!$D$36))),"F1 en Sí con monto fuera de rango. ","")&amp;IF(AND(E46="Sí",1_Proyectos!F46=""),"O2 en Sí sin fracción principal. ","")&amp;IF(AND(AD46="Elegible",COUNT(M46:AB46)&lt;16),"Elegible con calificaciones incompletas. ","")&amp;IF(AND(1_Proyectos!F46&lt;&gt;"",COUNTA(1_Proyectos!F46:I46)&gt;N(1_Proyectos!K46)),"Fracción repetida en el registro. ","")&amp;IF(AND(AD46="Elegible",R46=""),"Falta monto o costo total para calcular F5. ","")&amp;IF(AND(A46&lt;&gt;"",1_Proyectos!D46=""),"Falta tipo de proponente. ","")))</f>
        <v/>
      </c>
      <c r="AP46" s="35"/>
      <c r="AQ46" s="15" t="str">
        <f aca="false">IF(A46="","",IF(AL46&lt;&gt;"",AL46*1000000+N46*10000+O46*100+AI46-ROW()/1000,-ROW()))</f>
        <v/>
      </c>
      <c r="AR46" s="15" t="str">
        <f aca="false">IF(AQ46="","",COUNTIF($AQ$9:$AQ$58,"&gt;"&amp;AQ46)+1)</f>
        <v/>
      </c>
    </row>
    <row r="47" customFormat="false" ht="15" hidden="false" customHeight="false" outlineLevel="0" collapsed="false">
      <c r="A47" s="27" t="str">
        <f aca="false">IF(1_Proyectos!A47="","",1_Proyectos!A47)</f>
        <v/>
      </c>
      <c r="B47" s="27" t="str">
        <f aca="false">IF(1_Proyectos!B47="","",1_Proyectos!B47)</f>
        <v/>
      </c>
      <c r="C47" s="27" t="str">
        <f aca="false">IF(1_Proyectos!F47="","",1_Proyectos!F47)</f>
        <v/>
      </c>
      <c r="D47" s="34"/>
      <c r="E47" s="34"/>
      <c r="F47" s="34"/>
      <c r="G47" s="34"/>
      <c r="H47" s="34"/>
      <c r="I47" s="34"/>
      <c r="J47" s="34"/>
      <c r="K47" s="34"/>
      <c r="L47" s="34"/>
      <c r="M47" s="29" t="str">
        <f aca="false">IF(1_Proyectos!K47="","",IF(1_Proyectos!K47&gt;=Parámetros!$D$37,3,IF(1_Proyectos!K47&gt;=Parámetros!$D$38,2,1)))</f>
        <v/>
      </c>
      <c r="N47" s="34"/>
      <c r="O47" s="34"/>
      <c r="P47" s="34"/>
      <c r="Q47" s="34"/>
      <c r="R47" s="29" t="str">
        <f aca="false">IF(1_Proyectos!N47="","",IF(1_Proyectos!N47&gt;=Parámetros!$D$39,3,IF(1_Proyectos!N47&gt;=Parámetros!$D$40,2,1)))</f>
        <v/>
      </c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15" t="str">
        <f aca="false">IF(A47="","",COUNTIF(D47:L47,"Sí"))</f>
        <v/>
      </c>
      <c r="AD47" s="30" t="str">
        <f aca="false">IF(A47="","",IF(COUNTIF(D47:L47,"No")&gt;0,"No elegible",IF(COUNTIF(D47:L47,"Sí")=9,"Elegible","Pendiente")))</f>
        <v/>
      </c>
      <c r="AE47" s="31" t="str">
        <f aca="false">TRIM(IF(D47="No","O1 ","")&amp;IF(E47="No","O2 ","")&amp;IF(F47="No","O3 ","")&amp;IF(G47="No","T1 ","")&amp;IF(H47="No","T2 ","")&amp;IF(I47="No","F1 ","")&amp;IF(J47="No","F2 ","")&amp;IF(K47="No","F3 ","")&amp;IF(L47="No","E1 ",""))</f>
        <v/>
      </c>
      <c r="AF47" s="15" t="str">
        <f aca="false">IF(AD47="Elegible",SUM(M47,N47),"")</f>
        <v/>
      </c>
      <c r="AG47" s="15" t="str">
        <f aca="false">IF(AD47="Elegible",SUM(O47,P47),"")</f>
        <v/>
      </c>
      <c r="AH47" s="15" t="str">
        <f aca="false">IF(AD47="Elegible",SUM(Q47,R47,S47,T47,U47),"")</f>
        <v/>
      </c>
      <c r="AI47" s="15" t="str">
        <f aca="false">IF(AD47="Elegible",SUM(V47,W47,X47),"")</f>
        <v/>
      </c>
      <c r="AJ47" s="15" t="str">
        <f aca="false">IF(AD47="Elegible",SUM(Y47,Z47,AA47,AB47),"")</f>
        <v/>
      </c>
      <c r="AK47" s="15" t="str">
        <f aca="false">IF(AND(AD47="Elegible",COUNT(M47:AB47)=16),SUM(M47:AB47),"")</f>
        <v/>
      </c>
      <c r="AL47" s="32" t="str">
        <f aca="false">IF(AK47="","",ROUND(SUMPRODUCT($M$8:$AB$8,M47:AB47)/(3*SUM($M$8:$AB$8))*100,1))</f>
        <v/>
      </c>
      <c r="AM47" s="30" t="str">
        <f aca="false">IF(AL47="","",IF(AL47&gt;=Parámetros!$D$41,"Alta",IF(AL47&gt;=Parámetros!$D$42,"Media","Baja")))</f>
        <v/>
      </c>
      <c r="AN47" s="15" t="str">
        <f aca="false">IF(AL47="","",AR47)</f>
        <v/>
      </c>
      <c r="AO47" s="31" t="str">
        <f aca="false">IF(A47="","",TRIM(IF(AND(I47="Sí",1_Proyectos!L47&lt;&gt;"",OR(AND(Parámetros!$D$35&lt;&gt;"",1_Proyectos!L47&lt;Parámetros!$D$35),AND(Parámetros!$D$36&lt;&gt;"",1_Proyectos!L47&gt;Parámetros!$D$36))),"F1 en Sí con monto fuera de rango. ","")&amp;IF(AND(E47="Sí",1_Proyectos!F47=""),"O2 en Sí sin fracción principal. ","")&amp;IF(AND(AD47="Elegible",COUNT(M47:AB47)&lt;16),"Elegible con calificaciones incompletas. ","")&amp;IF(AND(1_Proyectos!F47&lt;&gt;"",COUNTA(1_Proyectos!F47:I47)&gt;N(1_Proyectos!K47)),"Fracción repetida en el registro. ","")&amp;IF(AND(AD47="Elegible",R47=""),"Falta monto o costo total para calcular F5. ","")&amp;IF(AND(A47&lt;&gt;"",1_Proyectos!D47=""),"Falta tipo de proponente. ","")))</f>
        <v/>
      </c>
      <c r="AP47" s="35"/>
      <c r="AQ47" s="15" t="str">
        <f aca="false">IF(A47="","",IF(AL47&lt;&gt;"",AL47*1000000+N47*10000+O47*100+AI47-ROW()/1000,-ROW()))</f>
        <v/>
      </c>
      <c r="AR47" s="15" t="str">
        <f aca="false">IF(AQ47="","",COUNTIF($AQ$9:$AQ$58,"&gt;"&amp;AQ47)+1)</f>
        <v/>
      </c>
    </row>
    <row r="48" customFormat="false" ht="15" hidden="false" customHeight="false" outlineLevel="0" collapsed="false">
      <c r="A48" s="27" t="str">
        <f aca="false">IF(1_Proyectos!A48="","",1_Proyectos!A48)</f>
        <v/>
      </c>
      <c r="B48" s="27" t="str">
        <f aca="false">IF(1_Proyectos!B48="","",1_Proyectos!B48)</f>
        <v/>
      </c>
      <c r="C48" s="27" t="str">
        <f aca="false">IF(1_Proyectos!F48="","",1_Proyectos!F48)</f>
        <v/>
      </c>
      <c r="D48" s="34"/>
      <c r="E48" s="34"/>
      <c r="F48" s="34"/>
      <c r="G48" s="34"/>
      <c r="H48" s="34"/>
      <c r="I48" s="34"/>
      <c r="J48" s="34"/>
      <c r="K48" s="34"/>
      <c r="L48" s="34"/>
      <c r="M48" s="29" t="str">
        <f aca="false">IF(1_Proyectos!K48="","",IF(1_Proyectos!K48&gt;=Parámetros!$D$37,3,IF(1_Proyectos!K48&gt;=Parámetros!$D$38,2,1)))</f>
        <v/>
      </c>
      <c r="N48" s="34"/>
      <c r="O48" s="34"/>
      <c r="P48" s="34"/>
      <c r="Q48" s="34"/>
      <c r="R48" s="29" t="str">
        <f aca="false">IF(1_Proyectos!N48="","",IF(1_Proyectos!N48&gt;=Parámetros!$D$39,3,IF(1_Proyectos!N48&gt;=Parámetros!$D$40,2,1)))</f>
        <v/>
      </c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15" t="str">
        <f aca="false">IF(A48="","",COUNTIF(D48:L48,"Sí"))</f>
        <v/>
      </c>
      <c r="AD48" s="30" t="str">
        <f aca="false">IF(A48="","",IF(COUNTIF(D48:L48,"No")&gt;0,"No elegible",IF(COUNTIF(D48:L48,"Sí")=9,"Elegible","Pendiente")))</f>
        <v/>
      </c>
      <c r="AE48" s="31" t="str">
        <f aca="false">TRIM(IF(D48="No","O1 ","")&amp;IF(E48="No","O2 ","")&amp;IF(F48="No","O3 ","")&amp;IF(G48="No","T1 ","")&amp;IF(H48="No","T2 ","")&amp;IF(I48="No","F1 ","")&amp;IF(J48="No","F2 ","")&amp;IF(K48="No","F3 ","")&amp;IF(L48="No","E1 ",""))</f>
        <v/>
      </c>
      <c r="AF48" s="15" t="str">
        <f aca="false">IF(AD48="Elegible",SUM(M48,N48),"")</f>
        <v/>
      </c>
      <c r="AG48" s="15" t="str">
        <f aca="false">IF(AD48="Elegible",SUM(O48,P48),"")</f>
        <v/>
      </c>
      <c r="AH48" s="15" t="str">
        <f aca="false">IF(AD48="Elegible",SUM(Q48,R48,S48,T48,U48),"")</f>
        <v/>
      </c>
      <c r="AI48" s="15" t="str">
        <f aca="false">IF(AD48="Elegible",SUM(V48,W48,X48),"")</f>
        <v/>
      </c>
      <c r="AJ48" s="15" t="str">
        <f aca="false">IF(AD48="Elegible",SUM(Y48,Z48,AA48,AB48),"")</f>
        <v/>
      </c>
      <c r="AK48" s="15" t="str">
        <f aca="false">IF(AND(AD48="Elegible",COUNT(M48:AB48)=16),SUM(M48:AB48),"")</f>
        <v/>
      </c>
      <c r="AL48" s="32" t="str">
        <f aca="false">IF(AK48="","",ROUND(SUMPRODUCT($M$8:$AB$8,M48:AB48)/(3*SUM($M$8:$AB$8))*100,1))</f>
        <v/>
      </c>
      <c r="AM48" s="30" t="str">
        <f aca="false">IF(AL48="","",IF(AL48&gt;=Parámetros!$D$41,"Alta",IF(AL48&gt;=Parámetros!$D$42,"Media","Baja")))</f>
        <v/>
      </c>
      <c r="AN48" s="15" t="str">
        <f aca="false">IF(AL48="","",AR48)</f>
        <v/>
      </c>
      <c r="AO48" s="31" t="str">
        <f aca="false">IF(A48="","",TRIM(IF(AND(I48="Sí",1_Proyectos!L48&lt;&gt;"",OR(AND(Parámetros!$D$35&lt;&gt;"",1_Proyectos!L48&lt;Parámetros!$D$35),AND(Parámetros!$D$36&lt;&gt;"",1_Proyectos!L48&gt;Parámetros!$D$36))),"F1 en Sí con monto fuera de rango. ","")&amp;IF(AND(E48="Sí",1_Proyectos!F48=""),"O2 en Sí sin fracción principal. ","")&amp;IF(AND(AD48="Elegible",COUNT(M48:AB48)&lt;16),"Elegible con calificaciones incompletas. ","")&amp;IF(AND(1_Proyectos!F48&lt;&gt;"",COUNTA(1_Proyectos!F48:I48)&gt;N(1_Proyectos!K48)),"Fracción repetida en el registro. ","")&amp;IF(AND(AD48="Elegible",R48=""),"Falta monto o costo total para calcular F5. ","")&amp;IF(AND(A48&lt;&gt;"",1_Proyectos!D48=""),"Falta tipo de proponente. ","")))</f>
        <v/>
      </c>
      <c r="AP48" s="35"/>
      <c r="AQ48" s="15" t="str">
        <f aca="false">IF(A48="","",IF(AL48&lt;&gt;"",AL48*1000000+N48*10000+O48*100+AI48-ROW()/1000,-ROW()))</f>
        <v/>
      </c>
      <c r="AR48" s="15" t="str">
        <f aca="false">IF(AQ48="","",COUNTIF($AQ$9:$AQ$58,"&gt;"&amp;AQ48)+1)</f>
        <v/>
      </c>
    </row>
    <row r="49" customFormat="false" ht="15" hidden="false" customHeight="false" outlineLevel="0" collapsed="false">
      <c r="A49" s="27" t="str">
        <f aca="false">IF(1_Proyectos!A49="","",1_Proyectos!A49)</f>
        <v/>
      </c>
      <c r="B49" s="27" t="str">
        <f aca="false">IF(1_Proyectos!B49="","",1_Proyectos!B49)</f>
        <v/>
      </c>
      <c r="C49" s="27" t="str">
        <f aca="false">IF(1_Proyectos!F49="","",1_Proyectos!F49)</f>
        <v/>
      </c>
      <c r="D49" s="34"/>
      <c r="E49" s="34"/>
      <c r="F49" s="34"/>
      <c r="G49" s="34"/>
      <c r="H49" s="34"/>
      <c r="I49" s="34"/>
      <c r="J49" s="34"/>
      <c r="K49" s="34"/>
      <c r="L49" s="34"/>
      <c r="M49" s="29" t="str">
        <f aca="false">IF(1_Proyectos!K49="","",IF(1_Proyectos!K49&gt;=Parámetros!$D$37,3,IF(1_Proyectos!K49&gt;=Parámetros!$D$38,2,1)))</f>
        <v/>
      </c>
      <c r="N49" s="34"/>
      <c r="O49" s="34"/>
      <c r="P49" s="34"/>
      <c r="Q49" s="34"/>
      <c r="R49" s="29" t="str">
        <f aca="false">IF(1_Proyectos!N49="","",IF(1_Proyectos!N49&gt;=Parámetros!$D$39,3,IF(1_Proyectos!N49&gt;=Parámetros!$D$40,2,1)))</f>
        <v/>
      </c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15" t="str">
        <f aca="false">IF(A49="","",COUNTIF(D49:L49,"Sí"))</f>
        <v/>
      </c>
      <c r="AD49" s="30" t="str">
        <f aca="false">IF(A49="","",IF(COUNTIF(D49:L49,"No")&gt;0,"No elegible",IF(COUNTIF(D49:L49,"Sí")=9,"Elegible","Pendiente")))</f>
        <v/>
      </c>
      <c r="AE49" s="31" t="str">
        <f aca="false">TRIM(IF(D49="No","O1 ","")&amp;IF(E49="No","O2 ","")&amp;IF(F49="No","O3 ","")&amp;IF(G49="No","T1 ","")&amp;IF(H49="No","T2 ","")&amp;IF(I49="No","F1 ","")&amp;IF(J49="No","F2 ","")&amp;IF(K49="No","F3 ","")&amp;IF(L49="No","E1 ",""))</f>
        <v/>
      </c>
      <c r="AF49" s="15" t="str">
        <f aca="false">IF(AD49="Elegible",SUM(M49,N49),"")</f>
        <v/>
      </c>
      <c r="AG49" s="15" t="str">
        <f aca="false">IF(AD49="Elegible",SUM(O49,P49),"")</f>
        <v/>
      </c>
      <c r="AH49" s="15" t="str">
        <f aca="false">IF(AD49="Elegible",SUM(Q49,R49,S49,T49,U49),"")</f>
        <v/>
      </c>
      <c r="AI49" s="15" t="str">
        <f aca="false">IF(AD49="Elegible",SUM(V49,W49,X49),"")</f>
        <v/>
      </c>
      <c r="AJ49" s="15" t="str">
        <f aca="false">IF(AD49="Elegible",SUM(Y49,Z49,AA49,AB49),"")</f>
        <v/>
      </c>
      <c r="AK49" s="15" t="str">
        <f aca="false">IF(AND(AD49="Elegible",COUNT(M49:AB49)=16),SUM(M49:AB49),"")</f>
        <v/>
      </c>
      <c r="AL49" s="32" t="str">
        <f aca="false">IF(AK49="","",ROUND(SUMPRODUCT($M$8:$AB$8,M49:AB49)/(3*SUM($M$8:$AB$8))*100,1))</f>
        <v/>
      </c>
      <c r="AM49" s="30" t="str">
        <f aca="false">IF(AL49="","",IF(AL49&gt;=Parámetros!$D$41,"Alta",IF(AL49&gt;=Parámetros!$D$42,"Media","Baja")))</f>
        <v/>
      </c>
      <c r="AN49" s="15" t="str">
        <f aca="false">IF(AL49="","",AR49)</f>
        <v/>
      </c>
      <c r="AO49" s="31" t="str">
        <f aca="false">IF(A49="","",TRIM(IF(AND(I49="Sí",1_Proyectos!L49&lt;&gt;"",OR(AND(Parámetros!$D$35&lt;&gt;"",1_Proyectos!L49&lt;Parámetros!$D$35),AND(Parámetros!$D$36&lt;&gt;"",1_Proyectos!L49&gt;Parámetros!$D$36))),"F1 en Sí con monto fuera de rango. ","")&amp;IF(AND(E49="Sí",1_Proyectos!F49=""),"O2 en Sí sin fracción principal. ","")&amp;IF(AND(AD49="Elegible",COUNT(M49:AB49)&lt;16),"Elegible con calificaciones incompletas. ","")&amp;IF(AND(1_Proyectos!F49&lt;&gt;"",COUNTA(1_Proyectos!F49:I49)&gt;N(1_Proyectos!K49)),"Fracción repetida en el registro. ","")&amp;IF(AND(AD49="Elegible",R49=""),"Falta monto o costo total para calcular F5. ","")&amp;IF(AND(A49&lt;&gt;"",1_Proyectos!D49=""),"Falta tipo de proponente. ","")))</f>
        <v/>
      </c>
      <c r="AP49" s="35"/>
      <c r="AQ49" s="15" t="str">
        <f aca="false">IF(A49="","",IF(AL49&lt;&gt;"",AL49*1000000+N49*10000+O49*100+AI49-ROW()/1000,-ROW()))</f>
        <v/>
      </c>
      <c r="AR49" s="15" t="str">
        <f aca="false">IF(AQ49="","",COUNTIF($AQ$9:$AQ$58,"&gt;"&amp;AQ49)+1)</f>
        <v/>
      </c>
    </row>
    <row r="50" customFormat="false" ht="15" hidden="false" customHeight="false" outlineLevel="0" collapsed="false">
      <c r="A50" s="27" t="str">
        <f aca="false">IF(1_Proyectos!A50="","",1_Proyectos!A50)</f>
        <v/>
      </c>
      <c r="B50" s="27" t="str">
        <f aca="false">IF(1_Proyectos!B50="","",1_Proyectos!B50)</f>
        <v/>
      </c>
      <c r="C50" s="27" t="str">
        <f aca="false">IF(1_Proyectos!F50="","",1_Proyectos!F50)</f>
        <v/>
      </c>
      <c r="D50" s="34"/>
      <c r="E50" s="34"/>
      <c r="F50" s="34"/>
      <c r="G50" s="34"/>
      <c r="H50" s="34"/>
      <c r="I50" s="34"/>
      <c r="J50" s="34"/>
      <c r="K50" s="34"/>
      <c r="L50" s="34"/>
      <c r="M50" s="29" t="str">
        <f aca="false">IF(1_Proyectos!K50="","",IF(1_Proyectos!K50&gt;=Parámetros!$D$37,3,IF(1_Proyectos!K50&gt;=Parámetros!$D$38,2,1)))</f>
        <v/>
      </c>
      <c r="N50" s="34"/>
      <c r="O50" s="34"/>
      <c r="P50" s="34"/>
      <c r="Q50" s="34"/>
      <c r="R50" s="29" t="str">
        <f aca="false">IF(1_Proyectos!N50="","",IF(1_Proyectos!N50&gt;=Parámetros!$D$39,3,IF(1_Proyectos!N50&gt;=Parámetros!$D$40,2,1)))</f>
        <v/>
      </c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15" t="str">
        <f aca="false">IF(A50="","",COUNTIF(D50:L50,"Sí"))</f>
        <v/>
      </c>
      <c r="AD50" s="30" t="str">
        <f aca="false">IF(A50="","",IF(COUNTIF(D50:L50,"No")&gt;0,"No elegible",IF(COUNTIF(D50:L50,"Sí")=9,"Elegible","Pendiente")))</f>
        <v/>
      </c>
      <c r="AE50" s="31" t="str">
        <f aca="false">TRIM(IF(D50="No","O1 ","")&amp;IF(E50="No","O2 ","")&amp;IF(F50="No","O3 ","")&amp;IF(G50="No","T1 ","")&amp;IF(H50="No","T2 ","")&amp;IF(I50="No","F1 ","")&amp;IF(J50="No","F2 ","")&amp;IF(K50="No","F3 ","")&amp;IF(L50="No","E1 ",""))</f>
        <v/>
      </c>
      <c r="AF50" s="15" t="str">
        <f aca="false">IF(AD50="Elegible",SUM(M50,N50),"")</f>
        <v/>
      </c>
      <c r="AG50" s="15" t="str">
        <f aca="false">IF(AD50="Elegible",SUM(O50,P50),"")</f>
        <v/>
      </c>
      <c r="AH50" s="15" t="str">
        <f aca="false">IF(AD50="Elegible",SUM(Q50,R50,S50,T50,U50),"")</f>
        <v/>
      </c>
      <c r="AI50" s="15" t="str">
        <f aca="false">IF(AD50="Elegible",SUM(V50,W50,X50),"")</f>
        <v/>
      </c>
      <c r="AJ50" s="15" t="str">
        <f aca="false">IF(AD50="Elegible",SUM(Y50,Z50,AA50,AB50),"")</f>
        <v/>
      </c>
      <c r="AK50" s="15" t="str">
        <f aca="false">IF(AND(AD50="Elegible",COUNT(M50:AB50)=16),SUM(M50:AB50),"")</f>
        <v/>
      </c>
      <c r="AL50" s="32" t="str">
        <f aca="false">IF(AK50="","",ROUND(SUMPRODUCT($M$8:$AB$8,M50:AB50)/(3*SUM($M$8:$AB$8))*100,1))</f>
        <v/>
      </c>
      <c r="AM50" s="30" t="str">
        <f aca="false">IF(AL50="","",IF(AL50&gt;=Parámetros!$D$41,"Alta",IF(AL50&gt;=Parámetros!$D$42,"Media","Baja")))</f>
        <v/>
      </c>
      <c r="AN50" s="15" t="str">
        <f aca="false">IF(AL50="","",AR50)</f>
        <v/>
      </c>
      <c r="AO50" s="31" t="str">
        <f aca="false">IF(A50="","",TRIM(IF(AND(I50="Sí",1_Proyectos!L50&lt;&gt;"",OR(AND(Parámetros!$D$35&lt;&gt;"",1_Proyectos!L50&lt;Parámetros!$D$35),AND(Parámetros!$D$36&lt;&gt;"",1_Proyectos!L50&gt;Parámetros!$D$36))),"F1 en Sí con monto fuera de rango. ","")&amp;IF(AND(E50="Sí",1_Proyectos!F50=""),"O2 en Sí sin fracción principal. ","")&amp;IF(AND(AD50="Elegible",COUNT(M50:AB50)&lt;16),"Elegible con calificaciones incompletas. ","")&amp;IF(AND(1_Proyectos!F50&lt;&gt;"",COUNTA(1_Proyectos!F50:I50)&gt;N(1_Proyectos!K50)),"Fracción repetida en el registro. ","")&amp;IF(AND(AD50="Elegible",R50=""),"Falta monto o costo total para calcular F5. ","")&amp;IF(AND(A50&lt;&gt;"",1_Proyectos!D50=""),"Falta tipo de proponente. ","")))</f>
        <v/>
      </c>
      <c r="AP50" s="35"/>
      <c r="AQ50" s="15" t="str">
        <f aca="false">IF(A50="","",IF(AL50&lt;&gt;"",AL50*1000000+N50*10000+O50*100+AI50-ROW()/1000,-ROW()))</f>
        <v/>
      </c>
      <c r="AR50" s="15" t="str">
        <f aca="false">IF(AQ50="","",COUNTIF($AQ$9:$AQ$58,"&gt;"&amp;AQ50)+1)</f>
        <v/>
      </c>
    </row>
    <row r="51" customFormat="false" ht="15" hidden="false" customHeight="false" outlineLevel="0" collapsed="false">
      <c r="A51" s="27" t="str">
        <f aca="false">IF(1_Proyectos!A51="","",1_Proyectos!A51)</f>
        <v/>
      </c>
      <c r="B51" s="27" t="str">
        <f aca="false">IF(1_Proyectos!B51="","",1_Proyectos!B51)</f>
        <v/>
      </c>
      <c r="C51" s="27" t="str">
        <f aca="false">IF(1_Proyectos!F51="","",1_Proyectos!F51)</f>
        <v/>
      </c>
      <c r="D51" s="34"/>
      <c r="E51" s="34"/>
      <c r="F51" s="34"/>
      <c r="G51" s="34"/>
      <c r="H51" s="34"/>
      <c r="I51" s="34"/>
      <c r="J51" s="34"/>
      <c r="K51" s="34"/>
      <c r="L51" s="34"/>
      <c r="M51" s="29" t="str">
        <f aca="false">IF(1_Proyectos!K51="","",IF(1_Proyectos!K51&gt;=Parámetros!$D$37,3,IF(1_Proyectos!K51&gt;=Parámetros!$D$38,2,1)))</f>
        <v/>
      </c>
      <c r="N51" s="34"/>
      <c r="O51" s="34"/>
      <c r="P51" s="34"/>
      <c r="Q51" s="34"/>
      <c r="R51" s="29" t="str">
        <f aca="false">IF(1_Proyectos!N51="","",IF(1_Proyectos!N51&gt;=Parámetros!$D$39,3,IF(1_Proyectos!N51&gt;=Parámetros!$D$40,2,1)))</f>
        <v/>
      </c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15" t="str">
        <f aca="false">IF(A51="","",COUNTIF(D51:L51,"Sí"))</f>
        <v/>
      </c>
      <c r="AD51" s="30" t="str">
        <f aca="false">IF(A51="","",IF(COUNTIF(D51:L51,"No")&gt;0,"No elegible",IF(COUNTIF(D51:L51,"Sí")=9,"Elegible","Pendiente")))</f>
        <v/>
      </c>
      <c r="AE51" s="31" t="str">
        <f aca="false">TRIM(IF(D51="No","O1 ","")&amp;IF(E51="No","O2 ","")&amp;IF(F51="No","O3 ","")&amp;IF(G51="No","T1 ","")&amp;IF(H51="No","T2 ","")&amp;IF(I51="No","F1 ","")&amp;IF(J51="No","F2 ","")&amp;IF(K51="No","F3 ","")&amp;IF(L51="No","E1 ",""))</f>
        <v/>
      </c>
      <c r="AF51" s="15" t="str">
        <f aca="false">IF(AD51="Elegible",SUM(M51,N51),"")</f>
        <v/>
      </c>
      <c r="AG51" s="15" t="str">
        <f aca="false">IF(AD51="Elegible",SUM(O51,P51),"")</f>
        <v/>
      </c>
      <c r="AH51" s="15" t="str">
        <f aca="false">IF(AD51="Elegible",SUM(Q51,R51,S51,T51,U51),"")</f>
        <v/>
      </c>
      <c r="AI51" s="15" t="str">
        <f aca="false">IF(AD51="Elegible",SUM(V51,W51,X51),"")</f>
        <v/>
      </c>
      <c r="AJ51" s="15" t="str">
        <f aca="false">IF(AD51="Elegible",SUM(Y51,Z51,AA51,AB51),"")</f>
        <v/>
      </c>
      <c r="AK51" s="15" t="str">
        <f aca="false">IF(AND(AD51="Elegible",COUNT(M51:AB51)=16),SUM(M51:AB51),"")</f>
        <v/>
      </c>
      <c r="AL51" s="32" t="str">
        <f aca="false">IF(AK51="","",ROUND(SUMPRODUCT($M$8:$AB$8,M51:AB51)/(3*SUM($M$8:$AB$8))*100,1))</f>
        <v/>
      </c>
      <c r="AM51" s="30" t="str">
        <f aca="false">IF(AL51="","",IF(AL51&gt;=Parámetros!$D$41,"Alta",IF(AL51&gt;=Parámetros!$D$42,"Media","Baja")))</f>
        <v/>
      </c>
      <c r="AN51" s="15" t="str">
        <f aca="false">IF(AL51="","",AR51)</f>
        <v/>
      </c>
      <c r="AO51" s="31" t="str">
        <f aca="false">IF(A51="","",TRIM(IF(AND(I51="Sí",1_Proyectos!L51&lt;&gt;"",OR(AND(Parámetros!$D$35&lt;&gt;"",1_Proyectos!L51&lt;Parámetros!$D$35),AND(Parámetros!$D$36&lt;&gt;"",1_Proyectos!L51&gt;Parámetros!$D$36))),"F1 en Sí con monto fuera de rango. ","")&amp;IF(AND(E51="Sí",1_Proyectos!F51=""),"O2 en Sí sin fracción principal. ","")&amp;IF(AND(AD51="Elegible",COUNT(M51:AB51)&lt;16),"Elegible con calificaciones incompletas. ","")&amp;IF(AND(1_Proyectos!F51&lt;&gt;"",COUNTA(1_Proyectos!F51:I51)&gt;N(1_Proyectos!K51)),"Fracción repetida en el registro. ","")&amp;IF(AND(AD51="Elegible",R51=""),"Falta monto o costo total para calcular F5. ","")&amp;IF(AND(A51&lt;&gt;"",1_Proyectos!D51=""),"Falta tipo de proponente. ","")))</f>
        <v/>
      </c>
      <c r="AP51" s="35"/>
      <c r="AQ51" s="15" t="str">
        <f aca="false">IF(A51="","",IF(AL51&lt;&gt;"",AL51*1000000+N51*10000+O51*100+AI51-ROW()/1000,-ROW()))</f>
        <v/>
      </c>
      <c r="AR51" s="15" t="str">
        <f aca="false">IF(AQ51="","",COUNTIF($AQ$9:$AQ$58,"&gt;"&amp;AQ51)+1)</f>
        <v/>
      </c>
    </row>
    <row r="52" customFormat="false" ht="15" hidden="false" customHeight="false" outlineLevel="0" collapsed="false">
      <c r="A52" s="27" t="str">
        <f aca="false">IF(1_Proyectos!A52="","",1_Proyectos!A52)</f>
        <v/>
      </c>
      <c r="B52" s="27" t="str">
        <f aca="false">IF(1_Proyectos!B52="","",1_Proyectos!B52)</f>
        <v/>
      </c>
      <c r="C52" s="27" t="str">
        <f aca="false">IF(1_Proyectos!F52="","",1_Proyectos!F52)</f>
        <v/>
      </c>
      <c r="D52" s="34"/>
      <c r="E52" s="34"/>
      <c r="F52" s="34"/>
      <c r="G52" s="34"/>
      <c r="H52" s="34"/>
      <c r="I52" s="34"/>
      <c r="J52" s="34"/>
      <c r="K52" s="34"/>
      <c r="L52" s="34"/>
      <c r="M52" s="29" t="str">
        <f aca="false">IF(1_Proyectos!K52="","",IF(1_Proyectos!K52&gt;=Parámetros!$D$37,3,IF(1_Proyectos!K52&gt;=Parámetros!$D$38,2,1)))</f>
        <v/>
      </c>
      <c r="N52" s="34"/>
      <c r="O52" s="34"/>
      <c r="P52" s="34"/>
      <c r="Q52" s="34"/>
      <c r="R52" s="29" t="str">
        <f aca="false">IF(1_Proyectos!N52="","",IF(1_Proyectos!N52&gt;=Parámetros!$D$39,3,IF(1_Proyectos!N52&gt;=Parámetros!$D$40,2,1)))</f>
        <v/>
      </c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15" t="str">
        <f aca="false">IF(A52="","",COUNTIF(D52:L52,"Sí"))</f>
        <v/>
      </c>
      <c r="AD52" s="30" t="str">
        <f aca="false">IF(A52="","",IF(COUNTIF(D52:L52,"No")&gt;0,"No elegible",IF(COUNTIF(D52:L52,"Sí")=9,"Elegible","Pendiente")))</f>
        <v/>
      </c>
      <c r="AE52" s="31" t="str">
        <f aca="false">TRIM(IF(D52="No","O1 ","")&amp;IF(E52="No","O2 ","")&amp;IF(F52="No","O3 ","")&amp;IF(G52="No","T1 ","")&amp;IF(H52="No","T2 ","")&amp;IF(I52="No","F1 ","")&amp;IF(J52="No","F2 ","")&amp;IF(K52="No","F3 ","")&amp;IF(L52="No","E1 ",""))</f>
        <v/>
      </c>
      <c r="AF52" s="15" t="str">
        <f aca="false">IF(AD52="Elegible",SUM(M52,N52),"")</f>
        <v/>
      </c>
      <c r="AG52" s="15" t="str">
        <f aca="false">IF(AD52="Elegible",SUM(O52,P52),"")</f>
        <v/>
      </c>
      <c r="AH52" s="15" t="str">
        <f aca="false">IF(AD52="Elegible",SUM(Q52,R52,S52,T52,U52),"")</f>
        <v/>
      </c>
      <c r="AI52" s="15" t="str">
        <f aca="false">IF(AD52="Elegible",SUM(V52,W52,X52),"")</f>
        <v/>
      </c>
      <c r="AJ52" s="15" t="str">
        <f aca="false">IF(AD52="Elegible",SUM(Y52,Z52,AA52,AB52),"")</f>
        <v/>
      </c>
      <c r="AK52" s="15" t="str">
        <f aca="false">IF(AND(AD52="Elegible",COUNT(M52:AB52)=16),SUM(M52:AB52),"")</f>
        <v/>
      </c>
      <c r="AL52" s="32" t="str">
        <f aca="false">IF(AK52="","",ROUND(SUMPRODUCT($M$8:$AB$8,M52:AB52)/(3*SUM($M$8:$AB$8))*100,1))</f>
        <v/>
      </c>
      <c r="AM52" s="30" t="str">
        <f aca="false">IF(AL52="","",IF(AL52&gt;=Parámetros!$D$41,"Alta",IF(AL52&gt;=Parámetros!$D$42,"Media","Baja")))</f>
        <v/>
      </c>
      <c r="AN52" s="15" t="str">
        <f aca="false">IF(AL52="","",AR52)</f>
        <v/>
      </c>
      <c r="AO52" s="31" t="str">
        <f aca="false">IF(A52="","",TRIM(IF(AND(I52="Sí",1_Proyectos!L52&lt;&gt;"",OR(AND(Parámetros!$D$35&lt;&gt;"",1_Proyectos!L52&lt;Parámetros!$D$35),AND(Parámetros!$D$36&lt;&gt;"",1_Proyectos!L52&gt;Parámetros!$D$36))),"F1 en Sí con monto fuera de rango. ","")&amp;IF(AND(E52="Sí",1_Proyectos!F52=""),"O2 en Sí sin fracción principal. ","")&amp;IF(AND(AD52="Elegible",COUNT(M52:AB52)&lt;16),"Elegible con calificaciones incompletas. ","")&amp;IF(AND(1_Proyectos!F52&lt;&gt;"",COUNTA(1_Proyectos!F52:I52)&gt;N(1_Proyectos!K52)),"Fracción repetida en el registro. ","")&amp;IF(AND(AD52="Elegible",R52=""),"Falta monto o costo total para calcular F5. ","")&amp;IF(AND(A52&lt;&gt;"",1_Proyectos!D52=""),"Falta tipo de proponente. ","")))</f>
        <v/>
      </c>
      <c r="AP52" s="35"/>
      <c r="AQ52" s="15" t="str">
        <f aca="false">IF(A52="","",IF(AL52&lt;&gt;"",AL52*1000000+N52*10000+O52*100+AI52-ROW()/1000,-ROW()))</f>
        <v/>
      </c>
      <c r="AR52" s="15" t="str">
        <f aca="false">IF(AQ52="","",COUNTIF($AQ$9:$AQ$58,"&gt;"&amp;AQ52)+1)</f>
        <v/>
      </c>
    </row>
    <row r="53" customFormat="false" ht="15" hidden="false" customHeight="false" outlineLevel="0" collapsed="false">
      <c r="A53" s="27" t="str">
        <f aca="false">IF(1_Proyectos!A53="","",1_Proyectos!A53)</f>
        <v/>
      </c>
      <c r="B53" s="27" t="str">
        <f aca="false">IF(1_Proyectos!B53="","",1_Proyectos!B53)</f>
        <v/>
      </c>
      <c r="C53" s="27" t="str">
        <f aca="false">IF(1_Proyectos!F53="","",1_Proyectos!F53)</f>
        <v/>
      </c>
      <c r="D53" s="34"/>
      <c r="E53" s="34"/>
      <c r="F53" s="34"/>
      <c r="G53" s="34"/>
      <c r="H53" s="34"/>
      <c r="I53" s="34"/>
      <c r="J53" s="34"/>
      <c r="K53" s="34"/>
      <c r="L53" s="34"/>
      <c r="M53" s="29" t="str">
        <f aca="false">IF(1_Proyectos!K53="","",IF(1_Proyectos!K53&gt;=Parámetros!$D$37,3,IF(1_Proyectos!K53&gt;=Parámetros!$D$38,2,1)))</f>
        <v/>
      </c>
      <c r="N53" s="34"/>
      <c r="O53" s="34"/>
      <c r="P53" s="34"/>
      <c r="Q53" s="34"/>
      <c r="R53" s="29" t="str">
        <f aca="false">IF(1_Proyectos!N53="","",IF(1_Proyectos!N53&gt;=Parámetros!$D$39,3,IF(1_Proyectos!N53&gt;=Parámetros!$D$40,2,1)))</f>
        <v/>
      </c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15" t="str">
        <f aca="false">IF(A53="","",COUNTIF(D53:L53,"Sí"))</f>
        <v/>
      </c>
      <c r="AD53" s="30" t="str">
        <f aca="false">IF(A53="","",IF(COUNTIF(D53:L53,"No")&gt;0,"No elegible",IF(COUNTIF(D53:L53,"Sí")=9,"Elegible","Pendiente")))</f>
        <v/>
      </c>
      <c r="AE53" s="31" t="str">
        <f aca="false">TRIM(IF(D53="No","O1 ","")&amp;IF(E53="No","O2 ","")&amp;IF(F53="No","O3 ","")&amp;IF(G53="No","T1 ","")&amp;IF(H53="No","T2 ","")&amp;IF(I53="No","F1 ","")&amp;IF(J53="No","F2 ","")&amp;IF(K53="No","F3 ","")&amp;IF(L53="No","E1 ",""))</f>
        <v/>
      </c>
      <c r="AF53" s="15" t="str">
        <f aca="false">IF(AD53="Elegible",SUM(M53,N53),"")</f>
        <v/>
      </c>
      <c r="AG53" s="15" t="str">
        <f aca="false">IF(AD53="Elegible",SUM(O53,P53),"")</f>
        <v/>
      </c>
      <c r="AH53" s="15" t="str">
        <f aca="false">IF(AD53="Elegible",SUM(Q53,R53,S53,T53,U53),"")</f>
        <v/>
      </c>
      <c r="AI53" s="15" t="str">
        <f aca="false">IF(AD53="Elegible",SUM(V53,W53,X53),"")</f>
        <v/>
      </c>
      <c r="AJ53" s="15" t="str">
        <f aca="false">IF(AD53="Elegible",SUM(Y53,Z53,AA53,AB53),"")</f>
        <v/>
      </c>
      <c r="AK53" s="15" t="str">
        <f aca="false">IF(AND(AD53="Elegible",COUNT(M53:AB53)=16),SUM(M53:AB53),"")</f>
        <v/>
      </c>
      <c r="AL53" s="32" t="str">
        <f aca="false">IF(AK53="","",ROUND(SUMPRODUCT($M$8:$AB$8,M53:AB53)/(3*SUM($M$8:$AB$8))*100,1))</f>
        <v/>
      </c>
      <c r="AM53" s="30" t="str">
        <f aca="false">IF(AL53="","",IF(AL53&gt;=Parámetros!$D$41,"Alta",IF(AL53&gt;=Parámetros!$D$42,"Media","Baja")))</f>
        <v/>
      </c>
      <c r="AN53" s="15" t="str">
        <f aca="false">IF(AL53="","",AR53)</f>
        <v/>
      </c>
      <c r="AO53" s="31" t="str">
        <f aca="false">IF(A53="","",TRIM(IF(AND(I53="Sí",1_Proyectos!L53&lt;&gt;"",OR(AND(Parámetros!$D$35&lt;&gt;"",1_Proyectos!L53&lt;Parámetros!$D$35),AND(Parámetros!$D$36&lt;&gt;"",1_Proyectos!L53&gt;Parámetros!$D$36))),"F1 en Sí con monto fuera de rango. ","")&amp;IF(AND(E53="Sí",1_Proyectos!F53=""),"O2 en Sí sin fracción principal. ","")&amp;IF(AND(AD53="Elegible",COUNT(M53:AB53)&lt;16),"Elegible con calificaciones incompletas. ","")&amp;IF(AND(1_Proyectos!F53&lt;&gt;"",COUNTA(1_Proyectos!F53:I53)&gt;N(1_Proyectos!K53)),"Fracción repetida en el registro. ","")&amp;IF(AND(AD53="Elegible",R53=""),"Falta monto o costo total para calcular F5. ","")&amp;IF(AND(A53&lt;&gt;"",1_Proyectos!D53=""),"Falta tipo de proponente. ","")))</f>
        <v/>
      </c>
      <c r="AP53" s="35"/>
      <c r="AQ53" s="15" t="str">
        <f aca="false">IF(A53="","",IF(AL53&lt;&gt;"",AL53*1000000+N53*10000+O53*100+AI53-ROW()/1000,-ROW()))</f>
        <v/>
      </c>
      <c r="AR53" s="15" t="str">
        <f aca="false">IF(AQ53="","",COUNTIF($AQ$9:$AQ$58,"&gt;"&amp;AQ53)+1)</f>
        <v/>
      </c>
    </row>
    <row r="54" customFormat="false" ht="15" hidden="false" customHeight="false" outlineLevel="0" collapsed="false">
      <c r="A54" s="27" t="str">
        <f aca="false">IF(1_Proyectos!A54="","",1_Proyectos!A54)</f>
        <v/>
      </c>
      <c r="B54" s="27" t="str">
        <f aca="false">IF(1_Proyectos!B54="","",1_Proyectos!B54)</f>
        <v/>
      </c>
      <c r="C54" s="27" t="str">
        <f aca="false">IF(1_Proyectos!F54="","",1_Proyectos!F54)</f>
        <v/>
      </c>
      <c r="D54" s="34"/>
      <c r="E54" s="34"/>
      <c r="F54" s="34"/>
      <c r="G54" s="34"/>
      <c r="H54" s="34"/>
      <c r="I54" s="34"/>
      <c r="J54" s="34"/>
      <c r="K54" s="34"/>
      <c r="L54" s="34"/>
      <c r="M54" s="29" t="str">
        <f aca="false">IF(1_Proyectos!K54="","",IF(1_Proyectos!K54&gt;=Parámetros!$D$37,3,IF(1_Proyectos!K54&gt;=Parámetros!$D$38,2,1)))</f>
        <v/>
      </c>
      <c r="N54" s="34"/>
      <c r="O54" s="34"/>
      <c r="P54" s="34"/>
      <c r="Q54" s="34"/>
      <c r="R54" s="29" t="str">
        <f aca="false">IF(1_Proyectos!N54="","",IF(1_Proyectos!N54&gt;=Parámetros!$D$39,3,IF(1_Proyectos!N54&gt;=Parámetros!$D$40,2,1)))</f>
        <v/>
      </c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15" t="str">
        <f aca="false">IF(A54="","",COUNTIF(D54:L54,"Sí"))</f>
        <v/>
      </c>
      <c r="AD54" s="30" t="str">
        <f aca="false">IF(A54="","",IF(COUNTIF(D54:L54,"No")&gt;0,"No elegible",IF(COUNTIF(D54:L54,"Sí")=9,"Elegible","Pendiente")))</f>
        <v/>
      </c>
      <c r="AE54" s="31" t="str">
        <f aca="false">TRIM(IF(D54="No","O1 ","")&amp;IF(E54="No","O2 ","")&amp;IF(F54="No","O3 ","")&amp;IF(G54="No","T1 ","")&amp;IF(H54="No","T2 ","")&amp;IF(I54="No","F1 ","")&amp;IF(J54="No","F2 ","")&amp;IF(K54="No","F3 ","")&amp;IF(L54="No","E1 ",""))</f>
        <v/>
      </c>
      <c r="AF54" s="15" t="str">
        <f aca="false">IF(AD54="Elegible",SUM(M54,N54),"")</f>
        <v/>
      </c>
      <c r="AG54" s="15" t="str">
        <f aca="false">IF(AD54="Elegible",SUM(O54,P54),"")</f>
        <v/>
      </c>
      <c r="AH54" s="15" t="str">
        <f aca="false">IF(AD54="Elegible",SUM(Q54,R54,S54,T54,U54),"")</f>
        <v/>
      </c>
      <c r="AI54" s="15" t="str">
        <f aca="false">IF(AD54="Elegible",SUM(V54,W54,X54),"")</f>
        <v/>
      </c>
      <c r="AJ54" s="15" t="str">
        <f aca="false">IF(AD54="Elegible",SUM(Y54,Z54,AA54,AB54),"")</f>
        <v/>
      </c>
      <c r="AK54" s="15" t="str">
        <f aca="false">IF(AND(AD54="Elegible",COUNT(M54:AB54)=16),SUM(M54:AB54),"")</f>
        <v/>
      </c>
      <c r="AL54" s="32" t="str">
        <f aca="false">IF(AK54="","",ROUND(SUMPRODUCT($M$8:$AB$8,M54:AB54)/(3*SUM($M$8:$AB$8))*100,1))</f>
        <v/>
      </c>
      <c r="AM54" s="30" t="str">
        <f aca="false">IF(AL54="","",IF(AL54&gt;=Parámetros!$D$41,"Alta",IF(AL54&gt;=Parámetros!$D$42,"Media","Baja")))</f>
        <v/>
      </c>
      <c r="AN54" s="15" t="str">
        <f aca="false">IF(AL54="","",AR54)</f>
        <v/>
      </c>
      <c r="AO54" s="31" t="str">
        <f aca="false">IF(A54="","",TRIM(IF(AND(I54="Sí",1_Proyectos!L54&lt;&gt;"",OR(AND(Parámetros!$D$35&lt;&gt;"",1_Proyectos!L54&lt;Parámetros!$D$35),AND(Parámetros!$D$36&lt;&gt;"",1_Proyectos!L54&gt;Parámetros!$D$36))),"F1 en Sí con monto fuera de rango. ","")&amp;IF(AND(E54="Sí",1_Proyectos!F54=""),"O2 en Sí sin fracción principal. ","")&amp;IF(AND(AD54="Elegible",COUNT(M54:AB54)&lt;16),"Elegible con calificaciones incompletas. ","")&amp;IF(AND(1_Proyectos!F54&lt;&gt;"",COUNTA(1_Proyectos!F54:I54)&gt;N(1_Proyectos!K54)),"Fracción repetida en el registro. ","")&amp;IF(AND(AD54="Elegible",R54=""),"Falta monto o costo total para calcular F5. ","")&amp;IF(AND(A54&lt;&gt;"",1_Proyectos!D54=""),"Falta tipo de proponente. ","")))</f>
        <v/>
      </c>
      <c r="AP54" s="35"/>
      <c r="AQ54" s="15" t="str">
        <f aca="false">IF(A54="","",IF(AL54&lt;&gt;"",AL54*1000000+N54*10000+O54*100+AI54-ROW()/1000,-ROW()))</f>
        <v/>
      </c>
      <c r="AR54" s="15" t="str">
        <f aca="false">IF(AQ54="","",COUNTIF($AQ$9:$AQ$58,"&gt;"&amp;AQ54)+1)</f>
        <v/>
      </c>
    </row>
    <row r="55" customFormat="false" ht="15" hidden="false" customHeight="false" outlineLevel="0" collapsed="false">
      <c r="A55" s="27" t="str">
        <f aca="false">IF(1_Proyectos!A55="","",1_Proyectos!A55)</f>
        <v/>
      </c>
      <c r="B55" s="27" t="str">
        <f aca="false">IF(1_Proyectos!B55="","",1_Proyectos!B55)</f>
        <v/>
      </c>
      <c r="C55" s="27" t="str">
        <f aca="false">IF(1_Proyectos!F55="","",1_Proyectos!F55)</f>
        <v/>
      </c>
      <c r="D55" s="34"/>
      <c r="E55" s="34"/>
      <c r="F55" s="34"/>
      <c r="G55" s="34"/>
      <c r="H55" s="34"/>
      <c r="I55" s="34"/>
      <c r="J55" s="34"/>
      <c r="K55" s="34"/>
      <c r="L55" s="34"/>
      <c r="M55" s="29" t="str">
        <f aca="false">IF(1_Proyectos!K55="","",IF(1_Proyectos!K55&gt;=Parámetros!$D$37,3,IF(1_Proyectos!K55&gt;=Parámetros!$D$38,2,1)))</f>
        <v/>
      </c>
      <c r="N55" s="34"/>
      <c r="O55" s="34"/>
      <c r="P55" s="34"/>
      <c r="Q55" s="34"/>
      <c r="R55" s="29" t="str">
        <f aca="false">IF(1_Proyectos!N55="","",IF(1_Proyectos!N55&gt;=Parámetros!$D$39,3,IF(1_Proyectos!N55&gt;=Parámetros!$D$40,2,1)))</f>
        <v/>
      </c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15" t="str">
        <f aca="false">IF(A55="","",COUNTIF(D55:L55,"Sí"))</f>
        <v/>
      </c>
      <c r="AD55" s="30" t="str">
        <f aca="false">IF(A55="","",IF(COUNTIF(D55:L55,"No")&gt;0,"No elegible",IF(COUNTIF(D55:L55,"Sí")=9,"Elegible","Pendiente")))</f>
        <v/>
      </c>
      <c r="AE55" s="31" t="str">
        <f aca="false">TRIM(IF(D55="No","O1 ","")&amp;IF(E55="No","O2 ","")&amp;IF(F55="No","O3 ","")&amp;IF(G55="No","T1 ","")&amp;IF(H55="No","T2 ","")&amp;IF(I55="No","F1 ","")&amp;IF(J55="No","F2 ","")&amp;IF(K55="No","F3 ","")&amp;IF(L55="No","E1 ",""))</f>
        <v/>
      </c>
      <c r="AF55" s="15" t="str">
        <f aca="false">IF(AD55="Elegible",SUM(M55,N55),"")</f>
        <v/>
      </c>
      <c r="AG55" s="15" t="str">
        <f aca="false">IF(AD55="Elegible",SUM(O55,P55),"")</f>
        <v/>
      </c>
      <c r="AH55" s="15" t="str">
        <f aca="false">IF(AD55="Elegible",SUM(Q55,R55,S55,T55,U55),"")</f>
        <v/>
      </c>
      <c r="AI55" s="15" t="str">
        <f aca="false">IF(AD55="Elegible",SUM(V55,W55,X55),"")</f>
        <v/>
      </c>
      <c r="AJ55" s="15" t="str">
        <f aca="false">IF(AD55="Elegible",SUM(Y55,Z55,AA55,AB55),"")</f>
        <v/>
      </c>
      <c r="AK55" s="15" t="str">
        <f aca="false">IF(AND(AD55="Elegible",COUNT(M55:AB55)=16),SUM(M55:AB55),"")</f>
        <v/>
      </c>
      <c r="AL55" s="32" t="str">
        <f aca="false">IF(AK55="","",ROUND(SUMPRODUCT($M$8:$AB$8,M55:AB55)/(3*SUM($M$8:$AB$8))*100,1))</f>
        <v/>
      </c>
      <c r="AM55" s="30" t="str">
        <f aca="false">IF(AL55="","",IF(AL55&gt;=Parámetros!$D$41,"Alta",IF(AL55&gt;=Parámetros!$D$42,"Media","Baja")))</f>
        <v/>
      </c>
      <c r="AN55" s="15" t="str">
        <f aca="false">IF(AL55="","",AR55)</f>
        <v/>
      </c>
      <c r="AO55" s="31" t="str">
        <f aca="false">IF(A55="","",TRIM(IF(AND(I55="Sí",1_Proyectos!L55&lt;&gt;"",OR(AND(Parámetros!$D$35&lt;&gt;"",1_Proyectos!L55&lt;Parámetros!$D$35),AND(Parámetros!$D$36&lt;&gt;"",1_Proyectos!L55&gt;Parámetros!$D$36))),"F1 en Sí con monto fuera de rango. ","")&amp;IF(AND(E55="Sí",1_Proyectos!F55=""),"O2 en Sí sin fracción principal. ","")&amp;IF(AND(AD55="Elegible",COUNT(M55:AB55)&lt;16),"Elegible con calificaciones incompletas. ","")&amp;IF(AND(1_Proyectos!F55&lt;&gt;"",COUNTA(1_Proyectos!F55:I55)&gt;N(1_Proyectos!K55)),"Fracción repetida en el registro. ","")&amp;IF(AND(AD55="Elegible",R55=""),"Falta monto o costo total para calcular F5. ","")&amp;IF(AND(A55&lt;&gt;"",1_Proyectos!D55=""),"Falta tipo de proponente. ","")))</f>
        <v/>
      </c>
      <c r="AP55" s="35"/>
      <c r="AQ55" s="15" t="str">
        <f aca="false">IF(A55="","",IF(AL55&lt;&gt;"",AL55*1000000+N55*10000+O55*100+AI55-ROW()/1000,-ROW()))</f>
        <v/>
      </c>
      <c r="AR55" s="15" t="str">
        <f aca="false">IF(AQ55="","",COUNTIF($AQ$9:$AQ$58,"&gt;"&amp;AQ55)+1)</f>
        <v/>
      </c>
    </row>
    <row r="56" customFormat="false" ht="15" hidden="false" customHeight="false" outlineLevel="0" collapsed="false">
      <c r="A56" s="27" t="str">
        <f aca="false">IF(1_Proyectos!A56="","",1_Proyectos!A56)</f>
        <v/>
      </c>
      <c r="B56" s="27" t="str">
        <f aca="false">IF(1_Proyectos!B56="","",1_Proyectos!B56)</f>
        <v/>
      </c>
      <c r="C56" s="27" t="str">
        <f aca="false">IF(1_Proyectos!F56="","",1_Proyectos!F56)</f>
        <v/>
      </c>
      <c r="D56" s="34"/>
      <c r="E56" s="34"/>
      <c r="F56" s="34"/>
      <c r="G56" s="34"/>
      <c r="H56" s="34"/>
      <c r="I56" s="34"/>
      <c r="J56" s="34"/>
      <c r="K56" s="34"/>
      <c r="L56" s="34"/>
      <c r="M56" s="29" t="str">
        <f aca="false">IF(1_Proyectos!K56="","",IF(1_Proyectos!K56&gt;=Parámetros!$D$37,3,IF(1_Proyectos!K56&gt;=Parámetros!$D$38,2,1)))</f>
        <v/>
      </c>
      <c r="N56" s="34"/>
      <c r="O56" s="34"/>
      <c r="P56" s="34"/>
      <c r="Q56" s="34"/>
      <c r="R56" s="29" t="str">
        <f aca="false">IF(1_Proyectos!N56="","",IF(1_Proyectos!N56&gt;=Parámetros!$D$39,3,IF(1_Proyectos!N56&gt;=Parámetros!$D$40,2,1)))</f>
        <v/>
      </c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15" t="str">
        <f aca="false">IF(A56="","",COUNTIF(D56:L56,"Sí"))</f>
        <v/>
      </c>
      <c r="AD56" s="30" t="str">
        <f aca="false">IF(A56="","",IF(COUNTIF(D56:L56,"No")&gt;0,"No elegible",IF(COUNTIF(D56:L56,"Sí")=9,"Elegible","Pendiente")))</f>
        <v/>
      </c>
      <c r="AE56" s="31" t="str">
        <f aca="false">TRIM(IF(D56="No","O1 ","")&amp;IF(E56="No","O2 ","")&amp;IF(F56="No","O3 ","")&amp;IF(G56="No","T1 ","")&amp;IF(H56="No","T2 ","")&amp;IF(I56="No","F1 ","")&amp;IF(J56="No","F2 ","")&amp;IF(K56="No","F3 ","")&amp;IF(L56="No","E1 ",""))</f>
        <v/>
      </c>
      <c r="AF56" s="15" t="str">
        <f aca="false">IF(AD56="Elegible",SUM(M56,N56),"")</f>
        <v/>
      </c>
      <c r="AG56" s="15" t="str">
        <f aca="false">IF(AD56="Elegible",SUM(O56,P56),"")</f>
        <v/>
      </c>
      <c r="AH56" s="15" t="str">
        <f aca="false">IF(AD56="Elegible",SUM(Q56,R56,S56,T56,U56),"")</f>
        <v/>
      </c>
      <c r="AI56" s="15" t="str">
        <f aca="false">IF(AD56="Elegible",SUM(V56,W56,X56),"")</f>
        <v/>
      </c>
      <c r="AJ56" s="15" t="str">
        <f aca="false">IF(AD56="Elegible",SUM(Y56,Z56,AA56,AB56),"")</f>
        <v/>
      </c>
      <c r="AK56" s="15" t="str">
        <f aca="false">IF(AND(AD56="Elegible",COUNT(M56:AB56)=16),SUM(M56:AB56),"")</f>
        <v/>
      </c>
      <c r="AL56" s="32" t="str">
        <f aca="false">IF(AK56="","",ROUND(SUMPRODUCT($M$8:$AB$8,M56:AB56)/(3*SUM($M$8:$AB$8))*100,1))</f>
        <v/>
      </c>
      <c r="AM56" s="30" t="str">
        <f aca="false">IF(AL56="","",IF(AL56&gt;=Parámetros!$D$41,"Alta",IF(AL56&gt;=Parámetros!$D$42,"Media","Baja")))</f>
        <v/>
      </c>
      <c r="AN56" s="15" t="str">
        <f aca="false">IF(AL56="","",AR56)</f>
        <v/>
      </c>
      <c r="AO56" s="31" t="str">
        <f aca="false">IF(A56="","",TRIM(IF(AND(I56="Sí",1_Proyectos!L56&lt;&gt;"",OR(AND(Parámetros!$D$35&lt;&gt;"",1_Proyectos!L56&lt;Parámetros!$D$35),AND(Parámetros!$D$36&lt;&gt;"",1_Proyectos!L56&gt;Parámetros!$D$36))),"F1 en Sí con monto fuera de rango. ","")&amp;IF(AND(E56="Sí",1_Proyectos!F56=""),"O2 en Sí sin fracción principal. ","")&amp;IF(AND(AD56="Elegible",COUNT(M56:AB56)&lt;16),"Elegible con calificaciones incompletas. ","")&amp;IF(AND(1_Proyectos!F56&lt;&gt;"",COUNTA(1_Proyectos!F56:I56)&gt;N(1_Proyectos!K56)),"Fracción repetida en el registro. ","")&amp;IF(AND(AD56="Elegible",R56=""),"Falta monto o costo total para calcular F5. ","")&amp;IF(AND(A56&lt;&gt;"",1_Proyectos!D56=""),"Falta tipo de proponente. ","")))</f>
        <v/>
      </c>
      <c r="AP56" s="35"/>
      <c r="AQ56" s="15" t="str">
        <f aca="false">IF(A56="","",IF(AL56&lt;&gt;"",AL56*1000000+N56*10000+O56*100+AI56-ROW()/1000,-ROW()))</f>
        <v/>
      </c>
      <c r="AR56" s="15" t="str">
        <f aca="false">IF(AQ56="","",COUNTIF($AQ$9:$AQ$58,"&gt;"&amp;AQ56)+1)</f>
        <v/>
      </c>
    </row>
    <row r="57" customFormat="false" ht="15" hidden="false" customHeight="false" outlineLevel="0" collapsed="false">
      <c r="A57" s="27" t="str">
        <f aca="false">IF(1_Proyectos!A57="","",1_Proyectos!A57)</f>
        <v/>
      </c>
      <c r="B57" s="27" t="str">
        <f aca="false">IF(1_Proyectos!B57="","",1_Proyectos!B57)</f>
        <v/>
      </c>
      <c r="C57" s="27" t="str">
        <f aca="false">IF(1_Proyectos!F57="","",1_Proyectos!F57)</f>
        <v/>
      </c>
      <c r="D57" s="34"/>
      <c r="E57" s="34"/>
      <c r="F57" s="34"/>
      <c r="G57" s="34"/>
      <c r="H57" s="34"/>
      <c r="I57" s="34"/>
      <c r="J57" s="34"/>
      <c r="K57" s="34"/>
      <c r="L57" s="34"/>
      <c r="M57" s="29" t="str">
        <f aca="false">IF(1_Proyectos!K57="","",IF(1_Proyectos!K57&gt;=Parámetros!$D$37,3,IF(1_Proyectos!K57&gt;=Parámetros!$D$38,2,1)))</f>
        <v/>
      </c>
      <c r="N57" s="34"/>
      <c r="O57" s="34"/>
      <c r="P57" s="34"/>
      <c r="Q57" s="34"/>
      <c r="R57" s="29" t="str">
        <f aca="false">IF(1_Proyectos!N57="","",IF(1_Proyectos!N57&gt;=Parámetros!$D$39,3,IF(1_Proyectos!N57&gt;=Parámetros!$D$40,2,1)))</f>
        <v/>
      </c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15" t="str">
        <f aca="false">IF(A57="","",COUNTIF(D57:L57,"Sí"))</f>
        <v/>
      </c>
      <c r="AD57" s="30" t="str">
        <f aca="false">IF(A57="","",IF(COUNTIF(D57:L57,"No")&gt;0,"No elegible",IF(COUNTIF(D57:L57,"Sí")=9,"Elegible","Pendiente")))</f>
        <v/>
      </c>
      <c r="AE57" s="31" t="str">
        <f aca="false">TRIM(IF(D57="No","O1 ","")&amp;IF(E57="No","O2 ","")&amp;IF(F57="No","O3 ","")&amp;IF(G57="No","T1 ","")&amp;IF(H57="No","T2 ","")&amp;IF(I57="No","F1 ","")&amp;IF(J57="No","F2 ","")&amp;IF(K57="No","F3 ","")&amp;IF(L57="No","E1 ",""))</f>
        <v/>
      </c>
      <c r="AF57" s="15" t="str">
        <f aca="false">IF(AD57="Elegible",SUM(M57,N57),"")</f>
        <v/>
      </c>
      <c r="AG57" s="15" t="str">
        <f aca="false">IF(AD57="Elegible",SUM(O57,P57),"")</f>
        <v/>
      </c>
      <c r="AH57" s="15" t="str">
        <f aca="false">IF(AD57="Elegible",SUM(Q57,R57,S57,T57,U57),"")</f>
        <v/>
      </c>
      <c r="AI57" s="15" t="str">
        <f aca="false">IF(AD57="Elegible",SUM(V57,W57,X57),"")</f>
        <v/>
      </c>
      <c r="AJ57" s="15" t="str">
        <f aca="false">IF(AD57="Elegible",SUM(Y57,Z57,AA57,AB57),"")</f>
        <v/>
      </c>
      <c r="AK57" s="15" t="str">
        <f aca="false">IF(AND(AD57="Elegible",COUNT(M57:AB57)=16),SUM(M57:AB57),"")</f>
        <v/>
      </c>
      <c r="AL57" s="32" t="str">
        <f aca="false">IF(AK57="","",ROUND(SUMPRODUCT($M$8:$AB$8,M57:AB57)/(3*SUM($M$8:$AB$8))*100,1))</f>
        <v/>
      </c>
      <c r="AM57" s="30" t="str">
        <f aca="false">IF(AL57="","",IF(AL57&gt;=Parámetros!$D$41,"Alta",IF(AL57&gt;=Parámetros!$D$42,"Media","Baja")))</f>
        <v/>
      </c>
      <c r="AN57" s="15" t="str">
        <f aca="false">IF(AL57="","",AR57)</f>
        <v/>
      </c>
      <c r="AO57" s="31" t="str">
        <f aca="false">IF(A57="","",TRIM(IF(AND(I57="Sí",1_Proyectos!L57&lt;&gt;"",OR(AND(Parámetros!$D$35&lt;&gt;"",1_Proyectos!L57&lt;Parámetros!$D$35),AND(Parámetros!$D$36&lt;&gt;"",1_Proyectos!L57&gt;Parámetros!$D$36))),"F1 en Sí con monto fuera de rango. ","")&amp;IF(AND(E57="Sí",1_Proyectos!F57=""),"O2 en Sí sin fracción principal. ","")&amp;IF(AND(AD57="Elegible",COUNT(M57:AB57)&lt;16),"Elegible con calificaciones incompletas. ","")&amp;IF(AND(1_Proyectos!F57&lt;&gt;"",COUNTA(1_Proyectos!F57:I57)&gt;N(1_Proyectos!K57)),"Fracción repetida en el registro. ","")&amp;IF(AND(AD57="Elegible",R57=""),"Falta monto o costo total para calcular F5. ","")&amp;IF(AND(A57&lt;&gt;"",1_Proyectos!D57=""),"Falta tipo de proponente. ","")))</f>
        <v/>
      </c>
      <c r="AP57" s="35"/>
      <c r="AQ57" s="15" t="str">
        <f aca="false">IF(A57="","",IF(AL57&lt;&gt;"",AL57*1000000+N57*10000+O57*100+AI57-ROW()/1000,-ROW()))</f>
        <v/>
      </c>
      <c r="AR57" s="15" t="str">
        <f aca="false">IF(AQ57="","",COUNTIF($AQ$9:$AQ$58,"&gt;"&amp;AQ57)+1)</f>
        <v/>
      </c>
    </row>
    <row r="58" customFormat="false" ht="15" hidden="false" customHeight="false" outlineLevel="0" collapsed="false">
      <c r="A58" s="27" t="str">
        <f aca="false">IF(1_Proyectos!A58="","",1_Proyectos!A58)</f>
        <v/>
      </c>
      <c r="B58" s="27" t="str">
        <f aca="false">IF(1_Proyectos!B58="","",1_Proyectos!B58)</f>
        <v/>
      </c>
      <c r="C58" s="27" t="str">
        <f aca="false">IF(1_Proyectos!F58="","",1_Proyectos!F58)</f>
        <v/>
      </c>
      <c r="D58" s="34"/>
      <c r="E58" s="34"/>
      <c r="F58" s="34"/>
      <c r="G58" s="34"/>
      <c r="H58" s="34"/>
      <c r="I58" s="34"/>
      <c r="J58" s="34"/>
      <c r="K58" s="34"/>
      <c r="L58" s="34"/>
      <c r="M58" s="29" t="str">
        <f aca="false">IF(1_Proyectos!K58="","",IF(1_Proyectos!K58&gt;=Parámetros!$D$37,3,IF(1_Proyectos!K58&gt;=Parámetros!$D$38,2,1)))</f>
        <v/>
      </c>
      <c r="N58" s="34"/>
      <c r="O58" s="34"/>
      <c r="P58" s="34"/>
      <c r="Q58" s="34"/>
      <c r="R58" s="29" t="str">
        <f aca="false">IF(1_Proyectos!N58="","",IF(1_Proyectos!N58&gt;=Parámetros!$D$39,3,IF(1_Proyectos!N58&gt;=Parámetros!$D$40,2,1)))</f>
        <v/>
      </c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15" t="str">
        <f aca="false">IF(A58="","",COUNTIF(D58:L58,"Sí"))</f>
        <v/>
      </c>
      <c r="AD58" s="30" t="str">
        <f aca="false">IF(A58="","",IF(COUNTIF(D58:L58,"No")&gt;0,"No elegible",IF(COUNTIF(D58:L58,"Sí")=9,"Elegible","Pendiente")))</f>
        <v/>
      </c>
      <c r="AE58" s="31" t="str">
        <f aca="false">TRIM(IF(D58="No","O1 ","")&amp;IF(E58="No","O2 ","")&amp;IF(F58="No","O3 ","")&amp;IF(G58="No","T1 ","")&amp;IF(H58="No","T2 ","")&amp;IF(I58="No","F1 ","")&amp;IF(J58="No","F2 ","")&amp;IF(K58="No","F3 ","")&amp;IF(L58="No","E1 ",""))</f>
        <v/>
      </c>
      <c r="AF58" s="15" t="str">
        <f aca="false">IF(AD58="Elegible",SUM(M58,N58),"")</f>
        <v/>
      </c>
      <c r="AG58" s="15" t="str">
        <f aca="false">IF(AD58="Elegible",SUM(O58,P58),"")</f>
        <v/>
      </c>
      <c r="AH58" s="15" t="str">
        <f aca="false">IF(AD58="Elegible",SUM(Q58,R58,S58,T58,U58),"")</f>
        <v/>
      </c>
      <c r="AI58" s="15" t="str">
        <f aca="false">IF(AD58="Elegible",SUM(V58,W58,X58),"")</f>
        <v/>
      </c>
      <c r="AJ58" s="15" t="str">
        <f aca="false">IF(AD58="Elegible",SUM(Y58,Z58,AA58,AB58),"")</f>
        <v/>
      </c>
      <c r="AK58" s="15" t="str">
        <f aca="false">IF(AND(AD58="Elegible",COUNT(M58:AB58)=16),SUM(M58:AB58),"")</f>
        <v/>
      </c>
      <c r="AL58" s="32" t="str">
        <f aca="false">IF(AK58="","",ROUND(SUMPRODUCT($M$8:$AB$8,M58:AB58)/(3*SUM($M$8:$AB$8))*100,1))</f>
        <v/>
      </c>
      <c r="AM58" s="30" t="str">
        <f aca="false">IF(AL58="","",IF(AL58&gt;=Parámetros!$D$41,"Alta",IF(AL58&gt;=Parámetros!$D$42,"Media","Baja")))</f>
        <v/>
      </c>
      <c r="AN58" s="15" t="str">
        <f aca="false">IF(AL58="","",AR58)</f>
        <v/>
      </c>
      <c r="AO58" s="31" t="str">
        <f aca="false">IF(A58="","",TRIM(IF(AND(I58="Sí",1_Proyectos!L58&lt;&gt;"",OR(AND(Parámetros!$D$35&lt;&gt;"",1_Proyectos!L58&lt;Parámetros!$D$35),AND(Parámetros!$D$36&lt;&gt;"",1_Proyectos!L58&gt;Parámetros!$D$36))),"F1 en Sí con monto fuera de rango. ","")&amp;IF(AND(E58="Sí",1_Proyectos!F58=""),"O2 en Sí sin fracción principal. ","")&amp;IF(AND(AD58="Elegible",COUNT(M58:AB58)&lt;16),"Elegible con calificaciones incompletas. ","")&amp;IF(AND(1_Proyectos!F58&lt;&gt;"",COUNTA(1_Proyectos!F58:I58)&gt;N(1_Proyectos!K58)),"Fracción repetida en el registro. ","")&amp;IF(AND(AD58="Elegible",R58=""),"Falta monto o costo total para calcular F5. ","")&amp;IF(AND(A58&lt;&gt;"",1_Proyectos!D58=""),"Falta tipo de proponente. ","")))</f>
        <v/>
      </c>
      <c r="AP58" s="35"/>
      <c r="AQ58" s="15" t="str">
        <f aca="false">IF(A58="","",IF(AL58&lt;&gt;"",AL58*1000000+N58*10000+O58*100+AI58-ROW()/1000,-ROW()))</f>
        <v/>
      </c>
      <c r="AR58" s="15" t="str">
        <f aca="false">IF(AQ58="","",COUNTIF($AQ$9:$AQ$58,"&gt;"&amp;AQ58)+1)</f>
        <v/>
      </c>
    </row>
  </sheetData>
  <mergeCells count="22">
    <mergeCell ref="D4:L4"/>
    <mergeCell ref="M4:AB4"/>
    <mergeCell ref="AC4:AP4"/>
    <mergeCell ref="A5:A8"/>
    <mergeCell ref="B5:B8"/>
    <mergeCell ref="C5:C8"/>
    <mergeCell ref="AC5:AC8"/>
    <mergeCell ref="AD5:AD8"/>
    <mergeCell ref="AE5:AE8"/>
    <mergeCell ref="AF5:AF8"/>
    <mergeCell ref="AG5:AG8"/>
    <mergeCell ref="AH5:AH8"/>
    <mergeCell ref="AI5:AI8"/>
    <mergeCell ref="AJ5:AJ8"/>
    <mergeCell ref="AK5:AK8"/>
    <mergeCell ref="AL5:AL8"/>
    <mergeCell ref="AM5:AM8"/>
    <mergeCell ref="AN5:AN8"/>
    <mergeCell ref="AO5:AO8"/>
    <mergeCell ref="AP5:AP8"/>
    <mergeCell ref="AQ5:AQ8"/>
    <mergeCell ref="AR5:AR8"/>
  </mergeCells>
  <conditionalFormatting sqref="AD9:AD58">
    <cfRule type="cellIs" priority="2" operator="equal" aboveAverage="0" equalAverage="0" bottom="0" percent="0" rank="0" text="" dxfId="0">
      <formula>"Elegible"</formula>
    </cfRule>
    <cfRule type="cellIs" priority="3" operator="equal" aboveAverage="0" equalAverage="0" bottom="0" percent="0" rank="0" text="" dxfId="1">
      <formula>"No elegible"</formula>
    </cfRule>
    <cfRule type="cellIs" priority="4" operator="equal" aboveAverage="0" equalAverage="0" bottom="0" percent="0" rank="0" text="" dxfId="2">
      <formula>"Pendiente"</formula>
    </cfRule>
  </conditionalFormatting>
  <conditionalFormatting sqref="AM9:AM58">
    <cfRule type="cellIs" priority="5" operator="equal" aboveAverage="0" equalAverage="0" bottom="0" percent="0" rank="0" text="" dxfId="0">
      <formula>"Alta"</formula>
    </cfRule>
    <cfRule type="cellIs" priority="6" operator="equal" aboveAverage="0" equalAverage="0" bottom="0" percent="0" rank="0" text="" dxfId="2">
      <formula>"Media"</formula>
    </cfRule>
    <cfRule type="cellIs" priority="7" operator="equal" aboveAverage="0" equalAverage="0" bottom="0" percent="0" rank="0" text="" dxfId="3">
      <formula>"Baja"</formula>
    </cfRule>
  </conditionalFormatting>
  <dataValidations count="2">
    <dataValidation allowBlank="true" errorStyle="stop" operator="between" showDropDown="false" showErrorMessage="false" showInputMessage="false" sqref="D9:L58" type="list">
      <formula1>"Sí,No"</formula1>
      <formula2>0</formula2>
    </dataValidation>
    <dataValidation allowBlank="true" errorStyle="stop" operator="between" showDropDown="false" showErrorMessage="false" showInputMessage="false" sqref="N9:Q58 S9:AB58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tru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38"/>
    <col collapsed="false" customWidth="true" hidden="false" outlineLevel="0" max="5" min="5" style="0" width="9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1"/>
    <col collapsed="false" customWidth="true" hidden="false" outlineLevel="0" max="11" min="11" style="0" width="9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410</v>
      </c>
    </row>
    <row r="2" customFormat="false" ht="15" hidden="false" customHeight="false" outlineLevel="0" collapsed="false">
      <c r="A2" s="2" t="s">
        <v>411</v>
      </c>
    </row>
    <row r="4" customFormat="false" ht="15" hidden="false" customHeight="false" outlineLevel="0" collapsed="false">
      <c r="B4" s="4" t="s">
        <v>412</v>
      </c>
    </row>
    <row r="5" customFormat="false" ht="15" hidden="false" customHeight="false" outlineLevel="0" collapsed="false">
      <c r="B5" s="3" t="s">
        <v>413</v>
      </c>
      <c r="D5" s="15" t="n">
        <f aca="false">COUNTIF(2_Evaluación!$A$9:$A$58,"?*")</f>
        <v>4</v>
      </c>
    </row>
    <row r="6" customFormat="false" ht="15" hidden="false" customHeight="false" outlineLevel="0" collapsed="false">
      <c r="B6" s="3" t="s">
        <v>414</v>
      </c>
      <c r="D6" s="15" t="n">
        <f aca="false">COUNTIF(2_Evaluación!$AD$9:$AD$58,"Elegible")</f>
        <v>2</v>
      </c>
    </row>
    <row r="7" customFormat="false" ht="15" hidden="false" customHeight="false" outlineLevel="0" collapsed="false">
      <c r="B7" s="3" t="s">
        <v>415</v>
      </c>
      <c r="D7" s="15" t="n">
        <f aca="false">COUNTIF(2_Evaluación!$AD$9:$AD$58,"No elegible")</f>
        <v>1</v>
      </c>
    </row>
    <row r="8" customFormat="false" ht="15" hidden="false" customHeight="false" outlineLevel="0" collapsed="false">
      <c r="B8" s="3" t="s">
        <v>416</v>
      </c>
      <c r="D8" s="15" t="n">
        <f aca="false">COUNTIF(2_Evaluación!$AD$9:$AD$58,"Pendiente")</f>
        <v>1</v>
      </c>
    </row>
    <row r="9" customFormat="false" ht="15" hidden="false" customHeight="false" outlineLevel="0" collapsed="false">
      <c r="B9" s="3" t="s">
        <v>417</v>
      </c>
      <c r="D9" s="15" t="n">
        <f aca="false">COUNTIF(2_Evaluación!$AM$9:$AM$58,"Alta")</f>
        <v>1</v>
      </c>
    </row>
    <row r="10" customFormat="false" ht="15" hidden="false" customHeight="false" outlineLevel="0" collapsed="false">
      <c r="B10" s="3" t="s">
        <v>418</v>
      </c>
      <c r="D10" s="15" t="n">
        <f aca="false">COUNTIF(2_Evaluación!$AM$9:$AM$58,"Media")</f>
        <v>1</v>
      </c>
    </row>
    <row r="11" customFormat="false" ht="15" hidden="false" customHeight="false" outlineLevel="0" collapsed="false">
      <c r="B11" s="3" t="s">
        <v>419</v>
      </c>
      <c r="D11" s="15" t="n">
        <f aca="false">COUNTIF(2_Evaluación!$AM$9:$AM$58,"Baja")</f>
        <v>0</v>
      </c>
    </row>
    <row r="12" customFormat="false" ht="15" hidden="false" customHeight="false" outlineLevel="0" collapsed="false">
      <c r="B12" s="3" t="s">
        <v>420</v>
      </c>
      <c r="D12" s="36" t="n">
        <f aca="false">SUMIF(2_Evaluación!$AD$9:$AD$58,"Elegible",1_Proyectos!$L$9:$L$58)</f>
        <v>6500000</v>
      </c>
    </row>
    <row r="15" customFormat="false" ht="39.55" hidden="false" customHeight="false" outlineLevel="0" collapsed="false">
      <c r="A15" s="6" t="s">
        <v>421</v>
      </c>
      <c r="B15" s="6" t="s">
        <v>422</v>
      </c>
      <c r="C15" s="6" t="s">
        <v>334</v>
      </c>
      <c r="D15" s="6" t="s">
        <v>335</v>
      </c>
      <c r="E15" s="6" t="s">
        <v>228</v>
      </c>
      <c r="F15" s="6" t="s">
        <v>423</v>
      </c>
      <c r="G15" s="6" t="s">
        <v>344</v>
      </c>
      <c r="H15" s="6" t="s">
        <v>385</v>
      </c>
      <c r="I15" s="6" t="s">
        <v>424</v>
      </c>
      <c r="J15" s="6" t="s">
        <v>425</v>
      </c>
      <c r="K15" s="6" t="s">
        <v>426</v>
      </c>
      <c r="L15" s="6" t="s">
        <v>386</v>
      </c>
    </row>
    <row r="16" customFormat="false" ht="15" hidden="false" customHeight="false" outlineLevel="0" collapsed="false">
      <c r="A16" s="15" t="n">
        <v>1</v>
      </c>
      <c r="B16" s="15" t="n">
        <f aca="false">IFERROR(MATCH(A16,2_Evaluación!$AR$9:$AR$58,0),"")</f>
        <v>1</v>
      </c>
      <c r="C16" s="15" t="str">
        <f aca="false">IF($B16="","",INDEX(2_Evaluación!$A$9:$A$58,$B16))</f>
        <v>EJ-01</v>
      </c>
      <c r="D16" s="15" t="str">
        <f aca="false">IF($B16="","",INDEX(2_Evaluación!$B$9:$B$58,$B16))</f>
        <v>Restauración de manglar y humedal costero (ejemplo)</v>
      </c>
      <c r="E16" s="15" t="str">
        <f aca="false">IF($B16="","",INDEX(2_Evaluación!$C$9:$C$58,$B16))</f>
        <v>IV</v>
      </c>
      <c r="F16" s="15" t="str">
        <f aca="false">IF($B16="","",INDEX(1_Proyectos!$C$9:$C$58,$B16))</f>
        <v>OSC local (ejemplo)</v>
      </c>
      <c r="G16" s="36" t="n">
        <f aca="false">IF($B16="","",INDEX(1_Proyectos!$L$9:$L$58,$B16))</f>
        <v>2500000</v>
      </c>
      <c r="H16" s="30" t="str">
        <f aca="false">IF($B16="","",INDEX(2_Evaluación!$AD$9:$AD$58,$B16))</f>
        <v>Elegible</v>
      </c>
      <c r="I16" s="32" t="n">
        <f aca="false">IF($B16="","",INDEX(2_Evaluación!$AL$9:$AL$58,$B16))</f>
        <v>90.7</v>
      </c>
      <c r="J16" s="30" t="str">
        <f aca="false">IF($B16="","",INDEX(2_Evaluación!$AM$9:$AM$58,$B16))</f>
        <v>Alta</v>
      </c>
      <c r="K16" s="15" t="n">
        <f aca="false">IF($B16="","",INDEX(2_Evaluación!$AN$9:$AN$58,$B16))</f>
        <v>1</v>
      </c>
      <c r="L16" s="15" t="str">
        <f aca="false">IF($B16="","",INDEX(2_Evaluación!$AE$9:$AE$58,$B16))</f>
        <v/>
      </c>
    </row>
    <row r="17" customFormat="false" ht="15" hidden="false" customHeight="false" outlineLevel="0" collapsed="false">
      <c r="A17" s="15" t="n">
        <v>2</v>
      </c>
      <c r="B17" s="15" t="n">
        <f aca="false">IFERROR(MATCH(A17,2_Evaluación!$AR$9:$AR$58,0),"")</f>
        <v>2</v>
      </c>
      <c r="C17" s="15" t="str">
        <f aca="false">IF($B17="","",INDEX(2_Evaluación!$A$9:$A$58,$B17))</f>
        <v>EJ-02</v>
      </c>
      <c r="D17" s="15" t="str">
        <f aca="false">IF($B17="","",INDEX(2_Evaluación!$B$9:$B$58,$B17))</f>
        <v>Sistemas fotovoltaicos en escuelas rurales (ejemplo)</v>
      </c>
      <c r="E17" s="15" t="str">
        <f aca="false">IF($B17="","",INDEX(2_Evaluación!$C$9:$C$58,$B17))</f>
        <v>VI</v>
      </c>
      <c r="F17" s="15" t="str">
        <f aca="false">IF($B17="","",INDEX(1_Proyectos!$C$9:$C$58,$B17))</f>
        <v>Dependencia estatal (ejemplo)</v>
      </c>
      <c r="G17" s="36" t="n">
        <f aca="false">IF($B17="","",INDEX(1_Proyectos!$L$9:$L$58,$B17))</f>
        <v>4000000</v>
      </c>
      <c r="H17" s="30" t="str">
        <f aca="false">IF($B17="","",INDEX(2_Evaluación!$AD$9:$AD$58,$B17))</f>
        <v>Elegible</v>
      </c>
      <c r="I17" s="32" t="n">
        <f aca="false">IF($B17="","",INDEX(2_Evaluación!$AL$9:$AL$58,$B17))</f>
        <v>61.1</v>
      </c>
      <c r="J17" s="30" t="str">
        <f aca="false">IF($B17="","",INDEX(2_Evaluación!$AM$9:$AM$58,$B17))</f>
        <v>Media</v>
      </c>
      <c r="K17" s="15" t="n">
        <f aca="false">IF($B17="","",INDEX(2_Evaluación!$AN$9:$AN$58,$B17))</f>
        <v>2</v>
      </c>
      <c r="L17" s="15" t="str">
        <f aca="false">IF($B17="","",INDEX(2_Evaluación!$AE$9:$AE$58,$B17))</f>
        <v/>
      </c>
    </row>
    <row r="18" customFormat="false" ht="15" hidden="false" customHeight="false" outlineLevel="0" collapsed="false">
      <c r="A18" s="15" t="n">
        <v>3</v>
      </c>
      <c r="B18" s="15" t="n">
        <f aca="false">IFERROR(MATCH(A18,2_Evaluación!$AR$9:$AR$58,0),"")</f>
        <v>3</v>
      </c>
      <c r="C18" s="15" t="str">
        <f aca="false">IF($B18="","",INDEX(2_Evaluación!$A$9:$A$58,$B18))</f>
        <v>EJ-03</v>
      </c>
      <c r="D18" s="15" t="str">
        <f aca="false">IF($B18="","",INDEX(2_Evaluación!$B$9:$B$58,$B18))</f>
        <v>Campaña de cultura climática en redes sociales (ejemplo)</v>
      </c>
      <c r="E18" s="15" t="str">
        <f aca="false">IF($B18="","",INDEX(2_Evaluación!$C$9:$C$58,$B18))</f>
        <v>X</v>
      </c>
      <c r="F18" s="15" t="str">
        <f aca="false">IF($B18="","",INDEX(1_Proyectos!$C$9:$C$58,$B18))</f>
        <v>OSC (ejemplo)</v>
      </c>
      <c r="G18" s="36" t="n">
        <f aca="false">IF($B18="","",INDEX(1_Proyectos!$L$9:$L$58,$B18))</f>
        <v>600000</v>
      </c>
      <c r="H18" s="30" t="str">
        <f aca="false">IF($B18="","",INDEX(2_Evaluación!$AD$9:$AD$58,$B18))</f>
        <v>No elegible</v>
      </c>
      <c r="I18" s="32" t="str">
        <f aca="false">IF($B18="","",INDEX(2_Evaluación!$AL$9:$AL$58,$B18))</f>
        <v/>
      </c>
      <c r="J18" s="30" t="str">
        <f aca="false">IF($B18="","",INDEX(2_Evaluación!$AM$9:$AM$58,$B18))</f>
        <v/>
      </c>
      <c r="K18" s="15" t="str">
        <f aca="false">IF($B18="","",INDEX(2_Evaluación!$AN$9:$AN$58,$B18))</f>
        <v/>
      </c>
      <c r="L18" s="15" t="str">
        <f aca="false">IF($B18="","",INDEX(2_Evaluación!$AE$9:$AE$58,$B18))</f>
        <v>O3 E1</v>
      </c>
    </row>
    <row r="19" customFormat="false" ht="15" hidden="false" customHeight="false" outlineLevel="0" collapsed="false">
      <c r="A19" s="15" t="n">
        <v>4</v>
      </c>
      <c r="B19" s="15" t="n">
        <f aca="false">IFERROR(MATCH(A19,2_Evaluación!$AR$9:$AR$58,0),"")</f>
        <v>4</v>
      </c>
      <c r="C19" s="15" t="str">
        <f aca="false">IF($B19="","",INDEX(2_Evaluación!$A$9:$A$58,$B19))</f>
        <v>EJ-04</v>
      </c>
      <c r="D19" s="15" t="str">
        <f aca="false">IF($B19="","",INDEX(2_Evaluación!$B$9:$B$58,$B19))</f>
        <v>Planta municipal de compostaje (ejemplo)</v>
      </c>
      <c r="E19" s="15" t="str">
        <f aca="false">IF($B19="","",INDEX(2_Evaluación!$C$9:$C$58,$B19))</f>
        <v>IX</v>
      </c>
      <c r="F19" s="15" t="str">
        <f aca="false">IF($B19="","",INDEX(1_Proyectos!$C$9:$C$58,$B19))</f>
        <v>Municipio (ejemplo)</v>
      </c>
      <c r="G19" s="36" t="n">
        <f aca="false">IF($B19="","",INDEX(1_Proyectos!$L$9:$L$58,$B19))</f>
        <v>3000000</v>
      </c>
      <c r="H19" s="30" t="str">
        <f aca="false">IF($B19="","",INDEX(2_Evaluación!$AD$9:$AD$58,$B19))</f>
        <v>Pendiente</v>
      </c>
      <c r="I19" s="32" t="str">
        <f aca="false">IF($B19="","",INDEX(2_Evaluación!$AL$9:$AL$58,$B19))</f>
        <v/>
      </c>
      <c r="J19" s="30" t="str">
        <f aca="false">IF($B19="","",INDEX(2_Evaluación!$AM$9:$AM$58,$B19))</f>
        <v/>
      </c>
      <c r="K19" s="15" t="str">
        <f aca="false">IF($B19="","",INDEX(2_Evaluación!$AN$9:$AN$58,$B19))</f>
        <v/>
      </c>
      <c r="L19" s="15" t="str">
        <f aca="false">IF($B19="","",INDEX(2_Evaluación!$AE$9:$AE$58,$B19))</f>
        <v/>
      </c>
    </row>
    <row r="20" customFormat="false" ht="15" hidden="false" customHeight="false" outlineLevel="0" collapsed="false">
      <c r="A20" s="15" t="n">
        <v>5</v>
      </c>
      <c r="B20" s="15" t="str">
        <f aca="false">IFERROR(MATCH(A20,2_Evaluación!$AR$9:$AR$58,0),"")</f>
        <v/>
      </c>
      <c r="C20" s="15" t="str">
        <f aca="false">IF($B20="","",INDEX(2_Evaluación!$A$9:$A$58,$B20))</f>
        <v/>
      </c>
      <c r="D20" s="15" t="str">
        <f aca="false">IF($B20="","",INDEX(2_Evaluación!$B$9:$B$58,$B20))</f>
        <v/>
      </c>
      <c r="E20" s="15" t="str">
        <f aca="false">IF($B20="","",INDEX(2_Evaluación!$C$9:$C$58,$B20))</f>
        <v/>
      </c>
      <c r="F20" s="15" t="str">
        <f aca="false">IF($B20="","",INDEX(1_Proyectos!$C$9:$C$58,$B20))</f>
        <v/>
      </c>
      <c r="G20" s="36" t="str">
        <f aca="false">IF($B20="","",INDEX(1_Proyectos!$L$9:$L$58,$B20))</f>
        <v/>
      </c>
      <c r="H20" s="30" t="str">
        <f aca="false">IF($B20="","",INDEX(2_Evaluación!$AD$9:$AD$58,$B20))</f>
        <v/>
      </c>
      <c r="I20" s="32" t="str">
        <f aca="false">IF($B20="","",INDEX(2_Evaluación!$AL$9:$AL$58,$B20))</f>
        <v/>
      </c>
      <c r="J20" s="30" t="str">
        <f aca="false">IF($B20="","",INDEX(2_Evaluación!$AM$9:$AM$58,$B20))</f>
        <v/>
      </c>
      <c r="K20" s="15" t="str">
        <f aca="false">IF($B20="","",INDEX(2_Evaluación!$AN$9:$AN$58,$B20))</f>
        <v/>
      </c>
      <c r="L20" s="15" t="str">
        <f aca="false">IF($B20="","",INDEX(2_Evaluación!$AE$9:$AE$58,$B20))</f>
        <v/>
      </c>
    </row>
    <row r="21" customFormat="false" ht="15" hidden="false" customHeight="false" outlineLevel="0" collapsed="false">
      <c r="A21" s="15" t="n">
        <v>6</v>
      </c>
      <c r="B21" s="15" t="str">
        <f aca="false">IFERROR(MATCH(A21,2_Evaluación!$AR$9:$AR$58,0),"")</f>
        <v/>
      </c>
      <c r="C21" s="15" t="str">
        <f aca="false">IF($B21="","",INDEX(2_Evaluación!$A$9:$A$58,$B21))</f>
        <v/>
      </c>
      <c r="D21" s="15" t="str">
        <f aca="false">IF($B21="","",INDEX(2_Evaluación!$B$9:$B$58,$B21))</f>
        <v/>
      </c>
      <c r="E21" s="15" t="str">
        <f aca="false">IF($B21="","",INDEX(2_Evaluación!$C$9:$C$58,$B21))</f>
        <v/>
      </c>
      <c r="F21" s="15" t="str">
        <f aca="false">IF($B21="","",INDEX(1_Proyectos!$C$9:$C$58,$B21))</f>
        <v/>
      </c>
      <c r="G21" s="36" t="str">
        <f aca="false">IF($B21="","",INDEX(1_Proyectos!$L$9:$L$58,$B21))</f>
        <v/>
      </c>
      <c r="H21" s="30" t="str">
        <f aca="false">IF($B21="","",INDEX(2_Evaluación!$AD$9:$AD$58,$B21))</f>
        <v/>
      </c>
      <c r="I21" s="32" t="str">
        <f aca="false">IF($B21="","",INDEX(2_Evaluación!$AL$9:$AL$58,$B21))</f>
        <v/>
      </c>
      <c r="J21" s="30" t="str">
        <f aca="false">IF($B21="","",INDEX(2_Evaluación!$AM$9:$AM$58,$B21))</f>
        <v/>
      </c>
      <c r="K21" s="15" t="str">
        <f aca="false">IF($B21="","",INDEX(2_Evaluación!$AN$9:$AN$58,$B21))</f>
        <v/>
      </c>
      <c r="L21" s="15" t="str">
        <f aca="false">IF($B21="","",INDEX(2_Evaluación!$AE$9:$AE$58,$B21))</f>
        <v/>
      </c>
    </row>
    <row r="22" customFormat="false" ht="15" hidden="false" customHeight="false" outlineLevel="0" collapsed="false">
      <c r="A22" s="15" t="n">
        <v>7</v>
      </c>
      <c r="B22" s="15" t="str">
        <f aca="false">IFERROR(MATCH(A22,2_Evaluación!$AR$9:$AR$58,0),"")</f>
        <v/>
      </c>
      <c r="C22" s="15" t="str">
        <f aca="false">IF($B22="","",INDEX(2_Evaluación!$A$9:$A$58,$B22))</f>
        <v/>
      </c>
      <c r="D22" s="15" t="str">
        <f aca="false">IF($B22="","",INDEX(2_Evaluación!$B$9:$B$58,$B22))</f>
        <v/>
      </c>
      <c r="E22" s="15" t="str">
        <f aca="false">IF($B22="","",INDEX(2_Evaluación!$C$9:$C$58,$B22))</f>
        <v/>
      </c>
      <c r="F22" s="15" t="str">
        <f aca="false">IF($B22="","",INDEX(1_Proyectos!$C$9:$C$58,$B22))</f>
        <v/>
      </c>
      <c r="G22" s="36" t="str">
        <f aca="false">IF($B22="","",INDEX(1_Proyectos!$L$9:$L$58,$B22))</f>
        <v/>
      </c>
      <c r="H22" s="30" t="str">
        <f aca="false">IF($B22="","",INDEX(2_Evaluación!$AD$9:$AD$58,$B22))</f>
        <v/>
      </c>
      <c r="I22" s="32" t="str">
        <f aca="false">IF($B22="","",INDEX(2_Evaluación!$AL$9:$AL$58,$B22))</f>
        <v/>
      </c>
      <c r="J22" s="30" t="str">
        <f aca="false">IF($B22="","",INDEX(2_Evaluación!$AM$9:$AM$58,$B22))</f>
        <v/>
      </c>
      <c r="K22" s="15" t="str">
        <f aca="false">IF($B22="","",INDEX(2_Evaluación!$AN$9:$AN$58,$B22))</f>
        <v/>
      </c>
      <c r="L22" s="15" t="str">
        <f aca="false">IF($B22="","",INDEX(2_Evaluación!$AE$9:$AE$58,$B22))</f>
        <v/>
      </c>
    </row>
    <row r="23" customFormat="false" ht="15" hidden="false" customHeight="false" outlineLevel="0" collapsed="false">
      <c r="A23" s="15" t="n">
        <v>8</v>
      </c>
      <c r="B23" s="15" t="str">
        <f aca="false">IFERROR(MATCH(A23,2_Evaluación!$AR$9:$AR$58,0),"")</f>
        <v/>
      </c>
      <c r="C23" s="15" t="str">
        <f aca="false">IF($B23="","",INDEX(2_Evaluación!$A$9:$A$58,$B23))</f>
        <v/>
      </c>
      <c r="D23" s="15" t="str">
        <f aca="false">IF($B23="","",INDEX(2_Evaluación!$B$9:$B$58,$B23))</f>
        <v/>
      </c>
      <c r="E23" s="15" t="str">
        <f aca="false">IF($B23="","",INDEX(2_Evaluación!$C$9:$C$58,$B23))</f>
        <v/>
      </c>
      <c r="F23" s="15" t="str">
        <f aca="false">IF($B23="","",INDEX(1_Proyectos!$C$9:$C$58,$B23))</f>
        <v/>
      </c>
      <c r="G23" s="36" t="str">
        <f aca="false">IF($B23="","",INDEX(1_Proyectos!$L$9:$L$58,$B23))</f>
        <v/>
      </c>
      <c r="H23" s="30" t="str">
        <f aca="false">IF($B23="","",INDEX(2_Evaluación!$AD$9:$AD$58,$B23))</f>
        <v/>
      </c>
      <c r="I23" s="32" t="str">
        <f aca="false">IF($B23="","",INDEX(2_Evaluación!$AL$9:$AL$58,$B23))</f>
        <v/>
      </c>
      <c r="J23" s="30" t="str">
        <f aca="false">IF($B23="","",INDEX(2_Evaluación!$AM$9:$AM$58,$B23))</f>
        <v/>
      </c>
      <c r="K23" s="15" t="str">
        <f aca="false">IF($B23="","",INDEX(2_Evaluación!$AN$9:$AN$58,$B23))</f>
        <v/>
      </c>
      <c r="L23" s="15" t="str">
        <f aca="false">IF($B23="","",INDEX(2_Evaluación!$AE$9:$AE$58,$B23))</f>
        <v/>
      </c>
    </row>
    <row r="24" customFormat="false" ht="15" hidden="false" customHeight="false" outlineLevel="0" collapsed="false">
      <c r="A24" s="15" t="n">
        <v>9</v>
      </c>
      <c r="B24" s="15" t="str">
        <f aca="false">IFERROR(MATCH(A24,2_Evaluación!$AR$9:$AR$58,0),"")</f>
        <v/>
      </c>
      <c r="C24" s="15" t="str">
        <f aca="false">IF($B24="","",INDEX(2_Evaluación!$A$9:$A$58,$B24))</f>
        <v/>
      </c>
      <c r="D24" s="15" t="str">
        <f aca="false">IF($B24="","",INDEX(2_Evaluación!$B$9:$B$58,$B24))</f>
        <v/>
      </c>
      <c r="E24" s="15" t="str">
        <f aca="false">IF($B24="","",INDEX(2_Evaluación!$C$9:$C$58,$B24))</f>
        <v/>
      </c>
      <c r="F24" s="15" t="str">
        <f aca="false">IF($B24="","",INDEX(1_Proyectos!$C$9:$C$58,$B24))</f>
        <v/>
      </c>
      <c r="G24" s="36" t="str">
        <f aca="false">IF($B24="","",INDEX(1_Proyectos!$L$9:$L$58,$B24))</f>
        <v/>
      </c>
      <c r="H24" s="30" t="str">
        <f aca="false">IF($B24="","",INDEX(2_Evaluación!$AD$9:$AD$58,$B24))</f>
        <v/>
      </c>
      <c r="I24" s="32" t="str">
        <f aca="false">IF($B24="","",INDEX(2_Evaluación!$AL$9:$AL$58,$B24))</f>
        <v/>
      </c>
      <c r="J24" s="30" t="str">
        <f aca="false">IF($B24="","",INDEX(2_Evaluación!$AM$9:$AM$58,$B24))</f>
        <v/>
      </c>
      <c r="K24" s="15" t="str">
        <f aca="false">IF($B24="","",INDEX(2_Evaluación!$AN$9:$AN$58,$B24))</f>
        <v/>
      </c>
      <c r="L24" s="15" t="str">
        <f aca="false">IF($B24="","",INDEX(2_Evaluación!$AE$9:$AE$58,$B24))</f>
        <v/>
      </c>
    </row>
    <row r="25" customFormat="false" ht="15" hidden="false" customHeight="false" outlineLevel="0" collapsed="false">
      <c r="A25" s="15" t="n">
        <v>10</v>
      </c>
      <c r="B25" s="15" t="str">
        <f aca="false">IFERROR(MATCH(A25,2_Evaluación!$AR$9:$AR$58,0),"")</f>
        <v/>
      </c>
      <c r="C25" s="15" t="str">
        <f aca="false">IF($B25="","",INDEX(2_Evaluación!$A$9:$A$58,$B25))</f>
        <v/>
      </c>
      <c r="D25" s="15" t="str">
        <f aca="false">IF($B25="","",INDEX(2_Evaluación!$B$9:$B$58,$B25))</f>
        <v/>
      </c>
      <c r="E25" s="15" t="str">
        <f aca="false">IF($B25="","",INDEX(2_Evaluación!$C$9:$C$58,$B25))</f>
        <v/>
      </c>
      <c r="F25" s="15" t="str">
        <f aca="false">IF($B25="","",INDEX(1_Proyectos!$C$9:$C$58,$B25))</f>
        <v/>
      </c>
      <c r="G25" s="36" t="str">
        <f aca="false">IF($B25="","",INDEX(1_Proyectos!$L$9:$L$58,$B25))</f>
        <v/>
      </c>
      <c r="H25" s="30" t="str">
        <f aca="false">IF($B25="","",INDEX(2_Evaluación!$AD$9:$AD$58,$B25))</f>
        <v/>
      </c>
      <c r="I25" s="32" t="str">
        <f aca="false">IF($B25="","",INDEX(2_Evaluación!$AL$9:$AL$58,$B25))</f>
        <v/>
      </c>
      <c r="J25" s="30" t="str">
        <f aca="false">IF($B25="","",INDEX(2_Evaluación!$AM$9:$AM$58,$B25))</f>
        <v/>
      </c>
      <c r="K25" s="15" t="str">
        <f aca="false">IF($B25="","",INDEX(2_Evaluación!$AN$9:$AN$58,$B25))</f>
        <v/>
      </c>
      <c r="L25" s="15" t="str">
        <f aca="false">IF($B25="","",INDEX(2_Evaluación!$AE$9:$AE$58,$B25))</f>
        <v/>
      </c>
    </row>
    <row r="26" customFormat="false" ht="15" hidden="false" customHeight="false" outlineLevel="0" collapsed="false">
      <c r="A26" s="15" t="n">
        <v>11</v>
      </c>
      <c r="B26" s="15" t="str">
        <f aca="false">IFERROR(MATCH(A26,2_Evaluación!$AR$9:$AR$58,0),"")</f>
        <v/>
      </c>
      <c r="C26" s="15" t="str">
        <f aca="false">IF($B26="","",INDEX(2_Evaluación!$A$9:$A$58,$B26))</f>
        <v/>
      </c>
      <c r="D26" s="15" t="str">
        <f aca="false">IF($B26="","",INDEX(2_Evaluación!$B$9:$B$58,$B26))</f>
        <v/>
      </c>
      <c r="E26" s="15" t="str">
        <f aca="false">IF($B26="","",INDEX(2_Evaluación!$C$9:$C$58,$B26))</f>
        <v/>
      </c>
      <c r="F26" s="15" t="str">
        <f aca="false">IF($B26="","",INDEX(1_Proyectos!$C$9:$C$58,$B26))</f>
        <v/>
      </c>
      <c r="G26" s="36" t="str">
        <f aca="false">IF($B26="","",INDEX(1_Proyectos!$L$9:$L$58,$B26))</f>
        <v/>
      </c>
      <c r="H26" s="30" t="str">
        <f aca="false">IF($B26="","",INDEX(2_Evaluación!$AD$9:$AD$58,$B26))</f>
        <v/>
      </c>
      <c r="I26" s="32" t="str">
        <f aca="false">IF($B26="","",INDEX(2_Evaluación!$AL$9:$AL$58,$B26))</f>
        <v/>
      </c>
      <c r="J26" s="30" t="str">
        <f aca="false">IF($B26="","",INDEX(2_Evaluación!$AM$9:$AM$58,$B26))</f>
        <v/>
      </c>
      <c r="K26" s="15" t="str">
        <f aca="false">IF($B26="","",INDEX(2_Evaluación!$AN$9:$AN$58,$B26))</f>
        <v/>
      </c>
      <c r="L26" s="15" t="str">
        <f aca="false">IF($B26="","",INDEX(2_Evaluación!$AE$9:$AE$58,$B26))</f>
        <v/>
      </c>
    </row>
    <row r="27" customFormat="false" ht="15" hidden="false" customHeight="false" outlineLevel="0" collapsed="false">
      <c r="A27" s="15" t="n">
        <v>12</v>
      </c>
      <c r="B27" s="15" t="str">
        <f aca="false">IFERROR(MATCH(A27,2_Evaluación!$AR$9:$AR$58,0),"")</f>
        <v/>
      </c>
      <c r="C27" s="15" t="str">
        <f aca="false">IF($B27="","",INDEX(2_Evaluación!$A$9:$A$58,$B27))</f>
        <v/>
      </c>
      <c r="D27" s="15" t="str">
        <f aca="false">IF($B27="","",INDEX(2_Evaluación!$B$9:$B$58,$B27))</f>
        <v/>
      </c>
      <c r="E27" s="15" t="str">
        <f aca="false">IF($B27="","",INDEX(2_Evaluación!$C$9:$C$58,$B27))</f>
        <v/>
      </c>
      <c r="F27" s="15" t="str">
        <f aca="false">IF($B27="","",INDEX(1_Proyectos!$C$9:$C$58,$B27))</f>
        <v/>
      </c>
      <c r="G27" s="36" t="str">
        <f aca="false">IF($B27="","",INDEX(1_Proyectos!$L$9:$L$58,$B27))</f>
        <v/>
      </c>
      <c r="H27" s="30" t="str">
        <f aca="false">IF($B27="","",INDEX(2_Evaluación!$AD$9:$AD$58,$B27))</f>
        <v/>
      </c>
      <c r="I27" s="32" t="str">
        <f aca="false">IF($B27="","",INDEX(2_Evaluación!$AL$9:$AL$58,$B27))</f>
        <v/>
      </c>
      <c r="J27" s="30" t="str">
        <f aca="false">IF($B27="","",INDEX(2_Evaluación!$AM$9:$AM$58,$B27))</f>
        <v/>
      </c>
      <c r="K27" s="15" t="str">
        <f aca="false">IF($B27="","",INDEX(2_Evaluación!$AN$9:$AN$58,$B27))</f>
        <v/>
      </c>
      <c r="L27" s="15" t="str">
        <f aca="false">IF($B27="","",INDEX(2_Evaluación!$AE$9:$AE$58,$B27))</f>
        <v/>
      </c>
    </row>
    <row r="28" customFormat="false" ht="15" hidden="false" customHeight="false" outlineLevel="0" collapsed="false">
      <c r="A28" s="15" t="n">
        <v>13</v>
      </c>
      <c r="B28" s="15" t="str">
        <f aca="false">IFERROR(MATCH(A28,2_Evaluación!$AR$9:$AR$58,0),"")</f>
        <v/>
      </c>
      <c r="C28" s="15" t="str">
        <f aca="false">IF($B28="","",INDEX(2_Evaluación!$A$9:$A$58,$B28))</f>
        <v/>
      </c>
      <c r="D28" s="15" t="str">
        <f aca="false">IF($B28="","",INDEX(2_Evaluación!$B$9:$B$58,$B28))</f>
        <v/>
      </c>
      <c r="E28" s="15" t="str">
        <f aca="false">IF($B28="","",INDEX(2_Evaluación!$C$9:$C$58,$B28))</f>
        <v/>
      </c>
      <c r="F28" s="15" t="str">
        <f aca="false">IF($B28="","",INDEX(1_Proyectos!$C$9:$C$58,$B28))</f>
        <v/>
      </c>
      <c r="G28" s="36" t="str">
        <f aca="false">IF($B28="","",INDEX(1_Proyectos!$L$9:$L$58,$B28))</f>
        <v/>
      </c>
      <c r="H28" s="30" t="str">
        <f aca="false">IF($B28="","",INDEX(2_Evaluación!$AD$9:$AD$58,$B28))</f>
        <v/>
      </c>
      <c r="I28" s="32" t="str">
        <f aca="false">IF($B28="","",INDEX(2_Evaluación!$AL$9:$AL$58,$B28))</f>
        <v/>
      </c>
      <c r="J28" s="30" t="str">
        <f aca="false">IF($B28="","",INDEX(2_Evaluación!$AM$9:$AM$58,$B28))</f>
        <v/>
      </c>
      <c r="K28" s="15" t="str">
        <f aca="false">IF($B28="","",INDEX(2_Evaluación!$AN$9:$AN$58,$B28))</f>
        <v/>
      </c>
      <c r="L28" s="15" t="str">
        <f aca="false">IF($B28="","",INDEX(2_Evaluación!$AE$9:$AE$58,$B28))</f>
        <v/>
      </c>
    </row>
    <row r="29" customFormat="false" ht="15" hidden="false" customHeight="false" outlineLevel="0" collapsed="false">
      <c r="A29" s="15" t="n">
        <v>14</v>
      </c>
      <c r="B29" s="15" t="str">
        <f aca="false">IFERROR(MATCH(A29,2_Evaluación!$AR$9:$AR$58,0),"")</f>
        <v/>
      </c>
      <c r="C29" s="15" t="str">
        <f aca="false">IF($B29="","",INDEX(2_Evaluación!$A$9:$A$58,$B29))</f>
        <v/>
      </c>
      <c r="D29" s="15" t="str">
        <f aca="false">IF($B29="","",INDEX(2_Evaluación!$B$9:$B$58,$B29))</f>
        <v/>
      </c>
      <c r="E29" s="15" t="str">
        <f aca="false">IF($B29="","",INDEX(2_Evaluación!$C$9:$C$58,$B29))</f>
        <v/>
      </c>
      <c r="F29" s="15" t="str">
        <f aca="false">IF($B29="","",INDEX(1_Proyectos!$C$9:$C$58,$B29))</f>
        <v/>
      </c>
      <c r="G29" s="36" t="str">
        <f aca="false">IF($B29="","",INDEX(1_Proyectos!$L$9:$L$58,$B29))</f>
        <v/>
      </c>
      <c r="H29" s="30" t="str">
        <f aca="false">IF($B29="","",INDEX(2_Evaluación!$AD$9:$AD$58,$B29))</f>
        <v/>
      </c>
      <c r="I29" s="32" t="str">
        <f aca="false">IF($B29="","",INDEX(2_Evaluación!$AL$9:$AL$58,$B29))</f>
        <v/>
      </c>
      <c r="J29" s="30" t="str">
        <f aca="false">IF($B29="","",INDEX(2_Evaluación!$AM$9:$AM$58,$B29))</f>
        <v/>
      </c>
      <c r="K29" s="15" t="str">
        <f aca="false">IF($B29="","",INDEX(2_Evaluación!$AN$9:$AN$58,$B29))</f>
        <v/>
      </c>
      <c r="L29" s="15" t="str">
        <f aca="false">IF($B29="","",INDEX(2_Evaluación!$AE$9:$AE$58,$B29))</f>
        <v/>
      </c>
    </row>
    <row r="30" customFormat="false" ht="15" hidden="false" customHeight="false" outlineLevel="0" collapsed="false">
      <c r="A30" s="15" t="n">
        <v>15</v>
      </c>
      <c r="B30" s="15" t="str">
        <f aca="false">IFERROR(MATCH(A30,2_Evaluación!$AR$9:$AR$58,0),"")</f>
        <v/>
      </c>
      <c r="C30" s="15" t="str">
        <f aca="false">IF($B30="","",INDEX(2_Evaluación!$A$9:$A$58,$B30))</f>
        <v/>
      </c>
      <c r="D30" s="15" t="str">
        <f aca="false">IF($B30="","",INDEX(2_Evaluación!$B$9:$B$58,$B30))</f>
        <v/>
      </c>
      <c r="E30" s="15" t="str">
        <f aca="false">IF($B30="","",INDEX(2_Evaluación!$C$9:$C$58,$B30))</f>
        <v/>
      </c>
      <c r="F30" s="15" t="str">
        <f aca="false">IF($B30="","",INDEX(1_Proyectos!$C$9:$C$58,$B30))</f>
        <v/>
      </c>
      <c r="G30" s="36" t="str">
        <f aca="false">IF($B30="","",INDEX(1_Proyectos!$L$9:$L$58,$B30))</f>
        <v/>
      </c>
      <c r="H30" s="30" t="str">
        <f aca="false">IF($B30="","",INDEX(2_Evaluación!$AD$9:$AD$58,$B30))</f>
        <v/>
      </c>
      <c r="I30" s="32" t="str">
        <f aca="false">IF($B30="","",INDEX(2_Evaluación!$AL$9:$AL$58,$B30))</f>
        <v/>
      </c>
      <c r="J30" s="30" t="str">
        <f aca="false">IF($B30="","",INDEX(2_Evaluación!$AM$9:$AM$58,$B30))</f>
        <v/>
      </c>
      <c r="K30" s="15" t="str">
        <f aca="false">IF($B30="","",INDEX(2_Evaluación!$AN$9:$AN$58,$B30))</f>
        <v/>
      </c>
      <c r="L30" s="15" t="str">
        <f aca="false">IF($B30="","",INDEX(2_Evaluación!$AE$9:$AE$58,$B30))</f>
        <v/>
      </c>
    </row>
    <row r="31" customFormat="false" ht="15" hidden="false" customHeight="false" outlineLevel="0" collapsed="false">
      <c r="A31" s="15" t="n">
        <v>16</v>
      </c>
      <c r="B31" s="15" t="str">
        <f aca="false">IFERROR(MATCH(A31,2_Evaluación!$AR$9:$AR$58,0),"")</f>
        <v/>
      </c>
      <c r="C31" s="15" t="str">
        <f aca="false">IF($B31="","",INDEX(2_Evaluación!$A$9:$A$58,$B31))</f>
        <v/>
      </c>
      <c r="D31" s="15" t="str">
        <f aca="false">IF($B31="","",INDEX(2_Evaluación!$B$9:$B$58,$B31))</f>
        <v/>
      </c>
      <c r="E31" s="15" t="str">
        <f aca="false">IF($B31="","",INDEX(2_Evaluación!$C$9:$C$58,$B31))</f>
        <v/>
      </c>
      <c r="F31" s="15" t="str">
        <f aca="false">IF($B31="","",INDEX(1_Proyectos!$C$9:$C$58,$B31))</f>
        <v/>
      </c>
      <c r="G31" s="36" t="str">
        <f aca="false">IF($B31="","",INDEX(1_Proyectos!$L$9:$L$58,$B31))</f>
        <v/>
      </c>
      <c r="H31" s="30" t="str">
        <f aca="false">IF($B31="","",INDEX(2_Evaluación!$AD$9:$AD$58,$B31))</f>
        <v/>
      </c>
      <c r="I31" s="32" t="str">
        <f aca="false">IF($B31="","",INDEX(2_Evaluación!$AL$9:$AL$58,$B31))</f>
        <v/>
      </c>
      <c r="J31" s="30" t="str">
        <f aca="false">IF($B31="","",INDEX(2_Evaluación!$AM$9:$AM$58,$B31))</f>
        <v/>
      </c>
      <c r="K31" s="15" t="str">
        <f aca="false">IF($B31="","",INDEX(2_Evaluación!$AN$9:$AN$58,$B31))</f>
        <v/>
      </c>
      <c r="L31" s="15" t="str">
        <f aca="false">IF($B31="","",INDEX(2_Evaluación!$AE$9:$AE$58,$B31))</f>
        <v/>
      </c>
    </row>
    <row r="32" customFormat="false" ht="15" hidden="false" customHeight="false" outlineLevel="0" collapsed="false">
      <c r="A32" s="15" t="n">
        <v>17</v>
      </c>
      <c r="B32" s="15" t="str">
        <f aca="false">IFERROR(MATCH(A32,2_Evaluación!$AR$9:$AR$58,0),"")</f>
        <v/>
      </c>
      <c r="C32" s="15" t="str">
        <f aca="false">IF($B32="","",INDEX(2_Evaluación!$A$9:$A$58,$B32))</f>
        <v/>
      </c>
      <c r="D32" s="15" t="str">
        <f aca="false">IF($B32="","",INDEX(2_Evaluación!$B$9:$B$58,$B32))</f>
        <v/>
      </c>
      <c r="E32" s="15" t="str">
        <f aca="false">IF($B32="","",INDEX(2_Evaluación!$C$9:$C$58,$B32))</f>
        <v/>
      </c>
      <c r="F32" s="15" t="str">
        <f aca="false">IF($B32="","",INDEX(1_Proyectos!$C$9:$C$58,$B32))</f>
        <v/>
      </c>
      <c r="G32" s="36" t="str">
        <f aca="false">IF($B32="","",INDEX(1_Proyectos!$L$9:$L$58,$B32))</f>
        <v/>
      </c>
      <c r="H32" s="30" t="str">
        <f aca="false">IF($B32="","",INDEX(2_Evaluación!$AD$9:$AD$58,$B32))</f>
        <v/>
      </c>
      <c r="I32" s="32" t="str">
        <f aca="false">IF($B32="","",INDEX(2_Evaluación!$AL$9:$AL$58,$B32))</f>
        <v/>
      </c>
      <c r="J32" s="30" t="str">
        <f aca="false">IF($B32="","",INDEX(2_Evaluación!$AM$9:$AM$58,$B32))</f>
        <v/>
      </c>
      <c r="K32" s="15" t="str">
        <f aca="false">IF($B32="","",INDEX(2_Evaluación!$AN$9:$AN$58,$B32))</f>
        <v/>
      </c>
      <c r="L32" s="15" t="str">
        <f aca="false">IF($B32="","",INDEX(2_Evaluación!$AE$9:$AE$58,$B32))</f>
        <v/>
      </c>
    </row>
    <row r="33" customFormat="false" ht="15" hidden="false" customHeight="false" outlineLevel="0" collapsed="false">
      <c r="A33" s="15" t="n">
        <v>18</v>
      </c>
      <c r="B33" s="15" t="str">
        <f aca="false">IFERROR(MATCH(A33,2_Evaluación!$AR$9:$AR$58,0),"")</f>
        <v/>
      </c>
      <c r="C33" s="15" t="str">
        <f aca="false">IF($B33="","",INDEX(2_Evaluación!$A$9:$A$58,$B33))</f>
        <v/>
      </c>
      <c r="D33" s="15" t="str">
        <f aca="false">IF($B33="","",INDEX(2_Evaluación!$B$9:$B$58,$B33))</f>
        <v/>
      </c>
      <c r="E33" s="15" t="str">
        <f aca="false">IF($B33="","",INDEX(2_Evaluación!$C$9:$C$58,$B33))</f>
        <v/>
      </c>
      <c r="F33" s="15" t="str">
        <f aca="false">IF($B33="","",INDEX(1_Proyectos!$C$9:$C$58,$B33))</f>
        <v/>
      </c>
      <c r="G33" s="36" t="str">
        <f aca="false">IF($B33="","",INDEX(1_Proyectos!$L$9:$L$58,$B33))</f>
        <v/>
      </c>
      <c r="H33" s="30" t="str">
        <f aca="false">IF($B33="","",INDEX(2_Evaluación!$AD$9:$AD$58,$B33))</f>
        <v/>
      </c>
      <c r="I33" s="32" t="str">
        <f aca="false">IF($B33="","",INDEX(2_Evaluación!$AL$9:$AL$58,$B33))</f>
        <v/>
      </c>
      <c r="J33" s="30" t="str">
        <f aca="false">IF($B33="","",INDEX(2_Evaluación!$AM$9:$AM$58,$B33))</f>
        <v/>
      </c>
      <c r="K33" s="15" t="str">
        <f aca="false">IF($B33="","",INDEX(2_Evaluación!$AN$9:$AN$58,$B33))</f>
        <v/>
      </c>
      <c r="L33" s="15" t="str">
        <f aca="false">IF($B33="","",INDEX(2_Evaluación!$AE$9:$AE$58,$B33))</f>
        <v/>
      </c>
    </row>
    <row r="34" customFormat="false" ht="15" hidden="false" customHeight="false" outlineLevel="0" collapsed="false">
      <c r="A34" s="15" t="n">
        <v>19</v>
      </c>
      <c r="B34" s="15" t="str">
        <f aca="false">IFERROR(MATCH(A34,2_Evaluación!$AR$9:$AR$58,0),"")</f>
        <v/>
      </c>
      <c r="C34" s="15" t="str">
        <f aca="false">IF($B34="","",INDEX(2_Evaluación!$A$9:$A$58,$B34))</f>
        <v/>
      </c>
      <c r="D34" s="15" t="str">
        <f aca="false">IF($B34="","",INDEX(2_Evaluación!$B$9:$B$58,$B34))</f>
        <v/>
      </c>
      <c r="E34" s="15" t="str">
        <f aca="false">IF($B34="","",INDEX(2_Evaluación!$C$9:$C$58,$B34))</f>
        <v/>
      </c>
      <c r="F34" s="15" t="str">
        <f aca="false">IF($B34="","",INDEX(1_Proyectos!$C$9:$C$58,$B34))</f>
        <v/>
      </c>
      <c r="G34" s="36" t="str">
        <f aca="false">IF($B34="","",INDEX(1_Proyectos!$L$9:$L$58,$B34))</f>
        <v/>
      </c>
      <c r="H34" s="30" t="str">
        <f aca="false">IF($B34="","",INDEX(2_Evaluación!$AD$9:$AD$58,$B34))</f>
        <v/>
      </c>
      <c r="I34" s="32" t="str">
        <f aca="false">IF($B34="","",INDEX(2_Evaluación!$AL$9:$AL$58,$B34))</f>
        <v/>
      </c>
      <c r="J34" s="30" t="str">
        <f aca="false">IF($B34="","",INDEX(2_Evaluación!$AM$9:$AM$58,$B34))</f>
        <v/>
      </c>
      <c r="K34" s="15" t="str">
        <f aca="false">IF($B34="","",INDEX(2_Evaluación!$AN$9:$AN$58,$B34))</f>
        <v/>
      </c>
      <c r="L34" s="15" t="str">
        <f aca="false">IF($B34="","",INDEX(2_Evaluación!$AE$9:$AE$58,$B34))</f>
        <v/>
      </c>
    </row>
    <row r="35" customFormat="false" ht="15" hidden="false" customHeight="false" outlineLevel="0" collapsed="false">
      <c r="A35" s="15" t="n">
        <v>20</v>
      </c>
      <c r="B35" s="15" t="str">
        <f aca="false">IFERROR(MATCH(A35,2_Evaluación!$AR$9:$AR$58,0),"")</f>
        <v/>
      </c>
      <c r="C35" s="15" t="str">
        <f aca="false">IF($B35="","",INDEX(2_Evaluación!$A$9:$A$58,$B35))</f>
        <v/>
      </c>
      <c r="D35" s="15" t="str">
        <f aca="false">IF($B35="","",INDEX(2_Evaluación!$B$9:$B$58,$B35))</f>
        <v/>
      </c>
      <c r="E35" s="15" t="str">
        <f aca="false">IF($B35="","",INDEX(2_Evaluación!$C$9:$C$58,$B35))</f>
        <v/>
      </c>
      <c r="F35" s="15" t="str">
        <f aca="false">IF($B35="","",INDEX(1_Proyectos!$C$9:$C$58,$B35))</f>
        <v/>
      </c>
      <c r="G35" s="36" t="str">
        <f aca="false">IF($B35="","",INDEX(1_Proyectos!$L$9:$L$58,$B35))</f>
        <v/>
      </c>
      <c r="H35" s="30" t="str">
        <f aca="false">IF($B35="","",INDEX(2_Evaluación!$AD$9:$AD$58,$B35))</f>
        <v/>
      </c>
      <c r="I35" s="32" t="str">
        <f aca="false">IF($B35="","",INDEX(2_Evaluación!$AL$9:$AL$58,$B35))</f>
        <v/>
      </c>
      <c r="J35" s="30" t="str">
        <f aca="false">IF($B35="","",INDEX(2_Evaluación!$AM$9:$AM$58,$B35))</f>
        <v/>
      </c>
      <c r="K35" s="15" t="str">
        <f aca="false">IF($B35="","",INDEX(2_Evaluación!$AN$9:$AN$58,$B35))</f>
        <v/>
      </c>
      <c r="L35" s="15" t="str">
        <f aca="false">IF($B35="","",INDEX(2_Evaluación!$AE$9:$AE$58,$B35))</f>
        <v/>
      </c>
    </row>
    <row r="36" customFormat="false" ht="15" hidden="false" customHeight="false" outlineLevel="0" collapsed="false">
      <c r="A36" s="15" t="n">
        <v>21</v>
      </c>
      <c r="B36" s="15" t="str">
        <f aca="false">IFERROR(MATCH(A36,2_Evaluación!$AR$9:$AR$58,0),"")</f>
        <v/>
      </c>
      <c r="C36" s="15" t="str">
        <f aca="false">IF($B36="","",INDEX(2_Evaluación!$A$9:$A$58,$B36))</f>
        <v/>
      </c>
      <c r="D36" s="15" t="str">
        <f aca="false">IF($B36="","",INDEX(2_Evaluación!$B$9:$B$58,$B36))</f>
        <v/>
      </c>
      <c r="E36" s="15" t="str">
        <f aca="false">IF($B36="","",INDEX(2_Evaluación!$C$9:$C$58,$B36))</f>
        <v/>
      </c>
      <c r="F36" s="15" t="str">
        <f aca="false">IF($B36="","",INDEX(1_Proyectos!$C$9:$C$58,$B36))</f>
        <v/>
      </c>
      <c r="G36" s="36" t="str">
        <f aca="false">IF($B36="","",INDEX(1_Proyectos!$L$9:$L$58,$B36))</f>
        <v/>
      </c>
      <c r="H36" s="30" t="str">
        <f aca="false">IF($B36="","",INDEX(2_Evaluación!$AD$9:$AD$58,$B36))</f>
        <v/>
      </c>
      <c r="I36" s="32" t="str">
        <f aca="false">IF($B36="","",INDEX(2_Evaluación!$AL$9:$AL$58,$B36))</f>
        <v/>
      </c>
      <c r="J36" s="30" t="str">
        <f aca="false">IF($B36="","",INDEX(2_Evaluación!$AM$9:$AM$58,$B36))</f>
        <v/>
      </c>
      <c r="K36" s="15" t="str">
        <f aca="false">IF($B36="","",INDEX(2_Evaluación!$AN$9:$AN$58,$B36))</f>
        <v/>
      </c>
      <c r="L36" s="15" t="str">
        <f aca="false">IF($B36="","",INDEX(2_Evaluación!$AE$9:$AE$58,$B36))</f>
        <v/>
      </c>
    </row>
    <row r="37" customFormat="false" ht="15" hidden="false" customHeight="false" outlineLevel="0" collapsed="false">
      <c r="A37" s="15" t="n">
        <v>22</v>
      </c>
      <c r="B37" s="15" t="str">
        <f aca="false">IFERROR(MATCH(A37,2_Evaluación!$AR$9:$AR$58,0),"")</f>
        <v/>
      </c>
      <c r="C37" s="15" t="str">
        <f aca="false">IF($B37="","",INDEX(2_Evaluación!$A$9:$A$58,$B37))</f>
        <v/>
      </c>
      <c r="D37" s="15" t="str">
        <f aca="false">IF($B37="","",INDEX(2_Evaluación!$B$9:$B$58,$B37))</f>
        <v/>
      </c>
      <c r="E37" s="15" t="str">
        <f aca="false">IF($B37="","",INDEX(2_Evaluación!$C$9:$C$58,$B37))</f>
        <v/>
      </c>
      <c r="F37" s="15" t="str">
        <f aca="false">IF($B37="","",INDEX(1_Proyectos!$C$9:$C$58,$B37))</f>
        <v/>
      </c>
      <c r="G37" s="36" t="str">
        <f aca="false">IF($B37="","",INDEX(1_Proyectos!$L$9:$L$58,$B37))</f>
        <v/>
      </c>
      <c r="H37" s="30" t="str">
        <f aca="false">IF($B37="","",INDEX(2_Evaluación!$AD$9:$AD$58,$B37))</f>
        <v/>
      </c>
      <c r="I37" s="32" t="str">
        <f aca="false">IF($B37="","",INDEX(2_Evaluación!$AL$9:$AL$58,$B37))</f>
        <v/>
      </c>
      <c r="J37" s="30" t="str">
        <f aca="false">IF($B37="","",INDEX(2_Evaluación!$AM$9:$AM$58,$B37))</f>
        <v/>
      </c>
      <c r="K37" s="15" t="str">
        <f aca="false">IF($B37="","",INDEX(2_Evaluación!$AN$9:$AN$58,$B37))</f>
        <v/>
      </c>
      <c r="L37" s="15" t="str">
        <f aca="false">IF($B37="","",INDEX(2_Evaluación!$AE$9:$AE$58,$B37))</f>
        <v/>
      </c>
    </row>
    <row r="38" customFormat="false" ht="15" hidden="false" customHeight="false" outlineLevel="0" collapsed="false">
      <c r="A38" s="15" t="n">
        <v>23</v>
      </c>
      <c r="B38" s="15" t="str">
        <f aca="false">IFERROR(MATCH(A38,2_Evaluación!$AR$9:$AR$58,0),"")</f>
        <v/>
      </c>
      <c r="C38" s="15" t="str">
        <f aca="false">IF($B38="","",INDEX(2_Evaluación!$A$9:$A$58,$B38))</f>
        <v/>
      </c>
      <c r="D38" s="15" t="str">
        <f aca="false">IF($B38="","",INDEX(2_Evaluación!$B$9:$B$58,$B38))</f>
        <v/>
      </c>
      <c r="E38" s="15" t="str">
        <f aca="false">IF($B38="","",INDEX(2_Evaluación!$C$9:$C$58,$B38))</f>
        <v/>
      </c>
      <c r="F38" s="15" t="str">
        <f aca="false">IF($B38="","",INDEX(1_Proyectos!$C$9:$C$58,$B38))</f>
        <v/>
      </c>
      <c r="G38" s="36" t="str">
        <f aca="false">IF($B38="","",INDEX(1_Proyectos!$L$9:$L$58,$B38))</f>
        <v/>
      </c>
      <c r="H38" s="30" t="str">
        <f aca="false">IF($B38="","",INDEX(2_Evaluación!$AD$9:$AD$58,$B38))</f>
        <v/>
      </c>
      <c r="I38" s="32" t="str">
        <f aca="false">IF($B38="","",INDEX(2_Evaluación!$AL$9:$AL$58,$B38))</f>
        <v/>
      </c>
      <c r="J38" s="30" t="str">
        <f aca="false">IF($B38="","",INDEX(2_Evaluación!$AM$9:$AM$58,$B38))</f>
        <v/>
      </c>
      <c r="K38" s="15" t="str">
        <f aca="false">IF($B38="","",INDEX(2_Evaluación!$AN$9:$AN$58,$B38))</f>
        <v/>
      </c>
      <c r="L38" s="15" t="str">
        <f aca="false">IF($B38="","",INDEX(2_Evaluación!$AE$9:$AE$58,$B38))</f>
        <v/>
      </c>
    </row>
    <row r="39" customFormat="false" ht="15" hidden="false" customHeight="false" outlineLevel="0" collapsed="false">
      <c r="A39" s="15" t="n">
        <v>24</v>
      </c>
      <c r="B39" s="15" t="str">
        <f aca="false">IFERROR(MATCH(A39,2_Evaluación!$AR$9:$AR$58,0),"")</f>
        <v/>
      </c>
      <c r="C39" s="15" t="str">
        <f aca="false">IF($B39="","",INDEX(2_Evaluación!$A$9:$A$58,$B39))</f>
        <v/>
      </c>
      <c r="D39" s="15" t="str">
        <f aca="false">IF($B39="","",INDEX(2_Evaluación!$B$9:$B$58,$B39))</f>
        <v/>
      </c>
      <c r="E39" s="15" t="str">
        <f aca="false">IF($B39="","",INDEX(2_Evaluación!$C$9:$C$58,$B39))</f>
        <v/>
      </c>
      <c r="F39" s="15" t="str">
        <f aca="false">IF($B39="","",INDEX(1_Proyectos!$C$9:$C$58,$B39))</f>
        <v/>
      </c>
      <c r="G39" s="36" t="str">
        <f aca="false">IF($B39="","",INDEX(1_Proyectos!$L$9:$L$58,$B39))</f>
        <v/>
      </c>
      <c r="H39" s="30" t="str">
        <f aca="false">IF($B39="","",INDEX(2_Evaluación!$AD$9:$AD$58,$B39))</f>
        <v/>
      </c>
      <c r="I39" s="32" t="str">
        <f aca="false">IF($B39="","",INDEX(2_Evaluación!$AL$9:$AL$58,$B39))</f>
        <v/>
      </c>
      <c r="J39" s="30" t="str">
        <f aca="false">IF($B39="","",INDEX(2_Evaluación!$AM$9:$AM$58,$B39))</f>
        <v/>
      </c>
      <c r="K39" s="15" t="str">
        <f aca="false">IF($B39="","",INDEX(2_Evaluación!$AN$9:$AN$58,$B39))</f>
        <v/>
      </c>
      <c r="L39" s="15" t="str">
        <f aca="false">IF($B39="","",INDEX(2_Evaluación!$AE$9:$AE$58,$B39))</f>
        <v/>
      </c>
    </row>
    <row r="40" customFormat="false" ht="15" hidden="false" customHeight="false" outlineLevel="0" collapsed="false">
      <c r="A40" s="15" t="n">
        <v>25</v>
      </c>
      <c r="B40" s="15" t="str">
        <f aca="false">IFERROR(MATCH(A40,2_Evaluación!$AR$9:$AR$58,0),"")</f>
        <v/>
      </c>
      <c r="C40" s="15" t="str">
        <f aca="false">IF($B40="","",INDEX(2_Evaluación!$A$9:$A$58,$B40))</f>
        <v/>
      </c>
      <c r="D40" s="15" t="str">
        <f aca="false">IF($B40="","",INDEX(2_Evaluación!$B$9:$B$58,$B40))</f>
        <v/>
      </c>
      <c r="E40" s="15" t="str">
        <f aca="false">IF($B40="","",INDEX(2_Evaluación!$C$9:$C$58,$B40))</f>
        <v/>
      </c>
      <c r="F40" s="15" t="str">
        <f aca="false">IF($B40="","",INDEX(1_Proyectos!$C$9:$C$58,$B40))</f>
        <v/>
      </c>
      <c r="G40" s="36" t="str">
        <f aca="false">IF($B40="","",INDEX(1_Proyectos!$L$9:$L$58,$B40))</f>
        <v/>
      </c>
      <c r="H40" s="30" t="str">
        <f aca="false">IF($B40="","",INDEX(2_Evaluación!$AD$9:$AD$58,$B40))</f>
        <v/>
      </c>
      <c r="I40" s="32" t="str">
        <f aca="false">IF($B40="","",INDEX(2_Evaluación!$AL$9:$AL$58,$B40))</f>
        <v/>
      </c>
      <c r="J40" s="30" t="str">
        <f aca="false">IF($B40="","",INDEX(2_Evaluación!$AM$9:$AM$58,$B40))</f>
        <v/>
      </c>
      <c r="K40" s="15" t="str">
        <f aca="false">IF($B40="","",INDEX(2_Evaluación!$AN$9:$AN$58,$B40))</f>
        <v/>
      </c>
      <c r="L40" s="15" t="str">
        <f aca="false">IF($B40="","",INDEX(2_Evaluación!$AE$9:$AE$58,$B40))</f>
        <v/>
      </c>
    </row>
    <row r="41" customFormat="false" ht="15" hidden="false" customHeight="false" outlineLevel="0" collapsed="false">
      <c r="A41" s="15" t="n">
        <v>26</v>
      </c>
      <c r="B41" s="15" t="str">
        <f aca="false">IFERROR(MATCH(A41,2_Evaluación!$AR$9:$AR$58,0),"")</f>
        <v/>
      </c>
      <c r="C41" s="15" t="str">
        <f aca="false">IF($B41="","",INDEX(2_Evaluación!$A$9:$A$58,$B41))</f>
        <v/>
      </c>
      <c r="D41" s="15" t="str">
        <f aca="false">IF($B41="","",INDEX(2_Evaluación!$B$9:$B$58,$B41))</f>
        <v/>
      </c>
      <c r="E41" s="15" t="str">
        <f aca="false">IF($B41="","",INDEX(2_Evaluación!$C$9:$C$58,$B41))</f>
        <v/>
      </c>
      <c r="F41" s="15" t="str">
        <f aca="false">IF($B41="","",INDEX(1_Proyectos!$C$9:$C$58,$B41))</f>
        <v/>
      </c>
      <c r="G41" s="36" t="str">
        <f aca="false">IF($B41="","",INDEX(1_Proyectos!$L$9:$L$58,$B41))</f>
        <v/>
      </c>
      <c r="H41" s="30" t="str">
        <f aca="false">IF($B41="","",INDEX(2_Evaluación!$AD$9:$AD$58,$B41))</f>
        <v/>
      </c>
      <c r="I41" s="32" t="str">
        <f aca="false">IF($B41="","",INDEX(2_Evaluación!$AL$9:$AL$58,$B41))</f>
        <v/>
      </c>
      <c r="J41" s="30" t="str">
        <f aca="false">IF($B41="","",INDEX(2_Evaluación!$AM$9:$AM$58,$B41))</f>
        <v/>
      </c>
      <c r="K41" s="15" t="str">
        <f aca="false">IF($B41="","",INDEX(2_Evaluación!$AN$9:$AN$58,$B41))</f>
        <v/>
      </c>
      <c r="L41" s="15" t="str">
        <f aca="false">IF($B41="","",INDEX(2_Evaluación!$AE$9:$AE$58,$B41))</f>
        <v/>
      </c>
    </row>
    <row r="42" customFormat="false" ht="15" hidden="false" customHeight="false" outlineLevel="0" collapsed="false">
      <c r="A42" s="15" t="n">
        <v>27</v>
      </c>
      <c r="B42" s="15" t="str">
        <f aca="false">IFERROR(MATCH(A42,2_Evaluación!$AR$9:$AR$58,0),"")</f>
        <v/>
      </c>
      <c r="C42" s="15" t="str">
        <f aca="false">IF($B42="","",INDEX(2_Evaluación!$A$9:$A$58,$B42))</f>
        <v/>
      </c>
      <c r="D42" s="15" t="str">
        <f aca="false">IF($B42="","",INDEX(2_Evaluación!$B$9:$B$58,$B42))</f>
        <v/>
      </c>
      <c r="E42" s="15" t="str">
        <f aca="false">IF($B42="","",INDEX(2_Evaluación!$C$9:$C$58,$B42))</f>
        <v/>
      </c>
      <c r="F42" s="15" t="str">
        <f aca="false">IF($B42="","",INDEX(1_Proyectos!$C$9:$C$58,$B42))</f>
        <v/>
      </c>
      <c r="G42" s="36" t="str">
        <f aca="false">IF($B42="","",INDEX(1_Proyectos!$L$9:$L$58,$B42))</f>
        <v/>
      </c>
      <c r="H42" s="30" t="str">
        <f aca="false">IF($B42="","",INDEX(2_Evaluación!$AD$9:$AD$58,$B42))</f>
        <v/>
      </c>
      <c r="I42" s="32" t="str">
        <f aca="false">IF($B42="","",INDEX(2_Evaluación!$AL$9:$AL$58,$B42))</f>
        <v/>
      </c>
      <c r="J42" s="30" t="str">
        <f aca="false">IF($B42="","",INDEX(2_Evaluación!$AM$9:$AM$58,$B42))</f>
        <v/>
      </c>
      <c r="K42" s="15" t="str">
        <f aca="false">IF($B42="","",INDEX(2_Evaluación!$AN$9:$AN$58,$B42))</f>
        <v/>
      </c>
      <c r="L42" s="15" t="str">
        <f aca="false">IF($B42="","",INDEX(2_Evaluación!$AE$9:$AE$58,$B42))</f>
        <v/>
      </c>
    </row>
    <row r="43" customFormat="false" ht="15" hidden="false" customHeight="false" outlineLevel="0" collapsed="false">
      <c r="A43" s="15" t="n">
        <v>28</v>
      </c>
      <c r="B43" s="15" t="str">
        <f aca="false">IFERROR(MATCH(A43,2_Evaluación!$AR$9:$AR$58,0),"")</f>
        <v/>
      </c>
      <c r="C43" s="15" t="str">
        <f aca="false">IF($B43="","",INDEX(2_Evaluación!$A$9:$A$58,$B43))</f>
        <v/>
      </c>
      <c r="D43" s="15" t="str">
        <f aca="false">IF($B43="","",INDEX(2_Evaluación!$B$9:$B$58,$B43))</f>
        <v/>
      </c>
      <c r="E43" s="15" t="str">
        <f aca="false">IF($B43="","",INDEX(2_Evaluación!$C$9:$C$58,$B43))</f>
        <v/>
      </c>
      <c r="F43" s="15" t="str">
        <f aca="false">IF($B43="","",INDEX(1_Proyectos!$C$9:$C$58,$B43))</f>
        <v/>
      </c>
      <c r="G43" s="36" t="str">
        <f aca="false">IF($B43="","",INDEX(1_Proyectos!$L$9:$L$58,$B43))</f>
        <v/>
      </c>
      <c r="H43" s="30" t="str">
        <f aca="false">IF($B43="","",INDEX(2_Evaluación!$AD$9:$AD$58,$B43))</f>
        <v/>
      </c>
      <c r="I43" s="32" t="str">
        <f aca="false">IF($B43="","",INDEX(2_Evaluación!$AL$9:$AL$58,$B43))</f>
        <v/>
      </c>
      <c r="J43" s="30" t="str">
        <f aca="false">IF($B43="","",INDEX(2_Evaluación!$AM$9:$AM$58,$B43))</f>
        <v/>
      </c>
      <c r="K43" s="15" t="str">
        <f aca="false">IF($B43="","",INDEX(2_Evaluación!$AN$9:$AN$58,$B43))</f>
        <v/>
      </c>
      <c r="L43" s="15" t="str">
        <f aca="false">IF($B43="","",INDEX(2_Evaluación!$AE$9:$AE$58,$B43))</f>
        <v/>
      </c>
    </row>
    <row r="44" customFormat="false" ht="15" hidden="false" customHeight="false" outlineLevel="0" collapsed="false">
      <c r="A44" s="15" t="n">
        <v>29</v>
      </c>
      <c r="B44" s="15" t="str">
        <f aca="false">IFERROR(MATCH(A44,2_Evaluación!$AR$9:$AR$58,0),"")</f>
        <v/>
      </c>
      <c r="C44" s="15" t="str">
        <f aca="false">IF($B44="","",INDEX(2_Evaluación!$A$9:$A$58,$B44))</f>
        <v/>
      </c>
      <c r="D44" s="15" t="str">
        <f aca="false">IF($B44="","",INDEX(2_Evaluación!$B$9:$B$58,$B44))</f>
        <v/>
      </c>
      <c r="E44" s="15" t="str">
        <f aca="false">IF($B44="","",INDEX(2_Evaluación!$C$9:$C$58,$B44))</f>
        <v/>
      </c>
      <c r="F44" s="15" t="str">
        <f aca="false">IF($B44="","",INDEX(1_Proyectos!$C$9:$C$58,$B44))</f>
        <v/>
      </c>
      <c r="G44" s="36" t="str">
        <f aca="false">IF($B44="","",INDEX(1_Proyectos!$L$9:$L$58,$B44))</f>
        <v/>
      </c>
      <c r="H44" s="30" t="str">
        <f aca="false">IF($B44="","",INDEX(2_Evaluación!$AD$9:$AD$58,$B44))</f>
        <v/>
      </c>
      <c r="I44" s="32" t="str">
        <f aca="false">IF($B44="","",INDEX(2_Evaluación!$AL$9:$AL$58,$B44))</f>
        <v/>
      </c>
      <c r="J44" s="30" t="str">
        <f aca="false">IF($B44="","",INDEX(2_Evaluación!$AM$9:$AM$58,$B44))</f>
        <v/>
      </c>
      <c r="K44" s="15" t="str">
        <f aca="false">IF($B44="","",INDEX(2_Evaluación!$AN$9:$AN$58,$B44))</f>
        <v/>
      </c>
      <c r="L44" s="15" t="str">
        <f aca="false">IF($B44="","",INDEX(2_Evaluación!$AE$9:$AE$58,$B44))</f>
        <v/>
      </c>
    </row>
    <row r="45" customFormat="false" ht="15" hidden="false" customHeight="false" outlineLevel="0" collapsed="false">
      <c r="A45" s="15" t="n">
        <v>30</v>
      </c>
      <c r="B45" s="15" t="str">
        <f aca="false">IFERROR(MATCH(A45,2_Evaluación!$AR$9:$AR$58,0),"")</f>
        <v/>
      </c>
      <c r="C45" s="15" t="str">
        <f aca="false">IF($B45="","",INDEX(2_Evaluación!$A$9:$A$58,$B45))</f>
        <v/>
      </c>
      <c r="D45" s="15" t="str">
        <f aca="false">IF($B45="","",INDEX(2_Evaluación!$B$9:$B$58,$B45))</f>
        <v/>
      </c>
      <c r="E45" s="15" t="str">
        <f aca="false">IF($B45="","",INDEX(2_Evaluación!$C$9:$C$58,$B45))</f>
        <v/>
      </c>
      <c r="F45" s="15" t="str">
        <f aca="false">IF($B45="","",INDEX(1_Proyectos!$C$9:$C$58,$B45))</f>
        <v/>
      </c>
      <c r="G45" s="36" t="str">
        <f aca="false">IF($B45="","",INDEX(1_Proyectos!$L$9:$L$58,$B45))</f>
        <v/>
      </c>
      <c r="H45" s="30" t="str">
        <f aca="false">IF($B45="","",INDEX(2_Evaluación!$AD$9:$AD$58,$B45))</f>
        <v/>
      </c>
      <c r="I45" s="32" t="str">
        <f aca="false">IF($B45="","",INDEX(2_Evaluación!$AL$9:$AL$58,$B45))</f>
        <v/>
      </c>
      <c r="J45" s="30" t="str">
        <f aca="false">IF($B45="","",INDEX(2_Evaluación!$AM$9:$AM$58,$B45))</f>
        <v/>
      </c>
      <c r="K45" s="15" t="str">
        <f aca="false">IF($B45="","",INDEX(2_Evaluación!$AN$9:$AN$58,$B45))</f>
        <v/>
      </c>
      <c r="L45" s="15" t="str">
        <f aca="false">IF($B45="","",INDEX(2_Evaluación!$AE$9:$AE$58,$B45))</f>
        <v/>
      </c>
    </row>
    <row r="46" customFormat="false" ht="15" hidden="false" customHeight="false" outlineLevel="0" collapsed="false">
      <c r="A46" s="15" t="n">
        <v>31</v>
      </c>
      <c r="B46" s="15" t="str">
        <f aca="false">IFERROR(MATCH(A46,2_Evaluación!$AR$9:$AR$58,0),"")</f>
        <v/>
      </c>
      <c r="C46" s="15" t="str">
        <f aca="false">IF($B46="","",INDEX(2_Evaluación!$A$9:$A$58,$B46))</f>
        <v/>
      </c>
      <c r="D46" s="15" t="str">
        <f aca="false">IF($B46="","",INDEX(2_Evaluación!$B$9:$B$58,$B46))</f>
        <v/>
      </c>
      <c r="E46" s="15" t="str">
        <f aca="false">IF($B46="","",INDEX(2_Evaluación!$C$9:$C$58,$B46))</f>
        <v/>
      </c>
      <c r="F46" s="15" t="str">
        <f aca="false">IF($B46="","",INDEX(1_Proyectos!$C$9:$C$58,$B46))</f>
        <v/>
      </c>
      <c r="G46" s="36" t="str">
        <f aca="false">IF($B46="","",INDEX(1_Proyectos!$L$9:$L$58,$B46))</f>
        <v/>
      </c>
      <c r="H46" s="30" t="str">
        <f aca="false">IF($B46="","",INDEX(2_Evaluación!$AD$9:$AD$58,$B46))</f>
        <v/>
      </c>
      <c r="I46" s="32" t="str">
        <f aca="false">IF($B46="","",INDEX(2_Evaluación!$AL$9:$AL$58,$B46))</f>
        <v/>
      </c>
      <c r="J46" s="30" t="str">
        <f aca="false">IF($B46="","",INDEX(2_Evaluación!$AM$9:$AM$58,$B46))</f>
        <v/>
      </c>
      <c r="K46" s="15" t="str">
        <f aca="false">IF($B46="","",INDEX(2_Evaluación!$AN$9:$AN$58,$B46))</f>
        <v/>
      </c>
      <c r="L46" s="15" t="str">
        <f aca="false">IF($B46="","",INDEX(2_Evaluación!$AE$9:$AE$58,$B46))</f>
        <v/>
      </c>
    </row>
    <row r="47" customFormat="false" ht="15" hidden="false" customHeight="false" outlineLevel="0" collapsed="false">
      <c r="A47" s="15" t="n">
        <v>32</v>
      </c>
      <c r="B47" s="15" t="str">
        <f aca="false">IFERROR(MATCH(A47,2_Evaluación!$AR$9:$AR$58,0),"")</f>
        <v/>
      </c>
      <c r="C47" s="15" t="str">
        <f aca="false">IF($B47="","",INDEX(2_Evaluación!$A$9:$A$58,$B47))</f>
        <v/>
      </c>
      <c r="D47" s="15" t="str">
        <f aca="false">IF($B47="","",INDEX(2_Evaluación!$B$9:$B$58,$B47))</f>
        <v/>
      </c>
      <c r="E47" s="15" t="str">
        <f aca="false">IF($B47="","",INDEX(2_Evaluación!$C$9:$C$58,$B47))</f>
        <v/>
      </c>
      <c r="F47" s="15" t="str">
        <f aca="false">IF($B47="","",INDEX(1_Proyectos!$C$9:$C$58,$B47))</f>
        <v/>
      </c>
      <c r="G47" s="36" t="str">
        <f aca="false">IF($B47="","",INDEX(1_Proyectos!$L$9:$L$58,$B47))</f>
        <v/>
      </c>
      <c r="H47" s="30" t="str">
        <f aca="false">IF($B47="","",INDEX(2_Evaluación!$AD$9:$AD$58,$B47))</f>
        <v/>
      </c>
      <c r="I47" s="32" t="str">
        <f aca="false">IF($B47="","",INDEX(2_Evaluación!$AL$9:$AL$58,$B47))</f>
        <v/>
      </c>
      <c r="J47" s="30" t="str">
        <f aca="false">IF($B47="","",INDEX(2_Evaluación!$AM$9:$AM$58,$B47))</f>
        <v/>
      </c>
      <c r="K47" s="15" t="str">
        <f aca="false">IF($B47="","",INDEX(2_Evaluación!$AN$9:$AN$58,$B47))</f>
        <v/>
      </c>
      <c r="L47" s="15" t="str">
        <f aca="false">IF($B47="","",INDEX(2_Evaluación!$AE$9:$AE$58,$B47))</f>
        <v/>
      </c>
    </row>
    <row r="48" customFormat="false" ht="15" hidden="false" customHeight="false" outlineLevel="0" collapsed="false">
      <c r="A48" s="15" t="n">
        <v>33</v>
      </c>
      <c r="B48" s="15" t="str">
        <f aca="false">IFERROR(MATCH(A48,2_Evaluación!$AR$9:$AR$58,0),"")</f>
        <v/>
      </c>
      <c r="C48" s="15" t="str">
        <f aca="false">IF($B48="","",INDEX(2_Evaluación!$A$9:$A$58,$B48))</f>
        <v/>
      </c>
      <c r="D48" s="15" t="str">
        <f aca="false">IF($B48="","",INDEX(2_Evaluación!$B$9:$B$58,$B48))</f>
        <v/>
      </c>
      <c r="E48" s="15" t="str">
        <f aca="false">IF($B48="","",INDEX(2_Evaluación!$C$9:$C$58,$B48))</f>
        <v/>
      </c>
      <c r="F48" s="15" t="str">
        <f aca="false">IF($B48="","",INDEX(1_Proyectos!$C$9:$C$58,$B48))</f>
        <v/>
      </c>
      <c r="G48" s="36" t="str">
        <f aca="false">IF($B48="","",INDEX(1_Proyectos!$L$9:$L$58,$B48))</f>
        <v/>
      </c>
      <c r="H48" s="30" t="str">
        <f aca="false">IF($B48="","",INDEX(2_Evaluación!$AD$9:$AD$58,$B48))</f>
        <v/>
      </c>
      <c r="I48" s="32" t="str">
        <f aca="false">IF($B48="","",INDEX(2_Evaluación!$AL$9:$AL$58,$B48))</f>
        <v/>
      </c>
      <c r="J48" s="30" t="str">
        <f aca="false">IF($B48="","",INDEX(2_Evaluación!$AM$9:$AM$58,$B48))</f>
        <v/>
      </c>
      <c r="K48" s="15" t="str">
        <f aca="false">IF($B48="","",INDEX(2_Evaluación!$AN$9:$AN$58,$B48))</f>
        <v/>
      </c>
      <c r="L48" s="15" t="str">
        <f aca="false">IF($B48="","",INDEX(2_Evaluación!$AE$9:$AE$58,$B48))</f>
        <v/>
      </c>
    </row>
    <row r="49" customFormat="false" ht="15" hidden="false" customHeight="false" outlineLevel="0" collapsed="false">
      <c r="A49" s="15" t="n">
        <v>34</v>
      </c>
      <c r="B49" s="15" t="str">
        <f aca="false">IFERROR(MATCH(A49,2_Evaluación!$AR$9:$AR$58,0),"")</f>
        <v/>
      </c>
      <c r="C49" s="15" t="str">
        <f aca="false">IF($B49="","",INDEX(2_Evaluación!$A$9:$A$58,$B49))</f>
        <v/>
      </c>
      <c r="D49" s="15" t="str">
        <f aca="false">IF($B49="","",INDEX(2_Evaluación!$B$9:$B$58,$B49))</f>
        <v/>
      </c>
      <c r="E49" s="15" t="str">
        <f aca="false">IF($B49="","",INDEX(2_Evaluación!$C$9:$C$58,$B49))</f>
        <v/>
      </c>
      <c r="F49" s="15" t="str">
        <f aca="false">IF($B49="","",INDEX(1_Proyectos!$C$9:$C$58,$B49))</f>
        <v/>
      </c>
      <c r="G49" s="36" t="str">
        <f aca="false">IF($B49="","",INDEX(1_Proyectos!$L$9:$L$58,$B49))</f>
        <v/>
      </c>
      <c r="H49" s="30" t="str">
        <f aca="false">IF($B49="","",INDEX(2_Evaluación!$AD$9:$AD$58,$B49))</f>
        <v/>
      </c>
      <c r="I49" s="32" t="str">
        <f aca="false">IF($B49="","",INDEX(2_Evaluación!$AL$9:$AL$58,$B49))</f>
        <v/>
      </c>
      <c r="J49" s="30" t="str">
        <f aca="false">IF($B49="","",INDEX(2_Evaluación!$AM$9:$AM$58,$B49))</f>
        <v/>
      </c>
      <c r="K49" s="15" t="str">
        <f aca="false">IF($B49="","",INDEX(2_Evaluación!$AN$9:$AN$58,$B49))</f>
        <v/>
      </c>
      <c r="L49" s="15" t="str">
        <f aca="false">IF($B49="","",INDEX(2_Evaluación!$AE$9:$AE$58,$B49))</f>
        <v/>
      </c>
    </row>
    <row r="50" customFormat="false" ht="15" hidden="false" customHeight="false" outlineLevel="0" collapsed="false">
      <c r="A50" s="15" t="n">
        <v>35</v>
      </c>
      <c r="B50" s="15" t="str">
        <f aca="false">IFERROR(MATCH(A50,2_Evaluación!$AR$9:$AR$58,0),"")</f>
        <v/>
      </c>
      <c r="C50" s="15" t="str">
        <f aca="false">IF($B50="","",INDEX(2_Evaluación!$A$9:$A$58,$B50))</f>
        <v/>
      </c>
      <c r="D50" s="15" t="str">
        <f aca="false">IF($B50="","",INDEX(2_Evaluación!$B$9:$B$58,$B50))</f>
        <v/>
      </c>
      <c r="E50" s="15" t="str">
        <f aca="false">IF($B50="","",INDEX(2_Evaluación!$C$9:$C$58,$B50))</f>
        <v/>
      </c>
      <c r="F50" s="15" t="str">
        <f aca="false">IF($B50="","",INDEX(1_Proyectos!$C$9:$C$58,$B50))</f>
        <v/>
      </c>
      <c r="G50" s="36" t="str">
        <f aca="false">IF($B50="","",INDEX(1_Proyectos!$L$9:$L$58,$B50))</f>
        <v/>
      </c>
      <c r="H50" s="30" t="str">
        <f aca="false">IF($B50="","",INDEX(2_Evaluación!$AD$9:$AD$58,$B50))</f>
        <v/>
      </c>
      <c r="I50" s="32" t="str">
        <f aca="false">IF($B50="","",INDEX(2_Evaluación!$AL$9:$AL$58,$B50))</f>
        <v/>
      </c>
      <c r="J50" s="30" t="str">
        <f aca="false">IF($B50="","",INDEX(2_Evaluación!$AM$9:$AM$58,$B50))</f>
        <v/>
      </c>
      <c r="K50" s="15" t="str">
        <f aca="false">IF($B50="","",INDEX(2_Evaluación!$AN$9:$AN$58,$B50))</f>
        <v/>
      </c>
      <c r="L50" s="15" t="str">
        <f aca="false">IF($B50="","",INDEX(2_Evaluación!$AE$9:$AE$58,$B50))</f>
        <v/>
      </c>
    </row>
    <row r="51" customFormat="false" ht="15" hidden="false" customHeight="false" outlineLevel="0" collapsed="false">
      <c r="A51" s="15" t="n">
        <v>36</v>
      </c>
      <c r="B51" s="15" t="str">
        <f aca="false">IFERROR(MATCH(A51,2_Evaluación!$AR$9:$AR$58,0),"")</f>
        <v/>
      </c>
      <c r="C51" s="15" t="str">
        <f aca="false">IF($B51="","",INDEX(2_Evaluación!$A$9:$A$58,$B51))</f>
        <v/>
      </c>
      <c r="D51" s="15" t="str">
        <f aca="false">IF($B51="","",INDEX(2_Evaluación!$B$9:$B$58,$B51))</f>
        <v/>
      </c>
      <c r="E51" s="15" t="str">
        <f aca="false">IF($B51="","",INDEX(2_Evaluación!$C$9:$C$58,$B51))</f>
        <v/>
      </c>
      <c r="F51" s="15" t="str">
        <f aca="false">IF($B51="","",INDEX(1_Proyectos!$C$9:$C$58,$B51))</f>
        <v/>
      </c>
      <c r="G51" s="36" t="str">
        <f aca="false">IF($B51="","",INDEX(1_Proyectos!$L$9:$L$58,$B51))</f>
        <v/>
      </c>
      <c r="H51" s="30" t="str">
        <f aca="false">IF($B51="","",INDEX(2_Evaluación!$AD$9:$AD$58,$B51))</f>
        <v/>
      </c>
      <c r="I51" s="32" t="str">
        <f aca="false">IF($B51="","",INDEX(2_Evaluación!$AL$9:$AL$58,$B51))</f>
        <v/>
      </c>
      <c r="J51" s="30" t="str">
        <f aca="false">IF($B51="","",INDEX(2_Evaluación!$AM$9:$AM$58,$B51))</f>
        <v/>
      </c>
      <c r="K51" s="15" t="str">
        <f aca="false">IF($B51="","",INDEX(2_Evaluación!$AN$9:$AN$58,$B51))</f>
        <v/>
      </c>
      <c r="L51" s="15" t="str">
        <f aca="false">IF($B51="","",INDEX(2_Evaluación!$AE$9:$AE$58,$B51))</f>
        <v/>
      </c>
    </row>
    <row r="52" customFormat="false" ht="15" hidden="false" customHeight="false" outlineLevel="0" collapsed="false">
      <c r="A52" s="15" t="n">
        <v>37</v>
      </c>
      <c r="B52" s="15" t="str">
        <f aca="false">IFERROR(MATCH(A52,2_Evaluación!$AR$9:$AR$58,0),"")</f>
        <v/>
      </c>
      <c r="C52" s="15" t="str">
        <f aca="false">IF($B52="","",INDEX(2_Evaluación!$A$9:$A$58,$B52))</f>
        <v/>
      </c>
      <c r="D52" s="15" t="str">
        <f aca="false">IF($B52="","",INDEX(2_Evaluación!$B$9:$B$58,$B52))</f>
        <v/>
      </c>
      <c r="E52" s="15" t="str">
        <f aca="false">IF($B52="","",INDEX(2_Evaluación!$C$9:$C$58,$B52))</f>
        <v/>
      </c>
      <c r="F52" s="15" t="str">
        <f aca="false">IF($B52="","",INDEX(1_Proyectos!$C$9:$C$58,$B52))</f>
        <v/>
      </c>
      <c r="G52" s="36" t="str">
        <f aca="false">IF($B52="","",INDEX(1_Proyectos!$L$9:$L$58,$B52))</f>
        <v/>
      </c>
      <c r="H52" s="30" t="str">
        <f aca="false">IF($B52="","",INDEX(2_Evaluación!$AD$9:$AD$58,$B52))</f>
        <v/>
      </c>
      <c r="I52" s="32" t="str">
        <f aca="false">IF($B52="","",INDEX(2_Evaluación!$AL$9:$AL$58,$B52))</f>
        <v/>
      </c>
      <c r="J52" s="30" t="str">
        <f aca="false">IF($B52="","",INDEX(2_Evaluación!$AM$9:$AM$58,$B52))</f>
        <v/>
      </c>
      <c r="K52" s="15" t="str">
        <f aca="false">IF($B52="","",INDEX(2_Evaluación!$AN$9:$AN$58,$B52))</f>
        <v/>
      </c>
      <c r="L52" s="15" t="str">
        <f aca="false">IF($B52="","",INDEX(2_Evaluación!$AE$9:$AE$58,$B52))</f>
        <v/>
      </c>
    </row>
    <row r="53" customFormat="false" ht="15" hidden="false" customHeight="false" outlineLevel="0" collapsed="false">
      <c r="A53" s="15" t="n">
        <v>38</v>
      </c>
      <c r="B53" s="15" t="str">
        <f aca="false">IFERROR(MATCH(A53,2_Evaluación!$AR$9:$AR$58,0),"")</f>
        <v/>
      </c>
      <c r="C53" s="15" t="str">
        <f aca="false">IF($B53="","",INDEX(2_Evaluación!$A$9:$A$58,$B53))</f>
        <v/>
      </c>
      <c r="D53" s="15" t="str">
        <f aca="false">IF($B53="","",INDEX(2_Evaluación!$B$9:$B$58,$B53))</f>
        <v/>
      </c>
      <c r="E53" s="15" t="str">
        <f aca="false">IF($B53="","",INDEX(2_Evaluación!$C$9:$C$58,$B53))</f>
        <v/>
      </c>
      <c r="F53" s="15" t="str">
        <f aca="false">IF($B53="","",INDEX(1_Proyectos!$C$9:$C$58,$B53))</f>
        <v/>
      </c>
      <c r="G53" s="36" t="str">
        <f aca="false">IF($B53="","",INDEX(1_Proyectos!$L$9:$L$58,$B53))</f>
        <v/>
      </c>
      <c r="H53" s="30" t="str">
        <f aca="false">IF($B53="","",INDEX(2_Evaluación!$AD$9:$AD$58,$B53))</f>
        <v/>
      </c>
      <c r="I53" s="32" t="str">
        <f aca="false">IF($B53="","",INDEX(2_Evaluación!$AL$9:$AL$58,$B53))</f>
        <v/>
      </c>
      <c r="J53" s="30" t="str">
        <f aca="false">IF($B53="","",INDEX(2_Evaluación!$AM$9:$AM$58,$B53))</f>
        <v/>
      </c>
      <c r="K53" s="15" t="str">
        <f aca="false">IF($B53="","",INDEX(2_Evaluación!$AN$9:$AN$58,$B53))</f>
        <v/>
      </c>
      <c r="L53" s="15" t="str">
        <f aca="false">IF($B53="","",INDEX(2_Evaluación!$AE$9:$AE$58,$B53))</f>
        <v/>
      </c>
    </row>
    <row r="54" customFormat="false" ht="15" hidden="false" customHeight="false" outlineLevel="0" collapsed="false">
      <c r="A54" s="15" t="n">
        <v>39</v>
      </c>
      <c r="B54" s="15" t="str">
        <f aca="false">IFERROR(MATCH(A54,2_Evaluación!$AR$9:$AR$58,0),"")</f>
        <v/>
      </c>
      <c r="C54" s="15" t="str">
        <f aca="false">IF($B54="","",INDEX(2_Evaluación!$A$9:$A$58,$B54))</f>
        <v/>
      </c>
      <c r="D54" s="15" t="str">
        <f aca="false">IF($B54="","",INDEX(2_Evaluación!$B$9:$B$58,$B54))</f>
        <v/>
      </c>
      <c r="E54" s="15" t="str">
        <f aca="false">IF($B54="","",INDEX(2_Evaluación!$C$9:$C$58,$B54))</f>
        <v/>
      </c>
      <c r="F54" s="15" t="str">
        <f aca="false">IF($B54="","",INDEX(1_Proyectos!$C$9:$C$58,$B54))</f>
        <v/>
      </c>
      <c r="G54" s="36" t="str">
        <f aca="false">IF($B54="","",INDEX(1_Proyectos!$L$9:$L$58,$B54))</f>
        <v/>
      </c>
      <c r="H54" s="30" t="str">
        <f aca="false">IF($B54="","",INDEX(2_Evaluación!$AD$9:$AD$58,$B54))</f>
        <v/>
      </c>
      <c r="I54" s="32" t="str">
        <f aca="false">IF($B54="","",INDEX(2_Evaluación!$AL$9:$AL$58,$B54))</f>
        <v/>
      </c>
      <c r="J54" s="30" t="str">
        <f aca="false">IF($B54="","",INDEX(2_Evaluación!$AM$9:$AM$58,$B54))</f>
        <v/>
      </c>
      <c r="K54" s="15" t="str">
        <f aca="false">IF($B54="","",INDEX(2_Evaluación!$AN$9:$AN$58,$B54))</f>
        <v/>
      </c>
      <c r="L54" s="15" t="str">
        <f aca="false">IF($B54="","",INDEX(2_Evaluación!$AE$9:$AE$58,$B54))</f>
        <v/>
      </c>
    </row>
    <row r="55" customFormat="false" ht="15" hidden="false" customHeight="false" outlineLevel="0" collapsed="false">
      <c r="A55" s="15" t="n">
        <v>40</v>
      </c>
      <c r="B55" s="15" t="str">
        <f aca="false">IFERROR(MATCH(A55,2_Evaluación!$AR$9:$AR$58,0),"")</f>
        <v/>
      </c>
      <c r="C55" s="15" t="str">
        <f aca="false">IF($B55="","",INDEX(2_Evaluación!$A$9:$A$58,$B55))</f>
        <v/>
      </c>
      <c r="D55" s="15" t="str">
        <f aca="false">IF($B55="","",INDEX(2_Evaluación!$B$9:$B$58,$B55))</f>
        <v/>
      </c>
      <c r="E55" s="15" t="str">
        <f aca="false">IF($B55="","",INDEX(2_Evaluación!$C$9:$C$58,$B55))</f>
        <v/>
      </c>
      <c r="F55" s="15" t="str">
        <f aca="false">IF($B55="","",INDEX(1_Proyectos!$C$9:$C$58,$B55))</f>
        <v/>
      </c>
      <c r="G55" s="36" t="str">
        <f aca="false">IF($B55="","",INDEX(1_Proyectos!$L$9:$L$58,$B55))</f>
        <v/>
      </c>
      <c r="H55" s="30" t="str">
        <f aca="false">IF($B55="","",INDEX(2_Evaluación!$AD$9:$AD$58,$B55))</f>
        <v/>
      </c>
      <c r="I55" s="32" t="str">
        <f aca="false">IF($B55="","",INDEX(2_Evaluación!$AL$9:$AL$58,$B55))</f>
        <v/>
      </c>
      <c r="J55" s="30" t="str">
        <f aca="false">IF($B55="","",INDEX(2_Evaluación!$AM$9:$AM$58,$B55))</f>
        <v/>
      </c>
      <c r="K55" s="15" t="str">
        <f aca="false">IF($B55="","",INDEX(2_Evaluación!$AN$9:$AN$58,$B55))</f>
        <v/>
      </c>
      <c r="L55" s="15" t="str">
        <f aca="false">IF($B55="","",INDEX(2_Evaluación!$AE$9:$AE$58,$B55))</f>
        <v/>
      </c>
    </row>
    <row r="56" customFormat="false" ht="15" hidden="false" customHeight="false" outlineLevel="0" collapsed="false">
      <c r="A56" s="15" t="n">
        <v>41</v>
      </c>
      <c r="B56" s="15" t="str">
        <f aca="false">IFERROR(MATCH(A56,2_Evaluación!$AR$9:$AR$58,0),"")</f>
        <v/>
      </c>
      <c r="C56" s="15" t="str">
        <f aca="false">IF($B56="","",INDEX(2_Evaluación!$A$9:$A$58,$B56))</f>
        <v/>
      </c>
      <c r="D56" s="15" t="str">
        <f aca="false">IF($B56="","",INDEX(2_Evaluación!$B$9:$B$58,$B56))</f>
        <v/>
      </c>
      <c r="E56" s="15" t="str">
        <f aca="false">IF($B56="","",INDEX(2_Evaluación!$C$9:$C$58,$B56))</f>
        <v/>
      </c>
      <c r="F56" s="15" t="str">
        <f aca="false">IF($B56="","",INDEX(1_Proyectos!$C$9:$C$58,$B56))</f>
        <v/>
      </c>
      <c r="G56" s="36" t="str">
        <f aca="false">IF($B56="","",INDEX(1_Proyectos!$L$9:$L$58,$B56))</f>
        <v/>
      </c>
      <c r="H56" s="30" t="str">
        <f aca="false">IF($B56="","",INDEX(2_Evaluación!$AD$9:$AD$58,$B56))</f>
        <v/>
      </c>
      <c r="I56" s="32" t="str">
        <f aca="false">IF($B56="","",INDEX(2_Evaluación!$AL$9:$AL$58,$B56))</f>
        <v/>
      </c>
      <c r="J56" s="30" t="str">
        <f aca="false">IF($B56="","",INDEX(2_Evaluación!$AM$9:$AM$58,$B56))</f>
        <v/>
      </c>
      <c r="K56" s="15" t="str">
        <f aca="false">IF($B56="","",INDEX(2_Evaluación!$AN$9:$AN$58,$B56))</f>
        <v/>
      </c>
      <c r="L56" s="15" t="str">
        <f aca="false">IF($B56="","",INDEX(2_Evaluación!$AE$9:$AE$58,$B56))</f>
        <v/>
      </c>
    </row>
    <row r="57" customFormat="false" ht="15" hidden="false" customHeight="false" outlineLevel="0" collapsed="false">
      <c r="A57" s="15" t="n">
        <v>42</v>
      </c>
      <c r="B57" s="15" t="str">
        <f aca="false">IFERROR(MATCH(A57,2_Evaluación!$AR$9:$AR$58,0),"")</f>
        <v/>
      </c>
      <c r="C57" s="15" t="str">
        <f aca="false">IF($B57="","",INDEX(2_Evaluación!$A$9:$A$58,$B57))</f>
        <v/>
      </c>
      <c r="D57" s="15" t="str">
        <f aca="false">IF($B57="","",INDEX(2_Evaluación!$B$9:$B$58,$B57))</f>
        <v/>
      </c>
      <c r="E57" s="15" t="str">
        <f aca="false">IF($B57="","",INDEX(2_Evaluación!$C$9:$C$58,$B57))</f>
        <v/>
      </c>
      <c r="F57" s="15" t="str">
        <f aca="false">IF($B57="","",INDEX(1_Proyectos!$C$9:$C$58,$B57))</f>
        <v/>
      </c>
      <c r="G57" s="36" t="str">
        <f aca="false">IF($B57="","",INDEX(1_Proyectos!$L$9:$L$58,$B57))</f>
        <v/>
      </c>
      <c r="H57" s="30" t="str">
        <f aca="false">IF($B57="","",INDEX(2_Evaluación!$AD$9:$AD$58,$B57))</f>
        <v/>
      </c>
      <c r="I57" s="32" t="str">
        <f aca="false">IF($B57="","",INDEX(2_Evaluación!$AL$9:$AL$58,$B57))</f>
        <v/>
      </c>
      <c r="J57" s="30" t="str">
        <f aca="false">IF($B57="","",INDEX(2_Evaluación!$AM$9:$AM$58,$B57))</f>
        <v/>
      </c>
      <c r="K57" s="15" t="str">
        <f aca="false">IF($B57="","",INDEX(2_Evaluación!$AN$9:$AN$58,$B57))</f>
        <v/>
      </c>
      <c r="L57" s="15" t="str">
        <f aca="false">IF($B57="","",INDEX(2_Evaluación!$AE$9:$AE$58,$B57))</f>
        <v/>
      </c>
    </row>
    <row r="58" customFormat="false" ht="15" hidden="false" customHeight="false" outlineLevel="0" collapsed="false">
      <c r="A58" s="15" t="n">
        <v>43</v>
      </c>
      <c r="B58" s="15" t="str">
        <f aca="false">IFERROR(MATCH(A58,2_Evaluación!$AR$9:$AR$58,0),"")</f>
        <v/>
      </c>
      <c r="C58" s="15" t="str">
        <f aca="false">IF($B58="","",INDEX(2_Evaluación!$A$9:$A$58,$B58))</f>
        <v/>
      </c>
      <c r="D58" s="15" t="str">
        <f aca="false">IF($B58="","",INDEX(2_Evaluación!$B$9:$B$58,$B58))</f>
        <v/>
      </c>
      <c r="E58" s="15" t="str">
        <f aca="false">IF($B58="","",INDEX(2_Evaluación!$C$9:$C$58,$B58))</f>
        <v/>
      </c>
      <c r="F58" s="15" t="str">
        <f aca="false">IF($B58="","",INDEX(1_Proyectos!$C$9:$C$58,$B58))</f>
        <v/>
      </c>
      <c r="G58" s="36" t="str">
        <f aca="false">IF($B58="","",INDEX(1_Proyectos!$L$9:$L$58,$B58))</f>
        <v/>
      </c>
      <c r="H58" s="30" t="str">
        <f aca="false">IF($B58="","",INDEX(2_Evaluación!$AD$9:$AD$58,$B58))</f>
        <v/>
      </c>
      <c r="I58" s="32" t="str">
        <f aca="false">IF($B58="","",INDEX(2_Evaluación!$AL$9:$AL$58,$B58))</f>
        <v/>
      </c>
      <c r="J58" s="30" t="str">
        <f aca="false">IF($B58="","",INDEX(2_Evaluación!$AM$9:$AM$58,$B58))</f>
        <v/>
      </c>
      <c r="K58" s="15" t="str">
        <f aca="false">IF($B58="","",INDEX(2_Evaluación!$AN$9:$AN$58,$B58))</f>
        <v/>
      </c>
      <c r="L58" s="15" t="str">
        <f aca="false">IF($B58="","",INDEX(2_Evaluación!$AE$9:$AE$58,$B58))</f>
        <v/>
      </c>
    </row>
    <row r="59" customFormat="false" ht="15" hidden="false" customHeight="false" outlineLevel="0" collapsed="false">
      <c r="A59" s="15" t="n">
        <v>44</v>
      </c>
      <c r="B59" s="15" t="str">
        <f aca="false">IFERROR(MATCH(A59,2_Evaluación!$AR$9:$AR$58,0),"")</f>
        <v/>
      </c>
      <c r="C59" s="15" t="str">
        <f aca="false">IF($B59="","",INDEX(2_Evaluación!$A$9:$A$58,$B59))</f>
        <v/>
      </c>
      <c r="D59" s="15" t="str">
        <f aca="false">IF($B59="","",INDEX(2_Evaluación!$B$9:$B$58,$B59))</f>
        <v/>
      </c>
      <c r="E59" s="15" t="str">
        <f aca="false">IF($B59="","",INDEX(2_Evaluación!$C$9:$C$58,$B59))</f>
        <v/>
      </c>
      <c r="F59" s="15" t="str">
        <f aca="false">IF($B59="","",INDEX(1_Proyectos!$C$9:$C$58,$B59))</f>
        <v/>
      </c>
      <c r="G59" s="36" t="str">
        <f aca="false">IF($B59="","",INDEX(1_Proyectos!$L$9:$L$58,$B59))</f>
        <v/>
      </c>
      <c r="H59" s="30" t="str">
        <f aca="false">IF($B59="","",INDEX(2_Evaluación!$AD$9:$AD$58,$B59))</f>
        <v/>
      </c>
      <c r="I59" s="32" t="str">
        <f aca="false">IF($B59="","",INDEX(2_Evaluación!$AL$9:$AL$58,$B59))</f>
        <v/>
      </c>
      <c r="J59" s="30" t="str">
        <f aca="false">IF($B59="","",INDEX(2_Evaluación!$AM$9:$AM$58,$B59))</f>
        <v/>
      </c>
      <c r="K59" s="15" t="str">
        <f aca="false">IF($B59="","",INDEX(2_Evaluación!$AN$9:$AN$58,$B59))</f>
        <v/>
      </c>
      <c r="L59" s="15" t="str">
        <f aca="false">IF($B59="","",INDEX(2_Evaluación!$AE$9:$AE$58,$B59))</f>
        <v/>
      </c>
    </row>
    <row r="60" customFormat="false" ht="15" hidden="false" customHeight="false" outlineLevel="0" collapsed="false">
      <c r="A60" s="15" t="n">
        <v>45</v>
      </c>
      <c r="B60" s="15" t="str">
        <f aca="false">IFERROR(MATCH(A60,2_Evaluación!$AR$9:$AR$58,0),"")</f>
        <v/>
      </c>
      <c r="C60" s="15" t="str">
        <f aca="false">IF($B60="","",INDEX(2_Evaluación!$A$9:$A$58,$B60))</f>
        <v/>
      </c>
      <c r="D60" s="15" t="str">
        <f aca="false">IF($B60="","",INDEX(2_Evaluación!$B$9:$B$58,$B60))</f>
        <v/>
      </c>
      <c r="E60" s="15" t="str">
        <f aca="false">IF($B60="","",INDEX(2_Evaluación!$C$9:$C$58,$B60))</f>
        <v/>
      </c>
      <c r="F60" s="15" t="str">
        <f aca="false">IF($B60="","",INDEX(1_Proyectos!$C$9:$C$58,$B60))</f>
        <v/>
      </c>
      <c r="G60" s="36" t="str">
        <f aca="false">IF($B60="","",INDEX(1_Proyectos!$L$9:$L$58,$B60))</f>
        <v/>
      </c>
      <c r="H60" s="30" t="str">
        <f aca="false">IF($B60="","",INDEX(2_Evaluación!$AD$9:$AD$58,$B60))</f>
        <v/>
      </c>
      <c r="I60" s="32" t="str">
        <f aca="false">IF($B60="","",INDEX(2_Evaluación!$AL$9:$AL$58,$B60))</f>
        <v/>
      </c>
      <c r="J60" s="30" t="str">
        <f aca="false">IF($B60="","",INDEX(2_Evaluación!$AM$9:$AM$58,$B60))</f>
        <v/>
      </c>
      <c r="K60" s="15" t="str">
        <f aca="false">IF($B60="","",INDEX(2_Evaluación!$AN$9:$AN$58,$B60))</f>
        <v/>
      </c>
      <c r="L60" s="15" t="str">
        <f aca="false">IF($B60="","",INDEX(2_Evaluación!$AE$9:$AE$58,$B60))</f>
        <v/>
      </c>
    </row>
    <row r="61" customFormat="false" ht="15" hidden="false" customHeight="false" outlineLevel="0" collapsed="false">
      <c r="A61" s="15" t="n">
        <v>46</v>
      </c>
      <c r="B61" s="15" t="str">
        <f aca="false">IFERROR(MATCH(A61,2_Evaluación!$AR$9:$AR$58,0),"")</f>
        <v/>
      </c>
      <c r="C61" s="15" t="str">
        <f aca="false">IF($B61="","",INDEX(2_Evaluación!$A$9:$A$58,$B61))</f>
        <v/>
      </c>
      <c r="D61" s="15" t="str">
        <f aca="false">IF($B61="","",INDEX(2_Evaluación!$B$9:$B$58,$B61))</f>
        <v/>
      </c>
      <c r="E61" s="15" t="str">
        <f aca="false">IF($B61="","",INDEX(2_Evaluación!$C$9:$C$58,$B61))</f>
        <v/>
      </c>
      <c r="F61" s="15" t="str">
        <f aca="false">IF($B61="","",INDEX(1_Proyectos!$C$9:$C$58,$B61))</f>
        <v/>
      </c>
      <c r="G61" s="36" t="str">
        <f aca="false">IF($B61="","",INDEX(1_Proyectos!$L$9:$L$58,$B61))</f>
        <v/>
      </c>
      <c r="H61" s="30" t="str">
        <f aca="false">IF($B61="","",INDEX(2_Evaluación!$AD$9:$AD$58,$B61))</f>
        <v/>
      </c>
      <c r="I61" s="32" t="str">
        <f aca="false">IF($B61="","",INDEX(2_Evaluación!$AL$9:$AL$58,$B61))</f>
        <v/>
      </c>
      <c r="J61" s="30" t="str">
        <f aca="false">IF($B61="","",INDEX(2_Evaluación!$AM$9:$AM$58,$B61))</f>
        <v/>
      </c>
      <c r="K61" s="15" t="str">
        <f aca="false">IF($B61="","",INDEX(2_Evaluación!$AN$9:$AN$58,$B61))</f>
        <v/>
      </c>
      <c r="L61" s="15" t="str">
        <f aca="false">IF($B61="","",INDEX(2_Evaluación!$AE$9:$AE$58,$B61))</f>
        <v/>
      </c>
    </row>
    <row r="62" customFormat="false" ht="15" hidden="false" customHeight="false" outlineLevel="0" collapsed="false">
      <c r="A62" s="15" t="n">
        <v>47</v>
      </c>
      <c r="B62" s="15" t="str">
        <f aca="false">IFERROR(MATCH(A62,2_Evaluación!$AR$9:$AR$58,0),"")</f>
        <v/>
      </c>
      <c r="C62" s="15" t="str">
        <f aca="false">IF($B62="","",INDEX(2_Evaluación!$A$9:$A$58,$B62))</f>
        <v/>
      </c>
      <c r="D62" s="15" t="str">
        <f aca="false">IF($B62="","",INDEX(2_Evaluación!$B$9:$B$58,$B62))</f>
        <v/>
      </c>
      <c r="E62" s="15" t="str">
        <f aca="false">IF($B62="","",INDEX(2_Evaluación!$C$9:$C$58,$B62))</f>
        <v/>
      </c>
      <c r="F62" s="15" t="str">
        <f aca="false">IF($B62="","",INDEX(1_Proyectos!$C$9:$C$58,$B62))</f>
        <v/>
      </c>
      <c r="G62" s="36" t="str">
        <f aca="false">IF($B62="","",INDEX(1_Proyectos!$L$9:$L$58,$B62))</f>
        <v/>
      </c>
      <c r="H62" s="30" t="str">
        <f aca="false">IF($B62="","",INDEX(2_Evaluación!$AD$9:$AD$58,$B62))</f>
        <v/>
      </c>
      <c r="I62" s="32" t="str">
        <f aca="false">IF($B62="","",INDEX(2_Evaluación!$AL$9:$AL$58,$B62))</f>
        <v/>
      </c>
      <c r="J62" s="30" t="str">
        <f aca="false">IF($B62="","",INDEX(2_Evaluación!$AM$9:$AM$58,$B62))</f>
        <v/>
      </c>
      <c r="K62" s="15" t="str">
        <f aca="false">IF($B62="","",INDEX(2_Evaluación!$AN$9:$AN$58,$B62))</f>
        <v/>
      </c>
      <c r="L62" s="15" t="str">
        <f aca="false">IF($B62="","",INDEX(2_Evaluación!$AE$9:$AE$58,$B62))</f>
        <v/>
      </c>
    </row>
    <row r="63" customFormat="false" ht="15" hidden="false" customHeight="false" outlineLevel="0" collapsed="false">
      <c r="A63" s="15" t="n">
        <v>48</v>
      </c>
      <c r="B63" s="15" t="str">
        <f aca="false">IFERROR(MATCH(A63,2_Evaluación!$AR$9:$AR$58,0),"")</f>
        <v/>
      </c>
      <c r="C63" s="15" t="str">
        <f aca="false">IF($B63="","",INDEX(2_Evaluación!$A$9:$A$58,$B63))</f>
        <v/>
      </c>
      <c r="D63" s="15" t="str">
        <f aca="false">IF($B63="","",INDEX(2_Evaluación!$B$9:$B$58,$B63))</f>
        <v/>
      </c>
      <c r="E63" s="15" t="str">
        <f aca="false">IF($B63="","",INDEX(2_Evaluación!$C$9:$C$58,$B63))</f>
        <v/>
      </c>
      <c r="F63" s="15" t="str">
        <f aca="false">IF($B63="","",INDEX(1_Proyectos!$C$9:$C$58,$B63))</f>
        <v/>
      </c>
      <c r="G63" s="36" t="str">
        <f aca="false">IF($B63="","",INDEX(1_Proyectos!$L$9:$L$58,$B63))</f>
        <v/>
      </c>
      <c r="H63" s="30" t="str">
        <f aca="false">IF($B63="","",INDEX(2_Evaluación!$AD$9:$AD$58,$B63))</f>
        <v/>
      </c>
      <c r="I63" s="32" t="str">
        <f aca="false">IF($B63="","",INDEX(2_Evaluación!$AL$9:$AL$58,$B63))</f>
        <v/>
      </c>
      <c r="J63" s="30" t="str">
        <f aca="false">IF($B63="","",INDEX(2_Evaluación!$AM$9:$AM$58,$B63))</f>
        <v/>
      </c>
      <c r="K63" s="15" t="str">
        <f aca="false">IF($B63="","",INDEX(2_Evaluación!$AN$9:$AN$58,$B63))</f>
        <v/>
      </c>
      <c r="L63" s="15" t="str">
        <f aca="false">IF($B63="","",INDEX(2_Evaluación!$AE$9:$AE$58,$B63))</f>
        <v/>
      </c>
    </row>
    <row r="64" customFormat="false" ht="15" hidden="false" customHeight="false" outlineLevel="0" collapsed="false">
      <c r="A64" s="15" t="n">
        <v>49</v>
      </c>
      <c r="B64" s="15" t="str">
        <f aca="false">IFERROR(MATCH(A64,2_Evaluación!$AR$9:$AR$58,0),"")</f>
        <v/>
      </c>
      <c r="C64" s="15" t="str">
        <f aca="false">IF($B64="","",INDEX(2_Evaluación!$A$9:$A$58,$B64))</f>
        <v/>
      </c>
      <c r="D64" s="15" t="str">
        <f aca="false">IF($B64="","",INDEX(2_Evaluación!$B$9:$B$58,$B64))</f>
        <v/>
      </c>
      <c r="E64" s="15" t="str">
        <f aca="false">IF($B64="","",INDEX(2_Evaluación!$C$9:$C$58,$B64))</f>
        <v/>
      </c>
      <c r="F64" s="15" t="str">
        <f aca="false">IF($B64="","",INDEX(1_Proyectos!$C$9:$C$58,$B64))</f>
        <v/>
      </c>
      <c r="G64" s="36" t="str">
        <f aca="false">IF($B64="","",INDEX(1_Proyectos!$L$9:$L$58,$B64))</f>
        <v/>
      </c>
      <c r="H64" s="30" t="str">
        <f aca="false">IF($B64="","",INDEX(2_Evaluación!$AD$9:$AD$58,$B64))</f>
        <v/>
      </c>
      <c r="I64" s="32" t="str">
        <f aca="false">IF($B64="","",INDEX(2_Evaluación!$AL$9:$AL$58,$B64))</f>
        <v/>
      </c>
      <c r="J64" s="30" t="str">
        <f aca="false">IF($B64="","",INDEX(2_Evaluación!$AM$9:$AM$58,$B64))</f>
        <v/>
      </c>
      <c r="K64" s="15" t="str">
        <f aca="false">IF($B64="","",INDEX(2_Evaluación!$AN$9:$AN$58,$B64))</f>
        <v/>
      </c>
      <c r="L64" s="15" t="str">
        <f aca="false">IF($B64="","",INDEX(2_Evaluación!$AE$9:$AE$58,$B64))</f>
        <v/>
      </c>
    </row>
    <row r="65" customFormat="false" ht="15" hidden="false" customHeight="false" outlineLevel="0" collapsed="false">
      <c r="A65" s="15" t="n">
        <v>50</v>
      </c>
      <c r="B65" s="15" t="str">
        <f aca="false">IFERROR(MATCH(A65,2_Evaluación!$AR$9:$AR$58,0),"")</f>
        <v/>
      </c>
      <c r="C65" s="15" t="str">
        <f aca="false">IF($B65="","",INDEX(2_Evaluación!$A$9:$A$58,$B65))</f>
        <v/>
      </c>
      <c r="D65" s="15" t="str">
        <f aca="false">IF($B65="","",INDEX(2_Evaluación!$B$9:$B$58,$B65))</f>
        <v/>
      </c>
      <c r="E65" s="15" t="str">
        <f aca="false">IF($B65="","",INDEX(2_Evaluación!$C$9:$C$58,$B65))</f>
        <v/>
      </c>
      <c r="F65" s="15" t="str">
        <f aca="false">IF($B65="","",INDEX(1_Proyectos!$C$9:$C$58,$B65))</f>
        <v/>
      </c>
      <c r="G65" s="36" t="str">
        <f aca="false">IF($B65="","",INDEX(1_Proyectos!$L$9:$L$58,$B65))</f>
        <v/>
      </c>
      <c r="H65" s="30" t="str">
        <f aca="false">IF($B65="","",INDEX(2_Evaluación!$AD$9:$AD$58,$B65))</f>
        <v/>
      </c>
      <c r="I65" s="32" t="str">
        <f aca="false">IF($B65="","",INDEX(2_Evaluación!$AL$9:$AL$58,$B65))</f>
        <v/>
      </c>
      <c r="J65" s="30" t="str">
        <f aca="false">IF($B65="","",INDEX(2_Evaluación!$AM$9:$AM$58,$B65))</f>
        <v/>
      </c>
      <c r="K65" s="15" t="str">
        <f aca="false">IF($B65="","",INDEX(2_Evaluación!$AN$9:$AN$58,$B65))</f>
        <v/>
      </c>
      <c r="L65" s="15" t="str">
        <f aca="false">IF($B65="","",INDEX(2_Evaluación!$AE$9:$AE$58,$B65))</f>
        <v/>
      </c>
    </row>
  </sheetData>
  <conditionalFormatting sqref="J16:J65">
    <cfRule type="cellIs" priority="2" operator="equal" aboveAverage="0" equalAverage="0" bottom="0" percent="0" rank="0" text="" dxfId="0">
      <formula>"Alta"</formula>
    </cfRule>
    <cfRule type="cellIs" priority="3" operator="equal" aboveAverage="0" equalAverage="0" bottom="0" percent="0" rank="0" text="" dxfId="2">
      <formula>"Media"</formula>
    </cfRule>
    <cfRule type="cellIs" priority="4" operator="equal" aboveAverage="0" equalAverage="0" bottom="0" percent="0" rank="0" text="" dxfId="3">
      <formula>"Baja"</formula>
    </cfRule>
  </conditionalFormatting>
  <conditionalFormatting sqref="H16:H65">
    <cfRule type="cellIs" priority="5" operator="equal" aboveAverage="0" equalAverage="0" bottom="0" percent="0" rank="0" text="" dxfId="1">
      <formula>"No elegible"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427</v>
      </c>
    </row>
    <row r="3" customFormat="false" ht="15" hidden="false" customHeight="false" outlineLevel="0" collapsed="false">
      <c r="A3" s="4" t="s">
        <v>428</v>
      </c>
      <c r="C3" s="12" t="s">
        <v>352</v>
      </c>
      <c r="D3" s="2" t="s">
        <v>429</v>
      </c>
      <c r="E3" s="15" t="n">
        <f aca="false">IFERROR(MATCH(C3,1_Proyectos!$A$9:$A$58,0),"")</f>
        <v>1</v>
      </c>
    </row>
    <row r="5" customFormat="false" ht="15" hidden="false" customHeight="false" outlineLevel="0" collapsed="false">
      <c r="A5" s="4" t="s">
        <v>335</v>
      </c>
      <c r="C5" s="37" t="str">
        <f aca="false">IF($E$3="","",IF(INDEX(1_Proyectos!$B$9:$B$58,$E$3)="","",INDEX(1_Proyectos!$B$9:$B$58,$E$3)))</f>
        <v>Restauración de manglar y humedal costero (ejemplo)</v>
      </c>
      <c r="D5" s="37"/>
      <c r="E5" s="37"/>
      <c r="F5" s="37"/>
    </row>
    <row r="6" customFormat="false" ht="15" hidden="false" customHeight="false" outlineLevel="0" collapsed="false">
      <c r="A6" s="4" t="s">
        <v>336</v>
      </c>
      <c r="C6" s="37" t="str">
        <f aca="false">IF($E$3="","",IF(INDEX(1_Proyectos!$C$9:$C$58,$E$3)="","",INDEX(1_Proyectos!$C$9:$C$58,$E$3)))</f>
        <v>OSC local (ejemplo)</v>
      </c>
      <c r="D6" s="37"/>
      <c r="E6" s="37"/>
      <c r="F6" s="37"/>
    </row>
    <row r="7" customFormat="false" ht="15" hidden="false" customHeight="false" outlineLevel="0" collapsed="false">
      <c r="A7" s="4" t="s">
        <v>337</v>
      </c>
      <c r="C7" s="37" t="str">
        <f aca="false">IF($E$3="","",IF(INDEX(1_Proyectos!$D$9:$D$58,$E$3)="","",INDEX(1_Proyectos!$D$9:$D$58,$E$3)))</f>
        <v>Privado - OSC</v>
      </c>
      <c r="D7" s="37"/>
      <c r="E7" s="37"/>
      <c r="F7" s="37"/>
    </row>
    <row r="8" customFormat="false" ht="15" hidden="false" customHeight="false" outlineLevel="0" collapsed="false">
      <c r="A8" s="4" t="s">
        <v>338</v>
      </c>
      <c r="C8" s="37" t="str">
        <f aca="false">IF($E$3="","",IF(INDEX(1_Proyectos!$E$9:$E$58,$E$3)="","",INDEX(1_Proyectos!$E$9:$E$58,$E$3)))</f>
        <v>La Paz</v>
      </c>
      <c r="D8" s="37"/>
      <c r="E8" s="37"/>
      <c r="F8" s="37"/>
    </row>
    <row r="9" customFormat="false" ht="15" hidden="false" customHeight="false" outlineLevel="0" collapsed="false">
      <c r="A9" s="4" t="s">
        <v>339</v>
      </c>
      <c r="C9" s="37" t="str">
        <f aca="false">IF($E$3="","",IF(INDEX(1_Proyectos!$F$9:$F$58,$E$3)="","",INDEX(1_Proyectos!$F$9:$F$58,$E$3)))</f>
        <v>IV</v>
      </c>
      <c r="D9" s="37"/>
      <c r="E9" s="37"/>
      <c r="F9" s="37"/>
    </row>
    <row r="10" customFormat="false" ht="15" hidden="false" customHeight="false" outlineLevel="0" collapsed="false">
      <c r="A10" s="4" t="s">
        <v>229</v>
      </c>
      <c r="C10" s="37" t="str">
        <f aca="false">IF($E$3="","",IF(INDEX(1_Proyectos!$J$9:$J$58,$E$3)="","",INDEX(1_Proyectos!$J$9:$J$58,$E$3)))</f>
        <v>B. Capital natural y biodiversidad</v>
      </c>
      <c r="D10" s="37"/>
      <c r="E10" s="37"/>
      <c r="F10" s="37"/>
    </row>
    <row r="11" customFormat="false" ht="15" hidden="false" customHeight="false" outlineLevel="0" collapsed="false">
      <c r="A11" s="4" t="s">
        <v>343</v>
      </c>
      <c r="C11" s="37" t="n">
        <f aca="false">IF($E$3="","",IF(INDEX(1_Proyectos!$K$9:$K$58,$E$3)="","",INDEX(1_Proyectos!$K$9:$K$58,$E$3)))</f>
        <v>3</v>
      </c>
      <c r="D11" s="37"/>
      <c r="E11" s="37"/>
      <c r="F11" s="37"/>
    </row>
    <row r="12" customFormat="false" ht="15" hidden="false" customHeight="false" outlineLevel="0" collapsed="false">
      <c r="A12" s="4" t="s">
        <v>344</v>
      </c>
      <c r="C12" s="38" t="n">
        <f aca="false">IF($E$3="","",IF(INDEX(1_Proyectos!$L$9:$L$58,$E$3)="","",INDEX(1_Proyectos!$L$9:$L$58,$E$3)))</f>
        <v>2500000</v>
      </c>
      <c r="D12" s="38"/>
      <c r="E12" s="38"/>
      <c r="F12" s="38"/>
    </row>
    <row r="13" customFormat="false" ht="15" hidden="false" customHeight="false" outlineLevel="0" collapsed="false">
      <c r="A13" s="4" t="s">
        <v>346</v>
      </c>
      <c r="C13" s="39" t="n">
        <f aca="false">IF($E$3="","",IF(INDEX(1_Proyectos!$N$9:$N$58,$E$3)="","",INDEX(1_Proyectos!$N$9:$N$58,$E$3)))</f>
        <v>0.305555555555556</v>
      </c>
      <c r="D13" s="39"/>
      <c r="E13" s="39"/>
      <c r="F13" s="39"/>
    </row>
    <row r="14" customFormat="false" ht="15" hidden="false" customHeight="false" outlineLevel="0" collapsed="false">
      <c r="A14" s="4" t="s">
        <v>347</v>
      </c>
      <c r="C14" s="37" t="str">
        <f aca="false">IF($E$3="","",IF(INDEX(1_Proyectos!$O$9:$O$58,$E$3)="","",INDEX(1_Proyectos!$O$9:$O$58,$E$3)))</f>
        <v>Hectáreas restauradas</v>
      </c>
      <c r="D14" s="37"/>
      <c r="E14" s="37"/>
      <c r="F14" s="37"/>
    </row>
    <row r="15" customFormat="false" ht="15" hidden="false" customHeight="false" outlineLevel="0" collapsed="false">
      <c r="A15" s="4" t="s">
        <v>349</v>
      </c>
      <c r="C15" s="37" t="str">
        <f aca="false">IF($E$3="","",IF(INDEX(1_Proyectos!$Q$9:$Q$58,$E$3)="","",INDEX(1_Proyectos!$Q$9:$Q$58,$E$3)))</f>
        <v>45 ha</v>
      </c>
      <c r="D15" s="37"/>
      <c r="E15" s="37"/>
      <c r="F15" s="37"/>
    </row>
    <row r="16" customFormat="false" ht="15" hidden="false" customHeight="false" outlineLevel="0" collapsed="false">
      <c r="A16" s="4" t="s">
        <v>350</v>
      </c>
      <c r="C16" s="37" t="str">
        <f aca="false">IF($E$3="","",IF(INDEX(1_Proyectos!$R$9:$R$58,$E$3)="","",INDEX(1_Proyectos!$R$9:$R$58,$E$3)))</f>
        <v>Evaluador 1 y 2 (ejemplo)</v>
      </c>
      <c r="D16" s="37"/>
      <c r="E16" s="37"/>
      <c r="F16" s="37"/>
    </row>
    <row r="18" customFormat="false" ht="26.85" hidden="false" customHeight="false" outlineLevel="0" collapsed="false">
      <c r="A18" s="6" t="s">
        <v>22</v>
      </c>
      <c r="B18" s="6" t="s">
        <v>25</v>
      </c>
      <c r="C18" s="6" t="s">
        <v>24</v>
      </c>
      <c r="D18" s="6" t="s">
        <v>430</v>
      </c>
      <c r="E18" s="6" t="s">
        <v>431</v>
      </c>
      <c r="F18" s="6" t="s">
        <v>432</v>
      </c>
    </row>
    <row r="19" customFormat="false" ht="64.9" hidden="false" customHeight="false" outlineLevel="0" collapsed="false">
      <c r="A19" s="40" t="s">
        <v>32</v>
      </c>
      <c r="B19" s="10" t="s">
        <v>35</v>
      </c>
      <c r="C19" s="10" t="s">
        <v>34</v>
      </c>
      <c r="D19" s="41" t="str">
        <f aca="false">IF($E$3="","",IF(INDEX(2_Evaluación!$D$9:$D$58,$E$3)="","",INDEX(2_Evaluación!$D$9:$D$58,$E$3)))</f>
        <v>Sí</v>
      </c>
      <c r="E19" s="31" t="str">
        <f aca="false">IF(D19="","",IF(OR(D19="Sí",D19=3),INDEX(Criterios!$F$5:$F$29,MATCH($A19,Criterios!$A$5:$A$29,0)),IF(D19=2,INDEX(Criterios!$G$5:$G$29,MATCH($A19,Criterios!$A$5:$A$29,0)),IF(OR(D19="No",D19=1),INDEX(Criterios!$H$5:$H$29,MATCH($A19,Criterios!$A$5:$A$29,0)),""))))</f>
        <v>Sí: cita el instrumento y la línea u objetivo con que se alinea (Plan Estatal de Desarrollo 2021–2027, programa estatal de cambio climático, ordenamiento ecológico, programa de manejo, plan municipal) y presenta carta de apoyo de la autoridad con atribuciones para autorizar su implementación.</v>
      </c>
      <c r="F19" s="35"/>
    </row>
    <row r="20" customFormat="false" ht="26.85" hidden="false" customHeight="false" outlineLevel="0" collapsed="false">
      <c r="A20" s="40" t="s">
        <v>41</v>
      </c>
      <c r="B20" s="10" t="s">
        <v>42</v>
      </c>
      <c r="C20" s="10" t="s">
        <v>34</v>
      </c>
      <c r="D20" s="41" t="str">
        <f aca="false">IF($E$3="","",IF(INDEX(2_Evaluación!$E$9:$E$58,$E$3)="","",INDEX(2_Evaluación!$E$9:$E$58,$E$3)))</f>
        <v>Sí</v>
      </c>
      <c r="E20" s="31" t="str">
        <f aca="false">IF(D20="","",IF(OR(D20="Sí",D20=3),INDEX(Criterios!$F$5:$F$29,MATCH($A20,Criterios!$A$5:$A$29,0)),IF(D20=2,INDEX(Criterios!$G$5:$G$29,MATCH($A20,Criterios!$A$5:$A$29,0)),IF(OR(D20="No",D20=1),INDEX(Criterios!$H$5:$H$29,MATCH($A20,Criterios!$A$5:$A$29,0)),""))))</f>
        <v>Sí: registra una fracción principal y su objetivo general la atiende de forma directa.</v>
      </c>
      <c r="F20" s="35"/>
    </row>
    <row r="21" customFormat="false" ht="15" hidden="false" customHeight="false" outlineLevel="0" collapsed="false">
      <c r="A21" s="40" t="s">
        <v>48</v>
      </c>
      <c r="B21" s="10" t="s">
        <v>49</v>
      </c>
      <c r="C21" s="10" t="s">
        <v>34</v>
      </c>
      <c r="D21" s="41" t="str">
        <f aca="false">IF($E$3="","",IF(INDEX(2_Evaluación!$F$9:$F$58,$E$3)="","",INDEX(2_Evaluación!$F$9:$F$58,$E$3)))</f>
        <v>Sí</v>
      </c>
      <c r="E21" s="31" t="str">
        <f aca="false">IF(D21="","",IF(OR(D21="Sí",D21=3),INDEX(Criterios!$F$5:$F$29,MATCH($A21,Criterios!$A$5:$A$29,0)),IF(D21=2,INDEX(Criterios!$G$5:$G$29,MATCH($A21,Criterios!$A$5:$A$29,0)),IF(OR(D21="No",D21=1),INDEX(Criterios!$H$5:$H$29,MATCH($A21,Criterios!$A$5:$A$29,0)),""))))</f>
        <v>Sí: cumple el requisito de su fracción y lo acredita.</v>
      </c>
      <c r="F21" s="35"/>
    </row>
    <row r="22" customFormat="false" ht="26.85" hidden="false" customHeight="false" outlineLevel="0" collapsed="false">
      <c r="A22" s="40" t="s">
        <v>55</v>
      </c>
      <c r="B22" s="10" t="s">
        <v>57</v>
      </c>
      <c r="C22" s="10" t="s">
        <v>34</v>
      </c>
      <c r="D22" s="41" t="str">
        <f aca="false">IF($E$3="","",IF(INDEX(2_Evaluación!$G$9:$G$58,$E$3)="","",INDEX(2_Evaluación!$G$9:$G$58,$E$3)))</f>
        <v>Sí</v>
      </c>
      <c r="E22" s="31" t="str">
        <f aca="false">IF(D22="","",IF(OR(D22="Sí",D22=3),INDEX(Criterios!$F$5:$F$29,MATCH($A22,Criterios!$A$5:$A$29,0)),IF(D22=2,INDEX(Criterios!$G$5:$G$29,MATCH($A22,Criterios!$A$5:$A$29,0)),IF(OR(D22="No",D22=1),INDEX(Criterios!$H$5:$H$29,MATCH($A22,Criterios!$A$5:$A$29,0)),""))))</f>
        <v>Sí: área de influencia o polígono en BCS y, si hay intervención física, documentos de tenencia, anuencia o convenio.</v>
      </c>
      <c r="F22" s="35"/>
    </row>
    <row r="23" customFormat="false" ht="26.85" hidden="false" customHeight="false" outlineLevel="0" collapsed="false">
      <c r="A23" s="40" t="s">
        <v>63</v>
      </c>
      <c r="B23" s="10" t="s">
        <v>64</v>
      </c>
      <c r="C23" s="10" t="s">
        <v>34</v>
      </c>
      <c r="D23" s="41" t="str">
        <f aca="false">IF($E$3="","",IF(INDEX(2_Evaluación!$H$9:$H$58,$E$3)="","",INDEX(2_Evaluación!$H$9:$H$58,$E$3)))</f>
        <v>Sí</v>
      </c>
      <c r="E23" s="31" t="str">
        <f aca="false">IF(D23="","",IF(OR(D23="Sí",D23=3),INDEX(Criterios!$F$5:$F$29,MATCH($A23,Criterios!$A$5:$A$29,0)),IF(D23=2,INDEX(Criterios!$G$5:$G$29,MATCH($A23,Criterios!$A$5:$A$29,0)),IF(OR(D23="No",D23=1),INDEX(Criterios!$H$5:$H$29,MATCH($A23,Criterios!$A$5:$A$29,0)),""))))</f>
        <v>Sí: identifica impactos y medidas, y tiene las autorizaciones o un programa para obtenerlas.</v>
      </c>
      <c r="F23" s="35"/>
    </row>
    <row r="24" customFormat="false" ht="15" hidden="false" customHeight="false" outlineLevel="0" collapsed="false">
      <c r="A24" s="40" t="s">
        <v>70</v>
      </c>
      <c r="B24" s="10" t="s">
        <v>72</v>
      </c>
      <c r="C24" s="10" t="s">
        <v>34</v>
      </c>
      <c r="D24" s="41" t="str">
        <f aca="false">IF($E$3="","",IF(INDEX(2_Evaluación!$I$9:$I$58,$E$3)="","",INDEX(2_Evaluación!$I$9:$I$58,$E$3)))</f>
        <v>Sí</v>
      </c>
      <c r="E24" s="31" t="str">
        <f aca="false">IF(D24="","",IF(OR(D24="Sí",D24=3),INDEX(Criterios!$F$5:$F$29,MATCH($A24,Criterios!$A$5:$A$29,0)),IF(D24=2,INDEX(Criterios!$G$5:$G$29,MATCH($A24,Criterios!$A$5:$A$29,0)),IF(OR(D24="No",D24=1),INDEX(Criterios!$H$5:$H$29,MATCH($A24,Criterios!$A$5:$A$29,0)),""))))</f>
        <v>Sí: el monto está entre el mínimo y el máximo.</v>
      </c>
      <c r="F24" s="35"/>
    </row>
    <row r="25" customFormat="false" ht="26.85" hidden="false" customHeight="false" outlineLevel="0" collapsed="false">
      <c r="A25" s="40" t="s">
        <v>78</v>
      </c>
      <c r="B25" s="10" t="s">
        <v>79</v>
      </c>
      <c r="C25" s="10" t="s">
        <v>34</v>
      </c>
      <c r="D25" s="41" t="str">
        <f aca="false">IF($E$3="","",IF(INDEX(2_Evaluación!$J$9:$J$58,$E$3)="","",INDEX(2_Evaluación!$J$9:$J$58,$E$3)))</f>
        <v>Sí</v>
      </c>
      <c r="E25" s="31" t="str">
        <f aca="false">IF(D25="","",IF(OR(D25="Sí",D25=3),INDEX(Criterios!$F$5:$F$29,MATCH($A25,Criterios!$A$5:$A$29,0)),IF(D25=2,INDEX(Criterios!$G$5:$G$29,MATCH($A25,Criterios!$A$5:$A$29,0)),IF(OR(D25="No",D25=1),INDEX(Criterios!$H$5:$H$29,MATCH($A25,Criterios!$A$5:$A$29,0)),""))))</f>
        <v>Sí: presenta los cuatro elementos, con análisis costo-beneficio o costo-efectividad frente a alternativas.</v>
      </c>
      <c r="F25" s="35"/>
    </row>
    <row r="26" customFormat="false" ht="39.55" hidden="false" customHeight="false" outlineLevel="0" collapsed="false">
      <c r="A26" s="40" t="s">
        <v>85</v>
      </c>
      <c r="B26" s="10" t="s">
        <v>86</v>
      </c>
      <c r="C26" s="10" t="s">
        <v>34</v>
      </c>
      <c r="D26" s="41" t="str">
        <f aca="false">IF($E$3="","",IF(INDEX(2_Evaluación!$K$9:$K$58,$E$3)="","",INDEX(2_Evaluación!$K$9:$K$58,$E$3)))</f>
        <v>Sí</v>
      </c>
      <c r="E26" s="31" t="str">
        <f aca="false">IF(D26="","",IF(OR(D26="Sí",D26=3),INDEX(Criterios!$F$5:$F$29,MATCH($A26,Criterios!$A$5:$A$29,0)),IF(D26=2,INDEX(Criterios!$G$5:$G$29,MATCH($A26,Criterios!$A$5:$A$29,0)),IF(OR(D26="No",D26=1),INDEX(Criterios!$H$5:$H$29,MATCH($A26,Criterios!$A$5:$A$29,0)),""))))</f>
        <v>Sí: documentación completa, declaración de no duplicidad de apoyos, el proyecto no está ya implementado y hay carta compromiso de informes trimestrales y publicidad de datos.</v>
      </c>
      <c r="F26" s="35"/>
    </row>
    <row r="27" customFormat="false" ht="26.85" hidden="false" customHeight="false" outlineLevel="0" collapsed="false">
      <c r="A27" s="40" t="s">
        <v>92</v>
      </c>
      <c r="B27" s="10" t="s">
        <v>94</v>
      </c>
      <c r="C27" s="10" t="s">
        <v>34</v>
      </c>
      <c r="D27" s="41" t="str">
        <f aca="false">IF($E$3="","",IF(INDEX(2_Evaluación!$L$9:$L$58,$E$3)="","",INDEX(2_Evaluación!$L$9:$L$58,$E$3)))</f>
        <v>Sí</v>
      </c>
      <c r="E27" s="31" t="str">
        <f aca="false">IF(D27="","",IF(OR(D27="Sí",D27=3),INDEX(Criterios!$F$5:$F$29,MATCH($A27,Criterios!$A$5:$A$29,0)),IF(D27=2,INDEX(Criterios!$G$5:$G$29,MATCH($A27,Criterios!$A$5:$A$29,0)),IF(OR(D27="No",D27=1),INDEX(Criterios!$H$5:$H$29,MATCH($A27,Criterios!$A$5:$A$29,0)),""))))</f>
        <v>Sí: al menos un indicador con unidad, línea base (o método para establecerla) y meta.</v>
      </c>
      <c r="F27" s="35"/>
    </row>
    <row r="28" customFormat="false" ht="26.85" hidden="false" customHeight="false" outlineLevel="0" collapsed="false">
      <c r="A28" s="40" t="s">
        <v>100</v>
      </c>
      <c r="B28" s="10" t="s">
        <v>102</v>
      </c>
      <c r="C28" s="10" t="s">
        <v>101</v>
      </c>
      <c r="D28" s="41" t="n">
        <f aca="false">IF($E$3="","",IF(INDEX(2_Evaluación!$M$9:$M$58,$E$3)="","",INDEX(2_Evaluación!$M$9:$M$58,$E$3)))</f>
        <v>3</v>
      </c>
      <c r="E28" s="31" t="str">
        <f aca="false">IF(D28="","",IF(OR(D28="Sí",D28=3),INDEX(Criterios!$F$5:$F$29,MATCH($A28,Criterios!$A$5:$A$29,0)),IF(D28=2,INDEX(Criterios!$G$5:$G$29,MATCH($A28,Criterios!$A$5:$A$29,0)),IF(OR(D28="No",D28=1),INDEX(Criterios!$H$5:$H$29,MATCH($A28,Criterios!$A$5:$A$29,0)),""))))</f>
        <v>3: contribuye a 3 o más fracciones.</v>
      </c>
      <c r="F28" s="35"/>
    </row>
    <row r="29" customFormat="false" ht="39.55" hidden="false" customHeight="false" outlineLevel="0" collapsed="false">
      <c r="A29" s="40" t="s">
        <v>108</v>
      </c>
      <c r="B29" s="10" t="s">
        <v>110</v>
      </c>
      <c r="C29" s="10" t="s">
        <v>109</v>
      </c>
      <c r="D29" s="41" t="n">
        <f aca="false">IF($E$3="","",IF(INDEX(2_Evaluación!$N$9:$N$58,$E$3)="","",INDEX(2_Evaluación!$N$9:$N$58,$E$3)))</f>
        <v>3</v>
      </c>
      <c r="E29" s="31" t="str">
        <f aca="false">IF(D29="","",IF(OR(D29="Sí",D29=3),INDEX(Criterios!$F$5:$F$29,MATCH($A29,Criterios!$A$5:$A$29,0)),IF(D29=2,INDEX(Criterios!$G$5:$G$29,MATCH($A29,Criterios!$A$5:$A$29,0)),IF(OR(D29="No",D29=1),INDEX(Criterios!$H$5:$H$29,MATCH($A29,Criterios!$A$5:$A$29,0)),""))))</f>
        <v>3: Alto: resultado cuantificado que atiende una parte sustantiva del problema en su ámbito (cuenca, ecosistema, municipio) o es replicable en otras ciudades o regiones del Estado.</v>
      </c>
      <c r="F29" s="35"/>
    </row>
    <row r="30" customFormat="false" ht="39.55" hidden="false" customHeight="false" outlineLevel="0" collapsed="false">
      <c r="A30" s="40" t="s">
        <v>117</v>
      </c>
      <c r="B30" s="10" t="s">
        <v>118</v>
      </c>
      <c r="C30" s="10" t="s">
        <v>109</v>
      </c>
      <c r="D30" s="41" t="n">
        <f aca="false">IF($E$3="","",IF(INDEX(2_Evaluación!$O$9:$O$58,$E$3)="","",INDEX(2_Evaluación!$O$9:$O$58,$E$3)))</f>
        <v>3</v>
      </c>
      <c r="E30" s="31" t="str">
        <f aca="false">IF(D30="","",IF(OR(D30="Sí",D30=3),INDEX(Criterios!$F$5:$F$29,MATCH($A30,Criterios!$A$5:$A$29,0)),IF(D30=2,INDEX(Criterios!$G$5:$G$29,MATCH($A30,Criterios!$A$5:$A$29,0)),IF(OR(D30="No",D30=1),INDEX(Criterios!$H$5:$H$29,MATCH($A30,Criterios!$A$5:$A$29,0)),""))))</f>
        <v>3: Alto: se ubica en zona de riesgo o vulnerabilidad documentada (atlas de riesgos, índices oficiales) y focaliza en ella.</v>
      </c>
      <c r="F30" s="35"/>
    </row>
    <row r="31" customFormat="false" ht="26.85" hidden="false" customHeight="false" outlineLevel="0" collapsed="false">
      <c r="A31" s="40" t="s">
        <v>125</v>
      </c>
      <c r="B31" s="10" t="s">
        <v>126</v>
      </c>
      <c r="C31" s="10" t="s">
        <v>109</v>
      </c>
      <c r="D31" s="41" t="n">
        <f aca="false">IF($E$3="","",IF(INDEX(2_Evaluación!$P$9:$P$58,$E$3)="","",INDEX(2_Evaluación!$P$9:$P$58,$E$3)))</f>
        <v>2</v>
      </c>
      <c r="E31" s="31" t="str">
        <f aca="false">IF(D31="","",IF(OR(D31="Sí",D31=3),INDEX(Criterios!$F$5:$F$29,MATCH($A31,Criterios!$A$5:$A$29,0)),IF(D31=2,INDEX(Criterios!$G$5:$G$29,MATCH($A31,Criterios!$A$5:$A$29,0)),IF(OR(D31="No",D31=1),INDEX(Criterios!$H$5:$H$29,MATCH($A31,Criterios!$A$5:$A$29,0)),""))))</f>
        <v>2: Medio: identifica riesgos y barreras con medidas generales o parciales; alguna barrera es difícil de superar.</v>
      </c>
      <c r="F31" s="35"/>
    </row>
    <row r="32" customFormat="false" ht="26.85" hidden="false" customHeight="false" outlineLevel="0" collapsed="false">
      <c r="A32" s="40" t="s">
        <v>133</v>
      </c>
      <c r="B32" s="10" t="s">
        <v>134</v>
      </c>
      <c r="C32" s="10" t="s">
        <v>109</v>
      </c>
      <c r="D32" s="41" t="n">
        <f aca="false">IF($E$3="","",IF(INDEX(2_Evaluación!$Q$9:$Q$58,$E$3)="","",INDEX(2_Evaluación!$Q$9:$Q$58,$E$3)))</f>
        <v>2</v>
      </c>
      <c r="E32" s="31" t="str">
        <f aca="false">IF(D32="","",IF(OR(D32="Sí",D32=3),INDEX(Criterios!$F$5:$F$29,MATCH($A32,Criterios!$A$5:$A$29,0)),IF(D32=2,INDEX(Criterios!$G$5:$G$29,MATCH($A32,Criterios!$A$5:$A$29,0)),IF(OR(D32="No",D32=1),INDEX(Criterios!$H$5:$H$29,MATCH($A32,Criterios!$A$5:$A$29,0)),""))))</f>
        <v>2: Medio: calcula el costo por unidad sin compararlo, o compara solo de forma cualitativa.</v>
      </c>
      <c r="F32" s="35"/>
    </row>
    <row r="33" customFormat="false" ht="26.85" hidden="false" customHeight="false" outlineLevel="0" collapsed="false">
      <c r="A33" s="40" t="s">
        <v>141</v>
      </c>
      <c r="B33" s="10" t="s">
        <v>142</v>
      </c>
      <c r="C33" s="10" t="s">
        <v>101</v>
      </c>
      <c r="D33" s="41" t="n">
        <f aca="false">IF($E$3="","",IF(INDEX(2_Evaluación!$R$9:$R$58,$E$3)="","",INDEX(2_Evaluación!$R$9:$R$58,$E$3)))</f>
        <v>3</v>
      </c>
      <c r="E33" s="31" t="str">
        <f aca="false">IF(D33="","",IF(OR(D33="Sí",D33=3),INDEX(Criterios!$F$5:$F$29,MATCH($A33,Criterios!$A$5:$A$29,0)),IF(D33=2,INDEX(Criterios!$G$5:$G$29,MATCH($A33,Criterios!$A$5:$A$29,0)),IF(OR(D33="No",D33=1),INDEX(Criterios!$H$5:$H$29,MATCH($A33,Criterios!$A$5:$A$29,0)),""))))</f>
        <v>3: 30 % o más del costo total.</v>
      </c>
      <c r="F33" s="35"/>
    </row>
    <row r="34" customFormat="false" ht="15" hidden="false" customHeight="false" outlineLevel="0" collapsed="false">
      <c r="A34" s="40" t="s">
        <v>149</v>
      </c>
      <c r="B34" s="10" t="s">
        <v>150</v>
      </c>
      <c r="C34" s="10" t="s">
        <v>109</v>
      </c>
      <c r="D34" s="41" t="n">
        <f aca="false">IF($E$3="","",IF(INDEX(2_Evaluación!$S$9:$S$58,$E$3)="","",INDEX(2_Evaluación!$S$9:$S$58,$E$3)))</f>
        <v>2</v>
      </c>
      <c r="E34" s="31" t="str">
        <f aca="false">IF(D34="","",IF(OR(D34="Sí",D34=3),INDEX(Criterios!$F$5:$F$29,MATCH($A34,Criterios!$A$5:$A$29,0)),IF(D34=2,INDEX(Criterios!$G$5:$G$29,MATCH($A34,Criterios!$A$5:$A$29,0)),IF(OR(D34="No",D34=1),INDEX(Criterios!$H$5:$H$29,MATCH($A34,Criterios!$A$5:$A$29,0)),""))))</f>
        <v>2: Medio: opciones plausibles sin compromiso formal.</v>
      </c>
      <c r="F34" s="35"/>
    </row>
    <row r="35" customFormat="false" ht="26.85" hidden="false" customHeight="false" outlineLevel="0" collapsed="false">
      <c r="A35" s="40" t="s">
        <v>156</v>
      </c>
      <c r="B35" s="10" t="s">
        <v>157</v>
      </c>
      <c r="C35" s="10" t="s">
        <v>109</v>
      </c>
      <c r="D35" s="41" t="n">
        <f aca="false">IF($E$3="","",IF(INDEX(2_Evaluación!$T$9:$T$58,$E$3)="","",INDEX(2_Evaluación!$T$9:$T$58,$E$3)))</f>
        <v>3</v>
      </c>
      <c r="E35" s="31" t="str">
        <f aca="false">IF(D35="","",IF(OR(D35="Sí",D35=3),INDEX(Criterios!$F$5:$F$29,MATCH($A35,Criterios!$A$5:$A$29,0)),IF(D35=2,INDEX(Criterios!$G$5:$G$29,MATCH($A35,Criterios!$A$5:$A$29,0)),IF(OR(D35="No",D35=1),INDEX(Criterios!$H$5:$H$29,MATCH($A35,Criterios!$A$5:$A$29,0)),""))))</f>
        <v>3: Alto: ejecutó proyectos similares de monto comparable y presenta equipo con perfiles definidos.</v>
      </c>
      <c r="F35" s="35"/>
    </row>
    <row r="36" customFormat="false" ht="26.85" hidden="false" customHeight="false" outlineLevel="0" collapsed="false">
      <c r="A36" s="40" t="s">
        <v>163</v>
      </c>
      <c r="B36" s="10" t="s">
        <v>164</v>
      </c>
      <c r="C36" s="10" t="s">
        <v>109</v>
      </c>
      <c r="D36" s="41" t="n">
        <f aca="false">IF($E$3="","",IF(INDEX(2_Evaluación!$U$9:$U$58,$E$3)="","",INDEX(2_Evaluación!$U$9:$U$58,$E$3)))</f>
        <v>3</v>
      </c>
      <c r="E36" s="31" t="str">
        <f aca="false">IF(D36="","",IF(OR(D36="Sí",D36=3),INDEX(Criterios!$F$5:$F$29,MATCH($A36,Criterios!$A$5:$A$29,0)),IF(D36=2,INDEX(Criterios!$G$5:$G$29,MATCH($A36,Criterios!$A$5:$A$29,0)),IF(OR(D36="No",D36=1),INDEX(Criterios!$H$5:$H$29,MATCH($A36,Criterios!$A$5:$A$29,0)),""))))</f>
        <v>3: Alto: proyecto ejecutivo con autorizaciones obtenidas o en trámite avanzado.</v>
      </c>
      <c r="F36" s="35"/>
    </row>
    <row r="37" customFormat="false" ht="26.85" hidden="false" customHeight="false" outlineLevel="0" collapsed="false">
      <c r="A37" s="40" t="s">
        <v>170</v>
      </c>
      <c r="B37" s="10" t="s">
        <v>171</v>
      </c>
      <c r="C37" s="10" t="s">
        <v>109</v>
      </c>
      <c r="D37" s="41" t="n">
        <f aca="false">IF($E$3="","",IF(INDEX(2_Evaluación!$V$9:$V$58,$E$3)="","",INDEX(2_Evaluación!$V$9:$V$58,$E$3)))</f>
        <v>3</v>
      </c>
      <c r="E37" s="31" t="str">
        <f aca="false">IF(D37="","",IF(OR(D37="Sí",D37=3),INDEX(Criterios!$F$5:$F$29,MATCH($A37,Criterios!$A$5:$A$29,0)),IF(D37=2,INDEX(Criterios!$G$5:$G$29,MATCH($A37,Criterios!$A$5:$A$29,0)),IF(OR(D37="No",D37=1),INDEX(Criterios!$H$5:$H$29,MATCH($A37,Criterios!$A$5:$A$29,0)),""))))</f>
        <v>3: Alto: datos locales, estudios, monitoreo previo o modelación verificable.</v>
      </c>
      <c r="F37" s="35"/>
    </row>
    <row r="38" customFormat="false" ht="26.85" hidden="false" customHeight="false" outlineLevel="0" collapsed="false">
      <c r="A38" s="40" t="s">
        <v>177</v>
      </c>
      <c r="B38" s="10" t="s">
        <v>178</v>
      </c>
      <c r="C38" s="10" t="s">
        <v>109</v>
      </c>
      <c r="D38" s="41" t="n">
        <f aca="false">IF($E$3="","",IF(INDEX(2_Evaluación!$W$9:$W$58,$E$3)="","",INDEX(2_Evaluación!$W$9:$W$58,$E$3)))</f>
        <v>3</v>
      </c>
      <c r="E38" s="31" t="str">
        <f aca="false">IF(D38="","",IF(OR(D38="Sí",D38=3),INDEX(Criterios!$F$5:$F$29,MATCH($A38,Criterios!$A$5:$A$29,0)),IF(D38=2,INDEX(Criterios!$G$5:$G$29,MATCH($A38,Criterios!$A$5:$A$29,0)),IF(OR(D38="No",D38=1),INDEX(Criterios!$H$5:$H$29,MATCH($A38,Criterios!$A$5:$A$29,0)),""))))</f>
        <v>3: Alto: indicadores SMART, línea base, metas, frecuencia, responsables y presupuesto asignado.</v>
      </c>
      <c r="F38" s="35"/>
    </row>
    <row r="39" customFormat="false" ht="26.85" hidden="false" customHeight="false" outlineLevel="0" collapsed="false">
      <c r="A39" s="40" t="s">
        <v>185</v>
      </c>
      <c r="B39" s="10" t="s">
        <v>186</v>
      </c>
      <c r="C39" s="10" t="s">
        <v>109</v>
      </c>
      <c r="D39" s="41" t="n">
        <f aca="false">IF($E$3="","",IF(INDEX(2_Evaluación!$X$9:$X$58,$E$3)="","",INDEX(2_Evaluación!$X$9:$X$58,$E$3)))</f>
        <v>3</v>
      </c>
      <c r="E39" s="31" t="str">
        <f aca="false">IF(D39="","",IF(OR(D39="Sí",D39=3),INDEX(Criterios!$F$5:$F$29,MATCH($A39,Criterios!$A$5:$A$29,0)),IF(D39=2,INDEX(Criterios!$G$5:$G$29,MATCH($A39,Criterios!$A$5:$A$29,0)),IF(OR(D39="No",D39=1),INDEX(Criterios!$H$5:$H$29,MATCH($A39,Criterios!$A$5:$A$29,0)),""))))</f>
        <v>3: Alto: convenio o carta compromiso con rol técnico definido.</v>
      </c>
      <c r="F39" s="35"/>
    </row>
    <row r="40" customFormat="false" ht="26.85" hidden="false" customHeight="false" outlineLevel="0" collapsed="false">
      <c r="A40" s="40" t="s">
        <v>193</v>
      </c>
      <c r="B40" s="10" t="s">
        <v>195</v>
      </c>
      <c r="C40" s="10" t="s">
        <v>109</v>
      </c>
      <c r="D40" s="41" t="n">
        <f aca="false">IF($E$3="","",IF(INDEX(2_Evaluación!$Y$9:$Y$58,$E$3)="","",INDEX(2_Evaluación!$Y$9:$Y$58,$E$3)))</f>
        <v>2</v>
      </c>
      <c r="E40" s="31" t="str">
        <f aca="false">IF(D40="","",IF(OR(D40="Sí",D40=3),INDEX(Criterios!$F$5:$F$29,MATCH($A40,Criterios!$A$5:$A$29,0)),IF(D40=2,INDEX(Criterios!$G$5:$G$29,MATCH($A40,Criterios!$A$5:$A$29,0)),IF(OR(D40="No",D40=1),INDEX(Criterios!$H$5:$H$29,MATCH($A40,Criterios!$A$5:$A$29,0)),""))))</f>
        <v>2: Medio: beneficiarios cuantificados sin focalización, o focalización sin cuantificar.</v>
      </c>
      <c r="F40" s="35"/>
    </row>
    <row r="41" customFormat="false" ht="15" hidden="false" customHeight="false" outlineLevel="0" collapsed="false">
      <c r="A41" s="40" t="s">
        <v>202</v>
      </c>
      <c r="B41" s="10" t="s">
        <v>203</v>
      </c>
      <c r="C41" s="10" t="s">
        <v>109</v>
      </c>
      <c r="D41" s="41" t="n">
        <f aca="false">IF($E$3="","",IF(INDEX(2_Evaluación!$Z$9:$Z$58,$E$3)="","",INDEX(2_Evaluación!$Z$9:$Z$58,$E$3)))</f>
        <v>2</v>
      </c>
      <c r="E41" s="31" t="str">
        <f aca="false">IF(D41="","",IF(OR(D41="Sí",D41=3),INDEX(Criterios!$F$5:$F$29,MATCH($A41,Criterios!$A$5:$A$29,0)),IF(D41=2,INDEX(Criterios!$G$5:$G$29,MATCH($A41,Criterios!$A$5:$A$29,0)),IF(OR(D41="No",D41=1),INDEX(Criterios!$H$5:$H$29,MATCH($A41,Criterios!$A$5:$A$29,0)),""))))</f>
        <v>2: Medio: menciona la inclusión con acciones generales.</v>
      </c>
      <c r="F41" s="35"/>
    </row>
    <row r="42" customFormat="false" ht="26.85" hidden="false" customHeight="false" outlineLevel="0" collapsed="false">
      <c r="A42" s="40" t="s">
        <v>210</v>
      </c>
      <c r="B42" s="10" t="s">
        <v>211</v>
      </c>
      <c r="C42" s="10" t="s">
        <v>109</v>
      </c>
      <c r="D42" s="41" t="n">
        <f aca="false">IF($E$3="","",IF(INDEX(2_Evaluación!$AA$9:$AA$58,$E$3)="","",INDEX(2_Evaluación!$AA$9:$AA$58,$E$3)))</f>
        <v>3</v>
      </c>
      <c r="E42" s="31" t="str">
        <f aca="false">IF(D42="","",IF(OR(D42="Sí",D42=3),INDEX(Criterios!$F$5:$F$29,MATCH($A42,Criterios!$A$5:$A$29,0)),IF(D42=2,INDEX(Criterios!$G$5:$G$29,MATCH($A42,Criterios!$A$5:$A$29,0)),IF(OR(D42="No",D42=1),INDEX(Criterios!$H$5:$H$29,MATCH($A42,Criterios!$A$5:$A$29,0)),""))))</f>
        <v>3: Alto: mecanismos formales (comités, asambleas, consultas) con evidencia de participación en el diseño.</v>
      </c>
      <c r="F42" s="35"/>
    </row>
    <row r="43" customFormat="false" ht="26.85" hidden="false" customHeight="false" outlineLevel="0" collapsed="false">
      <c r="A43" s="40" t="s">
        <v>218</v>
      </c>
      <c r="B43" s="10" t="s">
        <v>219</v>
      </c>
      <c r="C43" s="10" t="s">
        <v>109</v>
      </c>
      <c r="D43" s="41" t="n">
        <f aca="false">IF($E$3="","",IF(INDEX(2_Evaluación!$AB$9:$AB$58,$E$3)="","",INDEX(2_Evaluación!$AB$9:$AB$58,$E$3)))</f>
        <v>3</v>
      </c>
      <c r="E43" s="31" t="str">
        <f aca="false">IF(D43="","",IF(OR(D43="Sí",D43=3),INDEX(Criterios!$F$5:$F$29,MATCH($A43,Criterios!$A$5:$A$29,0)),IF(D43=2,INDEX(Criterios!$G$5:$G$29,MATCH($A43,Criterios!$A$5:$A$29,0)),IF(OR(D43="No",D43=1),INDEX(Criterios!$H$5:$H$29,MATCH($A43,Criterios!$A$5:$A$29,0)),""))))</f>
        <v>3: Alto: alianzas formales con dos o más sectores, con roles y aportes definidos.</v>
      </c>
      <c r="F43" s="35"/>
    </row>
    <row r="45" customFormat="false" ht="15" hidden="false" customHeight="false" outlineLevel="0" collapsed="false">
      <c r="A45" s="4" t="s">
        <v>430</v>
      </c>
    </row>
    <row r="46" customFormat="false" ht="15" hidden="false" customHeight="false" outlineLevel="0" collapsed="false">
      <c r="A46" s="4" t="s">
        <v>385</v>
      </c>
      <c r="C46" s="37" t="str">
        <f aca="false">IF($E$3="","",IF(INDEX(2_Evaluación!$AD$9:$AD$58,$E$3)="","",INDEX(2_Evaluación!$AD$9:$AD$58,$E$3)))</f>
        <v>Elegible</v>
      </c>
      <c r="D46" s="37"/>
      <c r="E46" s="37"/>
      <c r="F46" s="37"/>
    </row>
    <row r="47" customFormat="false" ht="15" hidden="false" customHeight="false" outlineLevel="0" collapsed="false">
      <c r="A47" s="4" t="s">
        <v>386</v>
      </c>
      <c r="C47" s="37" t="str">
        <f aca="false">IF($E$3="","",IF(INDEX(2_Evaluación!$AE$9:$AE$58,$E$3)="","",INDEX(2_Evaluación!$AE$9:$AE$58,$E$3)))</f>
        <v/>
      </c>
      <c r="D47" s="37"/>
      <c r="E47" s="37"/>
      <c r="F47" s="37"/>
    </row>
    <row r="48" customFormat="false" ht="15" hidden="false" customHeight="false" outlineLevel="0" collapsed="false">
      <c r="A48" s="4" t="s">
        <v>392</v>
      </c>
      <c r="C48" s="37" t="n">
        <f aca="false">IF($E$3="","",IF(INDEX(2_Evaluación!$AK$9:$AK$58,$E$3)="","",INDEX(2_Evaluación!$AK$9:$AK$58,$E$3)))</f>
        <v>43</v>
      </c>
      <c r="D48" s="37"/>
      <c r="E48" s="37"/>
      <c r="F48" s="37"/>
    </row>
    <row r="49" customFormat="false" ht="15" hidden="false" customHeight="false" outlineLevel="0" collapsed="false">
      <c r="A49" s="4" t="s">
        <v>393</v>
      </c>
      <c r="C49" s="42" t="n">
        <f aca="false">IF($E$3="","",IF(INDEX(2_Evaluación!$AL$9:$AL$58,$E$3)="","",INDEX(2_Evaluación!$AL$9:$AL$58,$E$3)))</f>
        <v>90.7</v>
      </c>
      <c r="D49" s="42"/>
      <c r="E49" s="42"/>
      <c r="F49" s="42"/>
    </row>
    <row r="50" customFormat="false" ht="15" hidden="false" customHeight="false" outlineLevel="0" collapsed="false">
      <c r="A50" s="4" t="s">
        <v>394</v>
      </c>
      <c r="C50" s="37" t="str">
        <f aca="false">IF($E$3="","",IF(INDEX(2_Evaluación!$AM$9:$AM$58,$E$3)="","",INDEX(2_Evaluación!$AM$9:$AM$58,$E$3)))</f>
        <v>Alta</v>
      </c>
      <c r="D50" s="37"/>
      <c r="E50" s="37"/>
      <c r="F50" s="37"/>
    </row>
    <row r="51" customFormat="false" ht="15" hidden="false" customHeight="false" outlineLevel="0" collapsed="false">
      <c r="A51" s="4" t="s">
        <v>395</v>
      </c>
      <c r="C51" s="37" t="n">
        <f aca="false">IF($E$3="","",IF(INDEX(2_Evaluación!$AN$9:$AN$58,$E$3)="","",INDEX(2_Evaluación!$AN$9:$AN$58,$E$3)))</f>
        <v>1</v>
      </c>
      <c r="D51" s="37"/>
      <c r="E51" s="37"/>
      <c r="F51" s="37"/>
    </row>
    <row r="52" customFormat="false" ht="15" hidden="false" customHeight="false" outlineLevel="0" collapsed="false">
      <c r="A52" s="4" t="s">
        <v>396</v>
      </c>
      <c r="C52" s="37" t="str">
        <f aca="false">IF($E$3="","",IF(INDEX(2_Evaluación!$AO$9:$AO$58,$E$3)="","",INDEX(2_Evaluación!$AO$9:$AO$58,$E$3)))</f>
        <v/>
      </c>
      <c r="D52" s="37"/>
      <c r="E52" s="37"/>
      <c r="F52" s="37"/>
    </row>
    <row r="53" customFormat="false" ht="15" hidden="false" customHeight="false" outlineLevel="0" collapsed="false">
      <c r="A53" s="4" t="s">
        <v>433</v>
      </c>
      <c r="C53" s="37" t="str">
        <f aca="false">IF($E$3="","",IF(INDEX(2_Evaluación!$AP$9:$AP$58,$E$3)="","",INDEX(2_Evaluación!$AP$9:$AP$58,$E$3)))</f>
        <v>Ejemplo: candidato prioritario; reforzar sostenibilidad posterior (F6).</v>
      </c>
      <c r="D53" s="37"/>
      <c r="E53" s="37"/>
      <c r="F53" s="37"/>
    </row>
    <row r="55" customFormat="false" ht="15" hidden="false" customHeight="false" outlineLevel="0" collapsed="false">
      <c r="A55" s="4" t="s">
        <v>434</v>
      </c>
    </row>
  </sheetData>
  <mergeCells count="20"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46:F46"/>
    <mergeCell ref="C47:F47"/>
    <mergeCell ref="C48:F48"/>
    <mergeCell ref="C49:F49"/>
    <mergeCell ref="C50:F50"/>
    <mergeCell ref="C51:F51"/>
    <mergeCell ref="C52:F52"/>
    <mergeCell ref="C53:F53"/>
  </mergeCells>
  <dataValidations count="1">
    <dataValidation allowBlank="true" errorStyle="stop" operator="between" showDropDown="false" showErrorMessage="false" showInputMessage="false" sqref="C3" type="list">
      <formula1>1_Proyectos!$A$9:$A$58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2026-10-13T18:50:16Z</dcterms:created>
  <dc:creator>openpyxl</dc:creator>
  <dc:description/>
  <dc:language>en-US</dc:language>
  <cp:lastModifiedBy/>
  <dcterms:modified xsi:type="dcterms:W3CDTF">2026-10-13T18:50:21Z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